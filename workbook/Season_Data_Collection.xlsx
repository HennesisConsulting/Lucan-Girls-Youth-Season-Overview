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nnesisconsulting-my.sharepoint.com/personal/johnhennessy_hennesisconsulting_com/Documents/Lucan Utd/Girls Yths/"/>
    </mc:Choice>
  </mc:AlternateContent>
  <xr:revisionPtr revIDLastSave="89" documentId="8_{7ADCDCDC-E6D6-4254-8C73-8E3A7AC74C22}" xr6:coauthVersionLast="47" xr6:coauthVersionMax="47" xr10:uidLastSave="{4DC995FB-2406-4BB1-9949-F3665C929FED}"/>
  <bookViews>
    <workbookView xWindow="-98" yWindow="-98" windowWidth="21795" windowHeight="12975" tabRatio="803" activeTab="3" xr2:uid="{4080D182-73B7-4807-A345-FE8944D46A32}"/>
  </bookViews>
  <sheets>
    <sheet name="Dashboard" sheetId="2" r:id="rId1"/>
    <sheet name="Attendance" sheetId="3" r:id="rId2"/>
    <sheet name="Player Grading" sheetId="4" r:id="rId3"/>
    <sheet name="Team Selection" sheetId="5" r:id="rId4"/>
    <sheet name="Match Day Reports" sheetId="8" r:id="rId5"/>
    <sheet name="Workings" sheetId="6" r:id="rId6"/>
    <sheet name="Web Output" sheetId="7" r:id="rId7"/>
  </sheets>
  <definedNames>
    <definedName name="Opponents">Attendance!$D$46:$D$56</definedName>
    <definedName name="PlayerList">Attendance!$D$5:$D$24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141" i="5" l="1"/>
  <c r="F83" i="5"/>
  <c r="F82" i="5"/>
  <c r="F81" i="5"/>
  <c r="F80" i="5"/>
  <c r="F79" i="5"/>
  <c r="F77" i="5"/>
  <c r="F76" i="5"/>
  <c r="F75" i="5"/>
  <c r="F74" i="5"/>
  <c r="F73" i="5"/>
  <c r="F71" i="5"/>
  <c r="F70" i="5"/>
  <c r="F69" i="5"/>
  <c r="F68" i="5"/>
  <c r="F67" i="5"/>
  <c r="F65" i="5"/>
  <c r="F64" i="5"/>
  <c r="I137" i="5"/>
  <c r="I136" i="5"/>
  <c r="I135" i="5"/>
  <c r="I134" i="5"/>
  <c r="I133" i="5"/>
  <c r="I132" i="5"/>
  <c r="F78" i="5" s="1"/>
  <c r="I131" i="5"/>
  <c r="I130" i="5"/>
  <c r="I129" i="5"/>
  <c r="I128" i="5"/>
  <c r="I127" i="5"/>
  <c r="I126" i="5"/>
  <c r="F72" i="5" s="1"/>
  <c r="I125" i="5"/>
  <c r="I124" i="5"/>
  <c r="I123" i="5"/>
  <c r="I122" i="5"/>
  <c r="I121" i="5"/>
  <c r="I120" i="5"/>
  <c r="F66" i="5" s="1"/>
  <c r="I119" i="5"/>
  <c r="I118" i="5"/>
  <c r="A16" i="7"/>
  <c r="AB41" i="7" a="1"/>
  <c r="AB41" i="7" s="1"/>
  <c r="AB40" i="7" a="1"/>
  <c r="AB40" i="7" s="1"/>
  <c r="AB39" i="7" a="1"/>
  <c r="AB39" i="7" s="1"/>
  <c r="AB38" i="7" a="1"/>
  <c r="AB38" i="7" s="1"/>
  <c r="AB37" i="7" a="1"/>
  <c r="AB37" i="7" s="1"/>
  <c r="AB36" i="7" a="1"/>
  <c r="AB36" i="7" s="1"/>
  <c r="AB35" i="7" a="1"/>
  <c r="AB35" i="7" s="1"/>
  <c r="AB34" i="7" a="1"/>
  <c r="AB34" i="7" s="1"/>
  <c r="AB33" i="7" a="1"/>
  <c r="AB33" i="7" s="1"/>
  <c r="AB32" i="7" a="1"/>
  <c r="AB32" i="7" s="1"/>
  <c r="AB31" i="7" a="1"/>
  <c r="AB31" i="7" s="1"/>
  <c r="AB30" i="7" a="1"/>
  <c r="AB30" i="7" s="1"/>
  <c r="AB29" i="7" a="1"/>
  <c r="AB29" i="7" s="1"/>
  <c r="AB28" i="7" a="1"/>
  <c r="AB28" i="7" s="1"/>
  <c r="AB27" i="7" a="1"/>
  <c r="AB27" i="7" s="1"/>
  <c r="AB26" i="7" a="1"/>
  <c r="AB26" i="7" s="1"/>
  <c r="AB25" i="7" a="1"/>
  <c r="AB25" i="7" s="1"/>
  <c r="AB24" i="7" a="1"/>
  <c r="AB24" i="7" s="1"/>
  <c r="AB23" i="7" a="1"/>
  <c r="AB23" i="7" s="1"/>
  <c r="AB22" i="7" a="1"/>
  <c r="AB22" i="7" s="1"/>
  <c r="AB21" i="7" a="1"/>
  <c r="AB21" i="7" s="1"/>
  <c r="AB20" i="7" a="1"/>
  <c r="AB20" i="7" s="1"/>
  <c r="J39" i="7"/>
  <c r="J38" i="7"/>
  <c r="J37" i="7"/>
  <c r="H11" i="7" l="1"/>
  <c r="A15" i="7" s="1"/>
  <c r="FV27" i="3" l="1"/>
  <c r="FV26" i="3"/>
  <c r="FY3" i="3"/>
  <c r="FV3" i="3"/>
  <c r="FV2" i="3"/>
  <c r="FR27" i="3"/>
  <c r="FR26" i="3"/>
  <c r="FU3" i="3"/>
  <c r="FR3" i="3"/>
  <c r="FR2" i="3"/>
  <c r="FN27" i="3"/>
  <c r="FN26" i="3"/>
  <c r="FQ3" i="3"/>
  <c r="FN3" i="3"/>
  <c r="FN2" i="3"/>
  <c r="FJ27" i="3"/>
  <c r="FJ26" i="3"/>
  <c r="FM3" i="3"/>
  <c r="FJ3" i="3"/>
  <c r="FJ2" i="3"/>
  <c r="FF27" i="3"/>
  <c r="FF26" i="3"/>
  <c r="FI3" i="3"/>
  <c r="FF3" i="3"/>
  <c r="FF2" i="3"/>
  <c r="FB27" i="3"/>
  <c r="FB26" i="3"/>
  <c r="FE3" i="3"/>
  <c r="FB3" i="3"/>
  <c r="FB2" i="3"/>
  <c r="EX27" i="3"/>
  <c r="EX26" i="3"/>
  <c r="FA3" i="3"/>
  <c r="EX3" i="3"/>
  <c r="EX2" i="3"/>
  <c r="ET27" i="3"/>
  <c r="ET26" i="3"/>
  <c r="EW3" i="3"/>
  <c r="ET3" i="3"/>
  <c r="ET2" i="3"/>
  <c r="EP27" i="3"/>
  <c r="EP26" i="3"/>
  <c r="ES3" i="3"/>
  <c r="EP3" i="3"/>
  <c r="EP2" i="3"/>
  <c r="EL27" i="3"/>
  <c r="EL26" i="3"/>
  <c r="EO3" i="3"/>
  <c r="EL3" i="3"/>
  <c r="EL2" i="3"/>
  <c r="EH27" i="3"/>
  <c r="EH26" i="3"/>
  <c r="EK3" i="3"/>
  <c r="EH3" i="3"/>
  <c r="EH2" i="3"/>
  <c r="ED27" i="3"/>
  <c r="ED26" i="3"/>
  <c r="EG3" i="3"/>
  <c r="ED3" i="3"/>
  <c r="ED2" i="3"/>
  <c r="DZ27" i="3"/>
  <c r="DZ26" i="3"/>
  <c r="EC3" i="3"/>
  <c r="DZ3" i="3"/>
  <c r="DZ2" i="3"/>
  <c r="DV27" i="3"/>
  <c r="DV26" i="3"/>
  <c r="DY3" i="3"/>
  <c r="DV3" i="3"/>
  <c r="DV2" i="3"/>
  <c r="DR27" i="3"/>
  <c r="DR26" i="3"/>
  <c r="DU3" i="3"/>
  <c r="DR3" i="3"/>
  <c r="DR2" i="3"/>
  <c r="DN27" i="3"/>
  <c r="DN26" i="3"/>
  <c r="DQ3" i="3"/>
  <c r="DN3" i="3"/>
  <c r="DN2" i="3"/>
  <c r="DJ27" i="3"/>
  <c r="DJ26" i="3"/>
  <c r="DM3" i="3"/>
  <c r="DJ3" i="3"/>
  <c r="DJ2" i="3"/>
  <c r="DF27" i="3"/>
  <c r="DF26" i="3"/>
  <c r="DI3" i="3"/>
  <c r="DF3" i="3"/>
  <c r="DF2" i="3"/>
  <c r="DB27" i="3"/>
  <c r="DB26" i="3"/>
  <c r="DE3" i="3"/>
  <c r="DB3" i="3"/>
  <c r="DB2" i="3"/>
  <c r="CX27" i="3"/>
  <c r="CX26" i="3"/>
  <c r="DA3" i="3"/>
  <c r="CX3" i="3"/>
  <c r="CX2" i="3"/>
  <c r="CT27" i="3"/>
  <c r="CT26" i="3"/>
  <c r="CW3" i="3"/>
  <c r="CT3" i="3"/>
  <c r="CT2" i="3"/>
  <c r="CP27" i="3"/>
  <c r="CP26" i="3"/>
  <c r="CS3" i="3"/>
  <c r="CP3" i="3"/>
  <c r="CP2" i="3"/>
  <c r="P66" i="8"/>
  <c r="P65" i="8"/>
  <c r="P64" i="8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P50" i="8"/>
  <c r="P49" i="8"/>
  <c r="P48" i="8"/>
  <c r="P47" i="8"/>
  <c r="P46" i="8"/>
  <c r="P45" i="8"/>
  <c r="B73" i="8"/>
  <c r="B64" i="8"/>
  <c r="C61" i="8"/>
  <c r="E61" i="8" s="1" a="1"/>
  <c r="E61" i="8" s="1"/>
  <c r="B61" i="8"/>
  <c r="C60" i="8"/>
  <c r="G60" i="8" s="1" a="1"/>
  <c r="G60" i="8" s="1"/>
  <c r="H60" i="8" s="1"/>
  <c r="B60" i="8"/>
  <c r="C59" i="8"/>
  <c r="E59" i="8" s="1" a="1"/>
  <c r="E59" i="8" s="1"/>
  <c r="B59" i="8"/>
  <c r="C58" i="8"/>
  <c r="G58" i="8" s="1" a="1"/>
  <c r="G58" i="8" s="1"/>
  <c r="H58" i="8" s="1"/>
  <c r="B58" i="8"/>
  <c r="C57" i="8"/>
  <c r="G57" i="8" s="1" a="1"/>
  <c r="G57" i="8" s="1"/>
  <c r="H57" i="8" s="1"/>
  <c r="B57" i="8"/>
  <c r="C56" i="8"/>
  <c r="G56" i="8" s="1" a="1"/>
  <c r="G56" i="8" s="1"/>
  <c r="H56" i="8" s="1"/>
  <c r="B56" i="8"/>
  <c r="G55" i="8" a="1"/>
  <c r="G55" i="8" s="1"/>
  <c r="H55" i="8" s="1"/>
  <c r="F55" i="8" a="1"/>
  <c r="F55" i="8" s="1"/>
  <c r="E55" i="8" a="1"/>
  <c r="E55" i="8" s="1"/>
  <c r="C55" i="8"/>
  <c r="D55" i="8" s="1"/>
  <c r="C54" i="8"/>
  <c r="G54" i="8" s="1" a="1"/>
  <c r="G54" i="8" s="1"/>
  <c r="H54" i="8" s="1"/>
  <c r="C53" i="8"/>
  <c r="F53" i="8" s="1" a="1"/>
  <c r="F53" i="8" s="1"/>
  <c r="B53" i="8"/>
  <c r="C52" i="8"/>
  <c r="G52" i="8" s="1" a="1"/>
  <c r="G52" i="8" s="1"/>
  <c r="H52" i="8" s="1"/>
  <c r="B52" i="8"/>
  <c r="C51" i="8"/>
  <c r="E51" i="8" s="1" a="1"/>
  <c r="E51" i="8" s="1"/>
  <c r="B51" i="8"/>
  <c r="C50" i="8"/>
  <c r="G50" i="8" s="1" a="1"/>
  <c r="G50" i="8" s="1"/>
  <c r="H50" i="8" s="1"/>
  <c r="C49" i="8"/>
  <c r="E49" i="8" s="1" a="1"/>
  <c r="E49" i="8" s="1"/>
  <c r="B49" i="8"/>
  <c r="C48" i="8"/>
  <c r="G48" i="8" s="1" a="1"/>
  <c r="G48" i="8" s="1"/>
  <c r="H48" i="8" s="1"/>
  <c r="B48" i="8"/>
  <c r="C47" i="8"/>
  <c r="G47" i="8" s="1" a="1"/>
  <c r="G47" i="8" s="1"/>
  <c r="H47" i="8" s="1"/>
  <c r="B47" i="8"/>
  <c r="C46" i="8"/>
  <c r="G46" i="8" s="1" a="1"/>
  <c r="G46" i="8" s="1"/>
  <c r="H46" i="8" s="1"/>
  <c r="G45" i="8" a="1"/>
  <c r="G45" i="8" s="1"/>
  <c r="H45" i="8" s="1"/>
  <c r="F45" i="8" a="1"/>
  <c r="F45" i="8" s="1"/>
  <c r="E45" i="8" a="1"/>
  <c r="E45" i="8" s="1"/>
  <c r="C45" i="8"/>
  <c r="D45" i="8" s="1"/>
  <c r="C44" i="8"/>
  <c r="G44" i="8" s="1" a="1"/>
  <c r="G44" i="8" s="1"/>
  <c r="H44" i="8" s="1"/>
  <c r="C43" i="8"/>
  <c r="G43" i="8" s="1" a="1"/>
  <c r="G43" i="8" s="1"/>
  <c r="H43" i="8" s="1"/>
  <c r="B43" i="8"/>
  <c r="C42" i="8"/>
  <c r="G42" i="8" s="1" a="1"/>
  <c r="G42" i="8" s="1"/>
  <c r="H42" i="8" s="1"/>
  <c r="B42" i="8"/>
  <c r="C38" i="8" a="1"/>
  <c r="C38" i="8" s="1"/>
  <c r="E38" i="8" s="1" a="1"/>
  <c r="E38" i="8" s="1"/>
  <c r="C37" i="8" a="1"/>
  <c r="C37" i="8" s="1"/>
  <c r="D37" i="8" s="1" a="1"/>
  <c r="D37" i="8" s="1"/>
  <c r="C36" i="8" a="1"/>
  <c r="C36" i="8" s="1"/>
  <c r="D36" i="8" s="1" a="1"/>
  <c r="D36" i="8" s="1"/>
  <c r="C35" i="8" a="1"/>
  <c r="C35" i="8" s="1"/>
  <c r="E35" i="8" s="1" a="1"/>
  <c r="E35" i="8" s="1"/>
  <c r="C34" i="8" a="1"/>
  <c r="C34" i="8" s="1"/>
  <c r="E34" i="8" s="1" a="1"/>
  <c r="E34" i="8" s="1"/>
  <c r="C33" i="8" a="1"/>
  <c r="C33" i="8" s="1"/>
  <c r="E33" i="8" s="1" a="1"/>
  <c r="E33" i="8" s="1"/>
  <c r="C32" i="8" a="1"/>
  <c r="C32" i="8" s="1"/>
  <c r="D32" i="8" s="1" a="1"/>
  <c r="D32" i="8" s="1"/>
  <c r="B46" i="8" l="1"/>
  <c r="D51" i="8"/>
  <c r="D61" i="8"/>
  <c r="G61" i="8" a="1"/>
  <c r="G61" i="8" s="1"/>
  <c r="H61" i="8" s="1"/>
  <c r="E43" i="8" a="1"/>
  <c r="E43" i="8" s="1"/>
  <c r="B44" i="8"/>
  <c r="D49" i="8"/>
  <c r="B54" i="8"/>
  <c r="D59" i="8"/>
  <c r="D42" i="8"/>
  <c r="F51" i="8" a="1"/>
  <c r="F51" i="8" s="1"/>
  <c r="E42" i="8" a="1"/>
  <c r="E42" i="8" s="1"/>
  <c r="F42" i="8" a="1"/>
  <c r="F42" i="8" s="1"/>
  <c r="E47" i="8" a="1"/>
  <c r="E47" i="8" s="1"/>
  <c r="F47" i="8" a="1"/>
  <c r="F47" i="8" s="1"/>
  <c r="D53" i="8"/>
  <c r="G53" i="8" a="1"/>
  <c r="G53" i="8" s="1"/>
  <c r="H53" i="8" s="1"/>
  <c r="B45" i="8"/>
  <c r="F49" i="8" a="1"/>
  <c r="F49" i="8" s="1"/>
  <c r="B55" i="8"/>
  <c r="F59" i="8" a="1"/>
  <c r="F59" i="8" s="1"/>
  <c r="F61" i="8" a="1"/>
  <c r="F61" i="8" s="1"/>
  <c r="G51" i="8" a="1"/>
  <c r="G51" i="8" s="1"/>
  <c r="H51" i="8" s="1"/>
  <c r="D47" i="8"/>
  <c r="D57" i="8"/>
  <c r="F57" i="8" a="1"/>
  <c r="F57" i="8" s="1"/>
  <c r="D43" i="8"/>
  <c r="E53" i="8" a="1"/>
  <c r="E53" i="8" s="1"/>
  <c r="F43" i="8" a="1"/>
  <c r="F43" i="8" s="1"/>
  <c r="D9" i="8" a="1"/>
  <c r="D9" i="8" s="1"/>
  <c r="G49" i="8" a="1"/>
  <c r="G49" i="8" s="1"/>
  <c r="H49" i="8" s="1"/>
  <c r="G59" i="8" a="1"/>
  <c r="G59" i="8" s="1"/>
  <c r="H59" i="8" s="1"/>
  <c r="B50" i="8"/>
  <c r="E57" i="8" a="1"/>
  <c r="E57" i="8" s="1"/>
  <c r="E32" i="8" a="1"/>
  <c r="E32" i="8" s="1"/>
  <c r="F32" i="8" s="1"/>
  <c r="D33" i="8" a="1"/>
  <c r="D33" i="8" s="1"/>
  <c r="D34" i="8" a="1"/>
  <c r="D34" i="8" s="1"/>
  <c r="E37" i="8" a="1"/>
  <c r="E37" i="8" s="1"/>
  <c r="F37" i="8" s="1"/>
  <c r="G32" i="8"/>
  <c r="D35" i="8" a="1"/>
  <c r="D35" i="8" s="1"/>
  <c r="E36" i="8" a="1"/>
  <c r="E36" i="8" s="1"/>
  <c r="F36" i="8" s="1"/>
  <c r="D38" i="8" a="1"/>
  <c r="D38" i="8" s="1"/>
  <c r="D44" i="8"/>
  <c r="D46" i="8"/>
  <c r="D48" i="8"/>
  <c r="D50" i="8"/>
  <c r="D52" i="8"/>
  <c r="D54" i="8"/>
  <c r="D56" i="8"/>
  <c r="D58" i="8"/>
  <c r="D60" i="8"/>
  <c r="E44" i="8" a="1"/>
  <c r="E44" i="8" s="1"/>
  <c r="E46" i="8" a="1"/>
  <c r="E46" i="8" s="1"/>
  <c r="E48" i="8" a="1"/>
  <c r="E48" i="8" s="1"/>
  <c r="E50" i="8" a="1"/>
  <c r="E50" i="8" s="1"/>
  <c r="E52" i="8" a="1"/>
  <c r="E52" i="8" s="1"/>
  <c r="E54" i="8" a="1"/>
  <c r="E54" i="8" s="1"/>
  <c r="E56" i="8" a="1"/>
  <c r="E56" i="8" s="1"/>
  <c r="E58" i="8" a="1"/>
  <c r="E58" i="8" s="1"/>
  <c r="E60" i="8" a="1"/>
  <c r="E60" i="8" s="1"/>
  <c r="F44" i="8" a="1"/>
  <c r="F44" i="8" s="1"/>
  <c r="F46" i="8" a="1"/>
  <c r="F46" i="8" s="1"/>
  <c r="F48" i="8" a="1"/>
  <c r="F48" i="8" s="1"/>
  <c r="F50" i="8" a="1"/>
  <c r="F50" i="8" s="1"/>
  <c r="F52" i="8" a="1"/>
  <c r="F52" i="8" s="1"/>
  <c r="F54" i="8" a="1"/>
  <c r="F54" i="8" s="1"/>
  <c r="F56" i="8" a="1"/>
  <c r="F56" i="8" s="1"/>
  <c r="F58" i="8" a="1"/>
  <c r="F58" i="8" s="1"/>
  <c r="F60" i="8" a="1"/>
  <c r="F60" i="8" s="1"/>
  <c r="G36" i="8"/>
  <c r="G33" i="8"/>
  <c r="F33" i="8"/>
  <c r="G34" i="8"/>
  <c r="F34" i="8"/>
  <c r="G35" i="8"/>
  <c r="F35" i="8"/>
  <c r="G37" i="8"/>
  <c r="G38" i="8"/>
  <c r="F38" i="8"/>
  <c r="D14" i="8" l="1"/>
  <c r="D12" i="8" a="1"/>
  <c r="D12" i="8" s="1"/>
  <c r="D11" i="8" a="1"/>
  <c r="D11" i="8" s="1"/>
  <c r="D10" i="8" a="1"/>
  <c r="D10" i="8" s="1"/>
  <c r="D140" i="5" l="1"/>
  <c r="D10" i="5"/>
  <c r="D65" i="2"/>
  <c r="B65" i="2"/>
  <c r="D64" i="2"/>
  <c r="B64" i="2"/>
  <c r="D63" i="2"/>
  <c r="B63" i="2"/>
  <c r="D62" i="2"/>
  <c r="B62" i="2"/>
  <c r="D61" i="2"/>
  <c r="B61" i="2"/>
  <c r="D60" i="2"/>
  <c r="B60" i="2"/>
  <c r="AF35" i="2"/>
  <c r="AN35" i="2" s="1"/>
  <c r="AI35" i="2"/>
  <c r="AO35" i="2"/>
  <c r="AP35" i="2"/>
  <c r="AF36" i="2"/>
  <c r="AK36" i="2" s="1"/>
  <c r="AF37" i="2"/>
  <c r="AW37" i="2" s="1"/>
  <c r="AG37" i="2" a="1"/>
  <c r="AG37" i="2" s="1"/>
  <c r="AH37" i="2" a="1"/>
  <c r="AH37" i="2" s="1"/>
  <c r="AM37" i="2"/>
  <c r="AN37" i="2"/>
  <c r="AO37" i="2"/>
  <c r="AP37" i="2"/>
  <c r="AQ37" i="2"/>
  <c r="AR37" i="2"/>
  <c r="AS37" i="2"/>
  <c r="AF38" i="2"/>
  <c r="AW38" i="2" s="1"/>
  <c r="AG38" i="2" a="1"/>
  <c r="AG38" i="2" s="1"/>
  <c r="AH38" i="2" a="1"/>
  <c r="AH38" i="2" s="1"/>
  <c r="AI38" i="2"/>
  <c r="AJ38" i="2"/>
  <c r="AK38" i="2"/>
  <c r="AP38" i="2"/>
  <c r="AU38" i="2"/>
  <c r="AV38" i="2"/>
  <c r="AY38" i="2"/>
  <c r="BA38" i="2"/>
  <c r="BB38" i="2"/>
  <c r="BD38" i="2"/>
  <c r="AF39" i="2"/>
  <c r="AU39" i="2" s="1"/>
  <c r="AF40" i="2"/>
  <c r="AZ40" i="2" s="1"/>
  <c r="AF41" i="2"/>
  <c r="AT41" i="2" s="1"/>
  <c r="AK41" i="2"/>
  <c r="AL41" i="2"/>
  <c r="AM41" i="2"/>
  <c r="AN41" i="2"/>
  <c r="AO41" i="2"/>
  <c r="AP41" i="2"/>
  <c r="AQ41" i="2"/>
  <c r="AR41" i="2"/>
  <c r="AS41" i="2"/>
  <c r="AV41" i="2"/>
  <c r="AX41" i="2"/>
  <c r="AY41" i="2"/>
  <c r="AZ41" i="2"/>
  <c r="BA41" i="2"/>
  <c r="AF42" i="2"/>
  <c r="AU42" i="2" s="1"/>
  <c r="AG42" i="2" a="1"/>
  <c r="AG42" i="2" s="1"/>
  <c r="AF43" i="2"/>
  <c r="AQ43" i="2" s="1"/>
  <c r="AH43" i="2" a="1"/>
  <c r="AH43" i="2" s="1"/>
  <c r="AI43" i="2"/>
  <c r="AM43" i="2"/>
  <c r="AN43" i="2"/>
  <c r="AO43" i="2"/>
  <c r="AP43" i="2"/>
  <c r="AS43" i="2"/>
  <c r="AT43" i="2"/>
  <c r="AU43" i="2"/>
  <c r="AX43" i="2"/>
  <c r="AY43" i="2"/>
  <c r="BB43" i="2"/>
  <c r="AF44" i="2"/>
  <c r="AV44" i="2" s="1"/>
  <c r="AG44" i="2" a="1"/>
  <c r="AG44" i="2" s="1"/>
  <c r="AJ44" i="2"/>
  <c r="AF45" i="2"/>
  <c r="AG45" i="2" s="1" a="1"/>
  <c r="AG45" i="2" s="1"/>
  <c r="AF46" i="2"/>
  <c r="AI46" i="2" s="1"/>
  <c r="AG46" i="2" a="1"/>
  <c r="AG46" i="2" s="1"/>
  <c r="AH46" i="2" a="1"/>
  <c r="AH46" i="2" s="1"/>
  <c r="AL46" i="2"/>
  <c r="AM46" i="2"/>
  <c r="AN46" i="2"/>
  <c r="AO46" i="2"/>
  <c r="AP46" i="2"/>
  <c r="AQ46" i="2"/>
  <c r="AR46" i="2"/>
  <c r="AS46" i="2"/>
  <c r="AT46" i="2"/>
  <c r="AW46" i="2"/>
  <c r="AF47" i="2"/>
  <c r="AZ47" i="2" s="1"/>
  <c r="AI47" i="2"/>
  <c r="AJ47" i="2"/>
  <c r="AK47" i="2"/>
  <c r="AL47" i="2"/>
  <c r="AP47" i="2"/>
  <c r="AQ47" i="2"/>
  <c r="AF48" i="2"/>
  <c r="AV48" i="2" s="1"/>
  <c r="AG48" i="2" a="1"/>
  <c r="AG48" i="2" s="1"/>
  <c r="AJ48" i="2"/>
  <c r="AK48" i="2"/>
  <c r="AO48" i="2"/>
  <c r="AP48" i="2"/>
  <c r="AQ48" i="2"/>
  <c r="AR48" i="2"/>
  <c r="AS48" i="2"/>
  <c r="AF49" i="2"/>
  <c r="AT49" i="2" s="1"/>
  <c r="AG49" i="2" a="1"/>
  <c r="AG49" i="2" s="1"/>
  <c r="AF50" i="2"/>
  <c r="AW50" i="2" s="1"/>
  <c r="AI50" i="2"/>
  <c r="AJ50" i="2"/>
  <c r="AK50" i="2"/>
  <c r="AL50" i="2"/>
  <c r="AF51" i="2"/>
  <c r="AM51" i="2" s="1"/>
  <c r="AG51" i="2" a="1"/>
  <c r="AG51" i="2" s="1"/>
  <c r="AH51" i="2" a="1"/>
  <c r="AH51" i="2" s="1"/>
  <c r="AF52" i="2"/>
  <c r="AR52" i="2" s="1"/>
  <c r="AG52" i="2" a="1"/>
  <c r="AG52" i="2"/>
  <c r="AH52" i="2" a="1"/>
  <c r="AH52" i="2"/>
  <c r="AI52" i="2"/>
  <c r="BA52" i="2"/>
  <c r="BB52" i="2"/>
  <c r="BC52" i="2"/>
  <c r="BD52" i="2"/>
  <c r="BE52" i="2"/>
  <c r="AF53" i="2"/>
  <c r="AZ53" i="2" s="1"/>
  <c r="AK53" i="2"/>
  <c r="AO53" i="2"/>
  <c r="AP53" i="2"/>
  <c r="AQ53" i="2"/>
  <c r="AR53" i="2"/>
  <c r="AS53" i="2"/>
  <c r="AT53" i="2"/>
  <c r="AU53" i="2"/>
  <c r="AV53" i="2"/>
  <c r="AW53" i="2"/>
  <c r="AF54" i="2"/>
  <c r="BF54" i="2" s="1"/>
  <c r="AG54" i="2" a="1"/>
  <c r="AG54" i="2" s="1"/>
  <c r="AI54" i="2"/>
  <c r="AJ54" i="2"/>
  <c r="AK54" i="2"/>
  <c r="AL54" i="2"/>
  <c r="AZ52" i="2" l="1"/>
  <c r="AS52" i="2"/>
  <c r="AG36" i="2" a="1"/>
  <c r="AG36" i="2" s="1"/>
  <c r="AV52" i="2"/>
  <c r="BC35" i="2"/>
  <c r="BE54" i="2"/>
  <c r="AP52" i="2"/>
  <c r="AO52" i="2"/>
  <c r="AN52" i="2"/>
  <c r="AJ45" i="2"/>
  <c r="AW35" i="2"/>
  <c r="AM52" i="2"/>
  <c r="BB46" i="2"/>
  <c r="AI45" i="2"/>
  <c r="AH41" i="2" a="1"/>
  <c r="AH41" i="2" s="1"/>
  <c r="BA37" i="2"/>
  <c r="AV35" i="2"/>
  <c r="AY52" i="2"/>
  <c r="AX52" i="2"/>
  <c r="BD37" i="2"/>
  <c r="AS54" i="2"/>
  <c r="AY48" i="2"/>
  <c r="AO54" i="2"/>
  <c r="BH52" i="2"/>
  <c r="AL52" i="2"/>
  <c r="AX48" i="2"/>
  <c r="BA46" i="2"/>
  <c r="AH45" i="2" a="1"/>
  <c r="AH45" i="2" s="1"/>
  <c r="AL42" i="2"/>
  <c r="AY37" i="2"/>
  <c r="AU35" i="2"/>
  <c r="AX54" i="2"/>
  <c r="AN54" i="2"/>
  <c r="BG52" i="2"/>
  <c r="AK52" i="2"/>
  <c r="AU48" i="2"/>
  <c r="AZ46" i="2"/>
  <c r="AH42" i="2" a="1"/>
  <c r="AH42" i="2" s="1"/>
  <c r="AG41" i="2" a="1"/>
  <c r="AG41" i="2" s="1"/>
  <c r="AU37" i="2"/>
  <c r="AT35" i="2"/>
  <c r="AU52" i="2"/>
  <c r="AT52" i="2"/>
  <c r="BH54" i="2"/>
  <c r="AQ52" i="2"/>
  <c r="AK45" i="2"/>
  <c r="AX35" i="2"/>
  <c r="AT54" i="2"/>
  <c r="AM54" i="2"/>
  <c r="BF52" i="2"/>
  <c r="AJ52" i="2"/>
  <c r="AT48" i="2"/>
  <c r="AY46" i="2"/>
  <c r="AT37" i="2"/>
  <c r="AS35" i="2"/>
  <c r="AX40" i="2"/>
  <c r="AS39" i="2"/>
  <c r="AY40" i="2"/>
  <c r="AU40" i="2"/>
  <c r="AP39" i="2"/>
  <c r="AW40" i="2"/>
  <c r="AR39" i="2"/>
  <c r="AV40" i="2"/>
  <c r="AQ39" i="2"/>
  <c r="AT40" i="2"/>
  <c r="AO39" i="2"/>
  <c r="AN49" i="2"/>
  <c r="AS40" i="2"/>
  <c r="AN39" i="2"/>
  <c r="AJ41" i="2"/>
  <c r="AH49" i="2" a="1"/>
  <c r="AH49" i="2" s="1"/>
  <c r="AM48" i="2"/>
  <c r="AJ46" i="2"/>
  <c r="AK43" i="2"/>
  <c r="BC41" i="2"/>
  <c r="AI41" i="2"/>
  <c r="AJ39" i="2"/>
  <c r="AK37" i="2"/>
  <c r="AR35" i="2"/>
  <c r="AT39" i="2"/>
  <c r="AJ49" i="2"/>
  <c r="AN40" i="2"/>
  <c r="AM39" i="2"/>
  <c r="AI49" i="2"/>
  <c r="AI40" i="2"/>
  <c r="AL39" i="2"/>
  <c r="AN48" i="2"/>
  <c r="AK46" i="2"/>
  <c r="AL43" i="2"/>
  <c r="BD41" i="2"/>
  <c r="AH40" i="2" a="1"/>
  <c r="AH40" i="2" s="1"/>
  <c r="AK39" i="2"/>
  <c r="AL37" i="2"/>
  <c r="AL48" i="2"/>
  <c r="BD46" i="2"/>
  <c r="AJ43" i="2"/>
  <c r="BB41" i="2"/>
  <c r="AG40" i="2" a="1"/>
  <c r="AG40" i="2" s="1"/>
  <c r="AG39" i="2" a="1"/>
  <c r="AG39" i="2" s="1"/>
  <c r="AJ37" i="2"/>
  <c r="AQ35" i="2"/>
  <c r="BD43" i="2"/>
  <c r="AX46" i="2"/>
  <c r="BC43" i="2"/>
  <c r="AG43" i="2" a="1"/>
  <c r="AG43" i="2" s="1"/>
  <c r="AW41" i="2"/>
  <c r="AZ38" i="2"/>
  <c r="AZ37" i="2"/>
  <c r="AW47" i="2"/>
  <c r="BB40" i="2"/>
  <c r="BD39" i="2"/>
  <c r="BD48" i="2"/>
  <c r="AV47" i="2"/>
  <c r="AV46" i="2"/>
  <c r="BA43" i="2"/>
  <c r="AR42" i="2"/>
  <c r="AU41" i="2"/>
  <c r="BA40" i="2"/>
  <c r="AY39" i="2"/>
  <c r="AX38" i="2"/>
  <c r="AX37" i="2"/>
  <c r="AH36" i="2" a="1"/>
  <c r="AH36" i="2" s="1"/>
  <c r="AZ48" i="2"/>
  <c r="AU47" i="2"/>
  <c r="AU46" i="2"/>
  <c r="AZ43" i="2"/>
  <c r="AQ42" i="2"/>
  <c r="AX39" i="2"/>
  <c r="AV37" i="2"/>
  <c r="AZ51" i="2"/>
  <c r="BD49" i="2"/>
  <c r="AO45" i="2"/>
  <c r="AP45" i="2"/>
  <c r="AQ45" i="2"/>
  <c r="AT45" i="2"/>
  <c r="AU45" i="2"/>
  <c r="AV45" i="2"/>
  <c r="BC36" i="2"/>
  <c r="AY51" i="2"/>
  <c r="BC45" i="2"/>
  <c r="AY44" i="2"/>
  <c r="AJ53" i="2"/>
  <c r="AW51" i="2"/>
  <c r="BB50" i="2"/>
  <c r="BA49" i="2"/>
  <c r="AH47" i="2" a="1"/>
  <c r="AH47" i="2" s="1"/>
  <c r="BA45" i="2"/>
  <c r="AX44" i="2"/>
  <c r="AZ36" i="2"/>
  <c r="BG54" i="2"/>
  <c r="AH54" i="2" a="1"/>
  <c r="AH54" i="2" s="1"/>
  <c r="AV51" i="2"/>
  <c r="AX50" i="2"/>
  <c r="AZ49" i="2"/>
  <c r="AZ45" i="2"/>
  <c r="AW44" i="2"/>
  <c r="BA42" i="2"/>
  <c r="AY36" i="2"/>
  <c r="AG53" i="2" a="1"/>
  <c r="AG53" i="2" s="1"/>
  <c r="AU51" i="2"/>
  <c r="AY49" i="2"/>
  <c r="AG47" i="2" a="1"/>
  <c r="AG47" i="2" s="1"/>
  <c r="AY45" i="2"/>
  <c r="AZ42" i="2"/>
  <c r="AX36" i="2"/>
  <c r="AZ44" i="2"/>
  <c r="AH44" i="2" a="1"/>
  <c r="AH44" i="2" s="1"/>
  <c r="BA44" i="2"/>
  <c r="BB44" i="2"/>
  <c r="AI44" i="2"/>
  <c r="BC44" i="2"/>
  <c r="AK44" i="2"/>
  <c r="AL44" i="2"/>
  <c r="AM44" i="2"/>
  <c r="AN44" i="2"/>
  <c r="AT50" i="2"/>
  <c r="AU50" i="2"/>
  <c r="AV50" i="2"/>
  <c r="AG50" i="2" a="1"/>
  <c r="AG50" i="2" s="1"/>
  <c r="AY50" i="2"/>
  <c r="AZ50" i="2"/>
  <c r="AH50" i="2" a="1"/>
  <c r="AH50" i="2" s="1"/>
  <c r="BA50" i="2"/>
  <c r="BA51" i="2"/>
  <c r="BD45" i="2"/>
  <c r="BD50" i="2"/>
  <c r="AX51" i="2"/>
  <c r="BB45" i="2"/>
  <c r="AS50" i="2"/>
  <c r="BD47" i="2"/>
  <c r="AU44" i="2"/>
  <c r="AY42" i="2"/>
  <c r="AW36" i="2"/>
  <c r="AP54" i="2"/>
  <c r="AQ54" i="2"/>
  <c r="AR54" i="2"/>
  <c r="AU54" i="2"/>
  <c r="AV54" i="2"/>
  <c r="AW54" i="2"/>
  <c r="AS51" i="2"/>
  <c r="AW49" i="2"/>
  <c r="AR36" i="2"/>
  <c r="BC54" i="2"/>
  <c r="AR51" i="2"/>
  <c r="AV49" i="2"/>
  <c r="AS45" i="2"/>
  <c r="AM36" i="2"/>
  <c r="BB54" i="2"/>
  <c r="BD53" i="2"/>
  <c r="AQ51" i="2"/>
  <c r="AP50" i="2"/>
  <c r="AU49" i="2"/>
  <c r="BA47" i="2"/>
  <c r="AR45" i="2"/>
  <c r="AR44" i="2"/>
  <c r="AV42" i="2"/>
  <c r="AJ40" i="2"/>
  <c r="BD40" i="2"/>
  <c r="AK40" i="2"/>
  <c r="AL40" i="2"/>
  <c r="AM40" i="2"/>
  <c r="AO40" i="2"/>
  <c r="AP40" i="2"/>
  <c r="AQ40" i="2"/>
  <c r="AR40" i="2"/>
  <c r="AL38" i="2"/>
  <c r="AM38" i="2"/>
  <c r="AN38" i="2"/>
  <c r="AO38" i="2"/>
  <c r="AQ38" i="2"/>
  <c r="AR38" i="2"/>
  <c r="AS38" i="2"/>
  <c r="AT38" i="2"/>
  <c r="AL36" i="2"/>
  <c r="BA54" i="2"/>
  <c r="AO50" i="2"/>
  <c r="AN45" i="2"/>
  <c r="AQ44" i="2"/>
  <c r="AI51" i="2"/>
  <c r="BC51" i="2"/>
  <c r="AJ51" i="2"/>
  <c r="BD51" i="2"/>
  <c r="AK51" i="2"/>
  <c r="AN51" i="2"/>
  <c r="AO51" i="2"/>
  <c r="AP51" i="2"/>
  <c r="BB51" i="2"/>
  <c r="BB42" i="2"/>
  <c r="BC42" i="2"/>
  <c r="AJ42" i="2"/>
  <c r="BD42" i="2"/>
  <c r="AK42" i="2"/>
  <c r="AI42" i="2"/>
  <c r="AM42" i="2"/>
  <c r="AN42" i="2"/>
  <c r="AO42" i="2"/>
  <c r="AP42" i="2"/>
  <c r="AN36" i="2"/>
  <c r="AO36" i="2"/>
  <c r="AP36" i="2"/>
  <c r="AQ36" i="2"/>
  <c r="AS36" i="2"/>
  <c r="AT36" i="2"/>
  <c r="AU36" i="2"/>
  <c r="AV36" i="2"/>
  <c r="BD36" i="2"/>
  <c r="AK49" i="2"/>
  <c r="AL49" i="2"/>
  <c r="AM49" i="2"/>
  <c r="AP49" i="2"/>
  <c r="AQ49" i="2"/>
  <c r="AR49" i="2"/>
  <c r="BC49" i="2"/>
  <c r="BD44" i="2"/>
  <c r="BB36" i="2"/>
  <c r="BC50" i="2"/>
  <c r="BB49" i="2"/>
  <c r="BA36" i="2"/>
  <c r="AH53" i="2" a="1"/>
  <c r="AH53" i="2" s="1"/>
  <c r="BA53" i="2"/>
  <c r="BB53" i="2"/>
  <c r="AI53" i="2"/>
  <c r="BC53" i="2"/>
  <c r="AL53" i="2"/>
  <c r="BF53" i="2"/>
  <c r="AM53" i="2"/>
  <c r="BG53" i="2"/>
  <c r="AN53" i="2"/>
  <c r="BH53" i="2"/>
  <c r="AT51" i="2"/>
  <c r="AX49" i="2"/>
  <c r="AM47" i="2"/>
  <c r="AN47" i="2"/>
  <c r="AO47" i="2"/>
  <c r="AR47" i="2"/>
  <c r="AS47" i="2"/>
  <c r="AT47" i="2"/>
  <c r="AX45" i="2"/>
  <c r="BD54" i="2"/>
  <c r="AR50" i="2"/>
  <c r="BC47" i="2"/>
  <c r="AW45" i="2"/>
  <c r="AT44" i="2"/>
  <c r="AX42" i="2"/>
  <c r="BE53" i="2"/>
  <c r="AQ50" i="2"/>
  <c r="BB47" i="2"/>
  <c r="AS44" i="2"/>
  <c r="AW42" i="2"/>
  <c r="AZ54" i="2"/>
  <c r="AY53" i="2"/>
  <c r="AL51" i="2"/>
  <c r="AN50" i="2"/>
  <c r="AS49" i="2"/>
  <c r="AY47" i="2"/>
  <c r="AM45" i="2"/>
  <c r="AP44" i="2"/>
  <c r="AT42" i="2"/>
  <c r="AJ36" i="2"/>
  <c r="AY54" i="2"/>
  <c r="AX53" i="2"/>
  <c r="AM50" i="2"/>
  <c r="AO49" i="2"/>
  <c r="AX47" i="2"/>
  <c r="AL45" i="2"/>
  <c r="AO44" i="2"/>
  <c r="AS42" i="2"/>
  <c r="BC40" i="2"/>
  <c r="BC38" i="2"/>
  <c r="AI36" i="2"/>
  <c r="AG35" i="2" a="1"/>
  <c r="AG35" i="2" s="1"/>
  <c r="AY35" i="2"/>
  <c r="AZ35" i="2"/>
  <c r="AH35" i="2" a="1"/>
  <c r="AH35" i="2" s="1"/>
  <c r="BA35" i="2"/>
  <c r="BB35" i="2"/>
  <c r="AJ35" i="2"/>
  <c r="BD35" i="2"/>
  <c r="AK35" i="2"/>
  <c r="AL35" i="2"/>
  <c r="AM35" i="2"/>
  <c r="BC39" i="2"/>
  <c r="AI39" i="2"/>
  <c r="BC48" i="2"/>
  <c r="AI48" i="2"/>
  <c r="BB39" i="2"/>
  <c r="BB48" i="2"/>
  <c r="AW43" i="2"/>
  <c r="BA39" i="2"/>
  <c r="AH39" i="2" a="1"/>
  <c r="AH39" i="2" s="1"/>
  <c r="BC37" i="2"/>
  <c r="AI37" i="2"/>
  <c r="AW52" i="2"/>
  <c r="BA48" i="2"/>
  <c r="AH48" i="2" a="1"/>
  <c r="AH48" i="2" s="1"/>
  <c r="BC46" i="2"/>
  <c r="AV43" i="2"/>
  <c r="AZ39" i="2"/>
  <c r="BB37" i="2"/>
  <c r="AW39" i="2"/>
  <c r="AW48" i="2"/>
  <c r="AR43" i="2"/>
  <c r="AV39" i="2"/>
  <c r="A7" i="7" l="1"/>
  <c r="Z37" i="7" a="1"/>
  <c r="Z37" i="7" s="1"/>
  <c r="Z38" i="7" a="1"/>
  <c r="Z38" i="7" s="1"/>
  <c r="Z39" i="7" a="1"/>
  <c r="Z39" i="7" s="1"/>
  <c r="X20" i="7" a="1"/>
  <c r="X20" i="7" s="1"/>
  <c r="X21" i="7" a="1"/>
  <c r="X21" i="7" s="1"/>
  <c r="X22" i="7" a="1"/>
  <c r="X22" i="7" s="1"/>
  <c r="X23" i="7" a="1"/>
  <c r="X23" i="7" s="1"/>
  <c r="X24" i="7" a="1"/>
  <c r="X24" i="7" s="1"/>
  <c r="X25" i="7" a="1"/>
  <c r="X25" i="7" s="1"/>
  <c r="X26" i="7" a="1"/>
  <c r="X26" i="7" s="1"/>
  <c r="X27" i="7" a="1"/>
  <c r="X27" i="7" s="1"/>
  <c r="X28" i="7" a="1"/>
  <c r="X28" i="7" s="1"/>
  <c r="X29" i="7" a="1"/>
  <c r="X29" i="7" s="1"/>
  <c r="X30" i="7" a="1"/>
  <c r="X30" i="7" s="1"/>
  <c r="X31" i="7" a="1"/>
  <c r="X31" i="7" s="1"/>
  <c r="X32" i="7" a="1"/>
  <c r="X32" i="7" s="1"/>
  <c r="X33" i="7" a="1"/>
  <c r="X33" i="7" s="1"/>
  <c r="X34" i="7" a="1"/>
  <c r="X34" i="7" s="1"/>
  <c r="X35" i="7" a="1"/>
  <c r="X35" i="7" s="1"/>
  <c r="X36" i="7" a="1"/>
  <c r="X36" i="7" s="1"/>
  <c r="X37" i="7" a="1"/>
  <c r="X37" i="7"/>
  <c r="X38" i="7" a="1"/>
  <c r="X38" i="7"/>
  <c r="X39" i="7" a="1"/>
  <c r="X39" i="7" s="1"/>
  <c r="N20" i="7" a="1"/>
  <c r="N20" i="7" s="1"/>
  <c r="N21" i="7" a="1"/>
  <c r="N21" i="7" s="1"/>
  <c r="N22" i="7" a="1"/>
  <c r="N22" i="7" s="1"/>
  <c r="N23" i="7" a="1"/>
  <c r="N23" i="7" s="1"/>
  <c r="N24" i="7" a="1"/>
  <c r="N24" i="7"/>
  <c r="N25" i="7" a="1"/>
  <c r="N25" i="7" s="1"/>
  <c r="N26" i="7" a="1"/>
  <c r="N26" i="7"/>
  <c r="N27" i="7" a="1"/>
  <c r="N27" i="7" s="1"/>
  <c r="N28" i="7" a="1"/>
  <c r="N28" i="7" s="1"/>
  <c r="N29" i="7" a="1"/>
  <c r="N29" i="7" s="1"/>
  <c r="N30" i="7" a="1"/>
  <c r="N30" i="7" s="1"/>
  <c r="N31" i="7" a="1"/>
  <c r="N31" i="7" s="1"/>
  <c r="N32" i="7" a="1"/>
  <c r="N32" i="7" s="1"/>
  <c r="N33" i="7" a="1"/>
  <c r="N33" i="7" s="1"/>
  <c r="N34" i="7" a="1"/>
  <c r="N34" i="7"/>
  <c r="N35" i="7" a="1"/>
  <c r="N35" i="7" s="1"/>
  <c r="N36" i="7" a="1"/>
  <c r="N36" i="7" s="1"/>
  <c r="N37" i="7" a="1"/>
  <c r="N37" i="7"/>
  <c r="N38" i="7" a="1"/>
  <c r="N38" i="7"/>
  <c r="N39" i="7" a="1"/>
  <c r="N39" i="7" s="1"/>
  <c r="N40" i="7" a="1"/>
  <c r="N40" i="7" s="1"/>
  <c r="N41" i="7" a="1"/>
  <c r="N41" i="7" s="1"/>
  <c r="N42" i="7" a="1"/>
  <c r="N42" i="7" s="1"/>
  <c r="N43" i="7" a="1"/>
  <c r="N43" i="7" s="1"/>
  <c r="N44" i="7" a="1"/>
  <c r="N44" i="7" s="1"/>
  <c r="N45" i="7" a="1"/>
  <c r="N45" i="7"/>
  <c r="N46" i="7" a="1"/>
  <c r="N46" i="7"/>
  <c r="N47" i="7" a="1"/>
  <c r="N47" i="7" s="1"/>
  <c r="N48" i="7" a="1"/>
  <c r="N48" i="7" s="1"/>
  <c r="N49" i="7" a="1"/>
  <c r="N49" i="7"/>
  <c r="N50" i="7" a="1"/>
  <c r="N50" i="7" s="1"/>
  <c r="N51" i="7" a="1"/>
  <c r="N51" i="7" s="1"/>
  <c r="N52" i="7" a="1"/>
  <c r="N52" i="7" s="1"/>
  <c r="N53" i="7" a="1"/>
  <c r="N53" i="7" s="1"/>
  <c r="N54" i="7" a="1"/>
  <c r="N54" i="7" s="1"/>
  <c r="N55" i="7" a="1"/>
  <c r="N55" i="7" s="1"/>
  <c r="N56" i="7" a="1"/>
  <c r="N56" i="7" s="1"/>
  <c r="N57" i="7" a="1"/>
  <c r="N57" i="7"/>
  <c r="N58" i="7" a="1"/>
  <c r="N58" i="7"/>
  <c r="N59" i="7" a="1"/>
  <c r="N59" i="7" s="1"/>
  <c r="N60" i="7" a="1"/>
  <c r="N60" i="7"/>
  <c r="N61" i="7" a="1"/>
  <c r="N61" i="7" s="1"/>
  <c r="N62" i="7" a="1"/>
  <c r="N62" i="7"/>
  <c r="N63" i="7" a="1"/>
  <c r="N63" i="7" s="1"/>
  <c r="H4" i="7"/>
  <c r="A3" i="7"/>
  <c r="AL6" i="6"/>
  <c r="AL7" i="6"/>
  <c r="AL8" i="6"/>
  <c r="AL9" i="6"/>
  <c r="AL10" i="6"/>
  <c r="AL11" i="6"/>
  <c r="F86" i="2"/>
  <c r="Y2" i="6"/>
  <c r="A8" i="7" l="1"/>
  <c r="H7" i="7"/>
  <c r="A11" i="7" s="1"/>
  <c r="AE6" i="6" l="1" a="1"/>
  <c r="AE6" i="6" s="1"/>
  <c r="AF6" i="6" a="1"/>
  <c r="AF6" i="6" s="1"/>
  <c r="AG6" i="6" a="1"/>
  <c r="AG6" i="6" s="1"/>
  <c r="AH6" i="6" a="1"/>
  <c r="AH6" i="6" s="1"/>
  <c r="AI6" i="6" a="1"/>
  <c r="AI6" i="6" s="1"/>
  <c r="AE7" i="6" a="1"/>
  <c r="AE7" i="6" s="1"/>
  <c r="AF7" i="6" a="1"/>
  <c r="AF7" i="6" s="1"/>
  <c r="AG7" i="6" a="1"/>
  <c r="AG7" i="6" s="1"/>
  <c r="AH7" i="6" a="1"/>
  <c r="AH7" i="6" s="1"/>
  <c r="AI7" i="6" a="1"/>
  <c r="AI7" i="6" s="1"/>
  <c r="AE8" i="6" a="1"/>
  <c r="AE8" i="6" s="1"/>
  <c r="L22" i="7" s="1"/>
  <c r="AF8" i="6" a="1"/>
  <c r="AF8" i="6" s="1"/>
  <c r="AG8" i="6" a="1"/>
  <c r="AG8" i="6" s="1"/>
  <c r="AH8" i="6" a="1"/>
  <c r="AH8" i="6" s="1"/>
  <c r="AI8" i="6" a="1"/>
  <c r="AI8" i="6" s="1"/>
  <c r="AE9" i="6" a="1"/>
  <c r="AE9" i="6" s="1"/>
  <c r="L23" i="7" s="1"/>
  <c r="AF9" i="6" a="1"/>
  <c r="AF9" i="6" s="1"/>
  <c r="AG9" i="6" a="1"/>
  <c r="AG9" i="6" s="1"/>
  <c r="AH9" i="6" a="1"/>
  <c r="AH9" i="6" s="1"/>
  <c r="AI9" i="6" a="1"/>
  <c r="AI9" i="6" s="1"/>
  <c r="AE10" i="6" a="1"/>
  <c r="AE10" i="6" s="1"/>
  <c r="L24" i="7" s="1"/>
  <c r="AF10" i="6" a="1"/>
  <c r="AF10" i="6" s="1"/>
  <c r="AG10" i="6" a="1"/>
  <c r="AG10" i="6" s="1"/>
  <c r="AH10" i="6" a="1"/>
  <c r="AH10" i="6" s="1"/>
  <c r="AI10" i="6" a="1"/>
  <c r="AI10" i="6" s="1"/>
  <c r="AE11" i="6" a="1"/>
  <c r="AE11" i="6" s="1"/>
  <c r="L25" i="7" s="1"/>
  <c r="AF11" i="6" a="1"/>
  <c r="AF11" i="6" s="1"/>
  <c r="AG11" i="6" a="1"/>
  <c r="AG11" i="6" s="1"/>
  <c r="AH11" i="6" a="1"/>
  <c r="AH11" i="6" s="1"/>
  <c r="AI11" i="6" a="1"/>
  <c r="AI11" i="6" s="1"/>
  <c r="AE12" i="6" a="1"/>
  <c r="AE12" i="6" s="1"/>
  <c r="L26" i="7" s="1"/>
  <c r="AF12" i="6" a="1"/>
  <c r="AF12" i="6" s="1"/>
  <c r="AG12" i="6" a="1"/>
  <c r="AG12" i="6" s="1"/>
  <c r="AH12" i="6" a="1"/>
  <c r="AH12" i="6" s="1"/>
  <c r="AI12" i="6" a="1"/>
  <c r="AI12" i="6" s="1"/>
  <c r="AE13" i="6" a="1"/>
  <c r="AE13" i="6" s="1"/>
  <c r="L27" i="7" s="1"/>
  <c r="AF13" i="6" a="1"/>
  <c r="AF13" i="6" s="1"/>
  <c r="AG13" i="6" a="1"/>
  <c r="AG13" i="6" s="1"/>
  <c r="AH13" i="6" a="1"/>
  <c r="AH13" i="6" s="1"/>
  <c r="AI13" i="6" a="1"/>
  <c r="AI13" i="6" s="1"/>
  <c r="AE14" i="6" a="1"/>
  <c r="AE14" i="6" s="1"/>
  <c r="L28" i="7" s="1"/>
  <c r="AF14" i="6" a="1"/>
  <c r="AF14" i="6" s="1"/>
  <c r="AG14" i="6" a="1"/>
  <c r="AG14" i="6" s="1"/>
  <c r="AH14" i="6" a="1"/>
  <c r="AH14" i="6" s="1"/>
  <c r="AI14" i="6" a="1"/>
  <c r="AI14" i="6" s="1"/>
  <c r="AE15" i="6" a="1"/>
  <c r="AE15" i="6" s="1"/>
  <c r="L29" i="7" s="1"/>
  <c r="AF15" i="6" a="1"/>
  <c r="AF15" i="6" s="1"/>
  <c r="AG15" i="6" a="1"/>
  <c r="AG15" i="6" s="1"/>
  <c r="AH15" i="6" a="1"/>
  <c r="AH15" i="6" s="1"/>
  <c r="AI15" i="6" a="1"/>
  <c r="AI15" i="6" s="1"/>
  <c r="AE16" i="6" a="1"/>
  <c r="AE16" i="6" s="1"/>
  <c r="L30" i="7" s="1"/>
  <c r="AF16" i="6" a="1"/>
  <c r="AF16" i="6" s="1"/>
  <c r="AG16" i="6" a="1"/>
  <c r="AG16" i="6" s="1"/>
  <c r="AH16" i="6" a="1"/>
  <c r="AH16" i="6" s="1"/>
  <c r="AI16" i="6" a="1"/>
  <c r="AI16" i="6" s="1"/>
  <c r="AE17" i="6" a="1"/>
  <c r="AE17" i="6" s="1"/>
  <c r="L31" i="7" s="1"/>
  <c r="AF17" i="6" a="1"/>
  <c r="AF17" i="6" s="1"/>
  <c r="AG17" i="6" a="1"/>
  <c r="AG17" i="6" s="1"/>
  <c r="AH17" i="6" a="1"/>
  <c r="AH17" i="6" s="1"/>
  <c r="AI17" i="6" a="1"/>
  <c r="AI17" i="6" s="1"/>
  <c r="AE18" i="6" a="1"/>
  <c r="AE18" i="6" s="1"/>
  <c r="L32" i="7" s="1"/>
  <c r="AF18" i="6" a="1"/>
  <c r="AF18" i="6" s="1"/>
  <c r="AG18" i="6" a="1"/>
  <c r="AG18" i="6" s="1"/>
  <c r="AH18" i="6" a="1"/>
  <c r="AH18" i="6" s="1"/>
  <c r="AI18" i="6" a="1"/>
  <c r="AI18" i="6" s="1"/>
  <c r="AE19" i="6" a="1"/>
  <c r="AE19" i="6" s="1"/>
  <c r="L33" i="7" s="1"/>
  <c r="AF19" i="6" a="1"/>
  <c r="AF19" i="6" s="1"/>
  <c r="AG19" i="6" a="1"/>
  <c r="AG19" i="6" s="1"/>
  <c r="AH19" i="6" a="1"/>
  <c r="AH19" i="6" s="1"/>
  <c r="AI19" i="6" a="1"/>
  <c r="AI19" i="6" s="1"/>
  <c r="AE20" i="6" a="1"/>
  <c r="AE20" i="6" s="1"/>
  <c r="L34" i="7" s="1"/>
  <c r="AF20" i="6" a="1"/>
  <c r="AF20" i="6" s="1"/>
  <c r="AG20" i="6" a="1"/>
  <c r="AG20" i="6" s="1"/>
  <c r="AH20" i="6" a="1"/>
  <c r="AH20" i="6" s="1"/>
  <c r="AI20" i="6" a="1"/>
  <c r="AI20" i="6" s="1"/>
  <c r="AE21" i="6" a="1"/>
  <c r="AE21" i="6" s="1"/>
  <c r="L35" i="7" s="1"/>
  <c r="AF21" i="6" a="1"/>
  <c r="AF21" i="6" s="1"/>
  <c r="AG21" i="6" a="1"/>
  <c r="AG21" i="6" s="1"/>
  <c r="AH21" i="6" a="1"/>
  <c r="AH21" i="6" s="1"/>
  <c r="AI21" i="6" a="1"/>
  <c r="AI21" i="6" s="1"/>
  <c r="AE22" i="6" a="1"/>
  <c r="AE22" i="6" s="1"/>
  <c r="L36" i="7" s="1"/>
  <c r="AF22" i="6" a="1"/>
  <c r="AF22" i="6" s="1"/>
  <c r="AG22" i="6" a="1"/>
  <c r="AG22" i="6" s="1"/>
  <c r="AH22" i="6" a="1"/>
  <c r="AH22" i="6" s="1"/>
  <c r="AI22" i="6" a="1"/>
  <c r="AI22" i="6" s="1"/>
  <c r="AE23" i="6" a="1"/>
  <c r="AE23" i="6" s="1"/>
  <c r="L37" i="7" s="1"/>
  <c r="AF23" i="6" a="1"/>
  <c r="AF23" i="6" s="1"/>
  <c r="AG23" i="6" a="1"/>
  <c r="AG23" i="6" s="1"/>
  <c r="AH23" i="6" a="1"/>
  <c r="AH23" i="6" s="1"/>
  <c r="AI23" i="6" a="1"/>
  <c r="AI23" i="6" s="1"/>
  <c r="AE24" i="6" a="1"/>
  <c r="AE24" i="6" s="1"/>
  <c r="L38" i="7" s="1"/>
  <c r="AF24" i="6" a="1"/>
  <c r="AF24" i="6" s="1"/>
  <c r="AG24" i="6" a="1"/>
  <c r="AG24" i="6" s="1"/>
  <c r="AH24" i="6" a="1"/>
  <c r="AH24" i="6" s="1"/>
  <c r="AI24" i="6" a="1"/>
  <c r="AI24" i="6" s="1"/>
  <c r="AE25" i="6" a="1"/>
  <c r="AE25" i="6" s="1"/>
  <c r="L39" i="7" s="1"/>
  <c r="AF25" i="6" a="1"/>
  <c r="AF25" i="6" s="1"/>
  <c r="AG25" i="6" a="1"/>
  <c r="AG25" i="6" s="1"/>
  <c r="AH25" i="6" a="1"/>
  <c r="AH25" i="6" s="1"/>
  <c r="AI25" i="6" a="1"/>
  <c r="AI25" i="6" s="1"/>
  <c r="AE26" i="6" a="1"/>
  <c r="AE26" i="6" s="1"/>
  <c r="L40" i="7" s="1"/>
  <c r="AF26" i="6" a="1"/>
  <c r="AF26" i="6" s="1"/>
  <c r="AG26" i="6" a="1"/>
  <c r="AG26" i="6" s="1"/>
  <c r="AH26" i="6" a="1"/>
  <c r="AH26" i="6" s="1"/>
  <c r="AI26" i="6" a="1"/>
  <c r="AI26" i="6" s="1"/>
  <c r="AE27" i="6" a="1"/>
  <c r="AE27" i="6" s="1"/>
  <c r="L41" i="7" s="1"/>
  <c r="AF27" i="6" a="1"/>
  <c r="AF27" i="6" s="1"/>
  <c r="AG27" i="6" a="1"/>
  <c r="AG27" i="6" s="1"/>
  <c r="AH27" i="6" a="1"/>
  <c r="AH27" i="6" s="1"/>
  <c r="AI27" i="6" a="1"/>
  <c r="AI27" i="6" s="1"/>
  <c r="Y6" i="6"/>
  <c r="Z6" i="6"/>
  <c r="Y7" i="6"/>
  <c r="Z7" i="6"/>
  <c r="Y8" i="6"/>
  <c r="Z8" i="6"/>
  <c r="Y9" i="6"/>
  <c r="Z9" i="6"/>
  <c r="Y10" i="6"/>
  <c r="Z10" i="6"/>
  <c r="Y11" i="6"/>
  <c r="Z11" i="6"/>
  <c r="Y12" i="6"/>
  <c r="Z12" i="6"/>
  <c r="Y13" i="6"/>
  <c r="Z13" i="6"/>
  <c r="Y14" i="6"/>
  <c r="Z14" i="6"/>
  <c r="Y15" i="6"/>
  <c r="Z15" i="6"/>
  <c r="Y16" i="6"/>
  <c r="Z16" i="6"/>
  <c r="Y17" i="6"/>
  <c r="Z17" i="6"/>
  <c r="Y18" i="6"/>
  <c r="Z18" i="6"/>
  <c r="Y19" i="6"/>
  <c r="Z19" i="6"/>
  <c r="Y20" i="6"/>
  <c r="Z20" i="6"/>
  <c r="Y21" i="6"/>
  <c r="Z21" i="6"/>
  <c r="Y22" i="6"/>
  <c r="Z22" i="6"/>
  <c r="Y23" i="6"/>
  <c r="Z23" i="6"/>
  <c r="Y24" i="6"/>
  <c r="Z24" i="6"/>
  <c r="Y25" i="6"/>
  <c r="Z25" i="6"/>
  <c r="Y26" i="6"/>
  <c r="Z26" i="6"/>
  <c r="Y27" i="6"/>
  <c r="Z27" i="6"/>
  <c r="O8" i="6"/>
  <c r="O9" i="6"/>
  <c r="O14" i="6"/>
  <c r="O21" i="6"/>
  <c r="O22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C6" i="6"/>
  <c r="C7" i="6"/>
  <c r="C8" i="6"/>
  <c r="C9" i="6"/>
  <c r="E9" i="6" s="1"/>
  <c r="C10" i="6"/>
  <c r="C11" i="6"/>
  <c r="C12" i="6"/>
  <c r="G12" i="6" s="1"/>
  <c r="BG41" i="2" s="1"/>
  <c r="C13" i="6"/>
  <c r="C14" i="6"/>
  <c r="C15" i="6"/>
  <c r="C16" i="6"/>
  <c r="E16" i="6" s="1"/>
  <c r="BF45" i="2" s="1"/>
  <c r="C17" i="6"/>
  <c r="C18" i="6"/>
  <c r="E18" i="6"/>
  <c r="BF47" i="2" s="1"/>
  <c r="I18" i="6"/>
  <c r="C19" i="6"/>
  <c r="C20" i="6"/>
  <c r="AA20" i="6" s="1"/>
  <c r="C21" i="6"/>
  <c r="C22" i="6"/>
  <c r="C23" i="6"/>
  <c r="O23" i="6" s="1"/>
  <c r="F23" i="6"/>
  <c r="G23" i="6"/>
  <c r="H23" i="6"/>
  <c r="C24" i="6"/>
  <c r="O24" i="6" s="1"/>
  <c r="H24" i="6"/>
  <c r="I24" i="6"/>
  <c r="J24" i="6"/>
  <c r="C25" i="6"/>
  <c r="O25" i="6" s="1"/>
  <c r="D25" i="6"/>
  <c r="E25" i="6"/>
  <c r="G6" i="5" a="1"/>
  <c r="G6" i="5" s="1"/>
  <c r="F6" i="5" a="1"/>
  <c r="F6" i="5" s="1"/>
  <c r="E6" i="5" a="1"/>
  <c r="E6" i="5" s="1"/>
  <c r="D13" i="5" s="1"/>
  <c r="D6" i="5" a="1"/>
  <c r="D6" i="5" s="1"/>
  <c r="D12" i="5" s="1"/>
  <c r="C6" i="5" a="1"/>
  <c r="C6" i="5" s="1"/>
  <c r="D11" i="5" s="1"/>
  <c r="H87" i="5"/>
  <c r="J87" i="5"/>
  <c r="N87" i="5"/>
  <c r="O87" i="5"/>
  <c r="U87" i="5"/>
  <c r="V87" i="5"/>
  <c r="AB83" i="5"/>
  <c r="AC83" i="5"/>
  <c r="C64" i="5"/>
  <c r="C65" i="5"/>
  <c r="C66" i="5"/>
  <c r="C67" i="5"/>
  <c r="C68" i="5"/>
  <c r="G87" i="5" s="1"/>
  <c r="C69" i="5"/>
  <c r="D69" i="5"/>
  <c r="G69" i="5" s="1" a="1"/>
  <c r="G69" i="5" s="1"/>
  <c r="I69" i="5" a="1"/>
  <c r="I69" i="5" s="1"/>
  <c r="T69" i="5" s="1"/>
  <c r="J69" i="5" a="1"/>
  <c r="J69" i="5" s="1"/>
  <c r="U69" i="5" s="1"/>
  <c r="K69" i="5" a="1"/>
  <c r="K69" i="5" s="1"/>
  <c r="V69" i="5" s="1"/>
  <c r="P69" i="5" a="1"/>
  <c r="P69" i="5" s="1"/>
  <c r="AA69" i="5" s="1"/>
  <c r="C70" i="5"/>
  <c r="I87" i="5" s="1"/>
  <c r="C71" i="5"/>
  <c r="D71" i="5"/>
  <c r="P71" i="5" a="1"/>
  <c r="P71" i="5" s="1"/>
  <c r="C72" i="5"/>
  <c r="C73" i="5"/>
  <c r="C74" i="5"/>
  <c r="D74" i="5" s="1"/>
  <c r="C75" i="5"/>
  <c r="D75" i="5"/>
  <c r="P75" i="5" s="1" a="1"/>
  <c r="P75" i="5" s="1"/>
  <c r="AA75" i="5" s="1"/>
  <c r="C76" i="5"/>
  <c r="C77" i="5"/>
  <c r="D77" i="5"/>
  <c r="G77" i="5" a="1"/>
  <c r="G77" i="5" s="1"/>
  <c r="C78" i="5"/>
  <c r="D78" i="5"/>
  <c r="I78" i="5" s="1" a="1"/>
  <c r="I78" i="5" s="1"/>
  <c r="T78" i="5" s="1"/>
  <c r="C79" i="5"/>
  <c r="C80" i="5"/>
  <c r="C81" i="5"/>
  <c r="J81" i="5" s="1" a="1"/>
  <c r="J81" i="5" s="1"/>
  <c r="U81" i="5" s="1"/>
  <c r="D81" i="5"/>
  <c r="G81" i="5" a="1"/>
  <c r="G81" i="5" s="1"/>
  <c r="R81" i="5" s="1"/>
  <c r="C82" i="5"/>
  <c r="G82" i="5" s="1" a="1"/>
  <c r="G82" i="5" s="1"/>
  <c r="R82" i="5" s="1"/>
  <c r="D82" i="5"/>
  <c r="H82" i="5" a="1"/>
  <c r="H82" i="5"/>
  <c r="S82" i="5" s="1"/>
  <c r="I82" i="5" a="1"/>
  <c r="I82" i="5" s="1"/>
  <c r="T82" i="5" s="1"/>
  <c r="P82" i="5" a="1"/>
  <c r="P82" i="5"/>
  <c r="AA82" i="5" s="1"/>
  <c r="C83" i="5"/>
  <c r="D83" i="5"/>
  <c r="O83" i="5" a="1"/>
  <c r="O83" i="5" s="1"/>
  <c r="Z83" i="5" s="1"/>
  <c r="P83" i="5" a="1"/>
  <c r="P83" i="5"/>
  <c r="AA83" i="5" s="1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K8" i="4"/>
  <c r="AI12" i="4"/>
  <c r="AJ12" i="4"/>
  <c r="AJ16" i="4"/>
  <c r="AK16" i="4"/>
  <c r="AK19" i="4"/>
  <c r="AH23" i="4"/>
  <c r="AI23" i="4"/>
  <c r="AK23" i="4"/>
  <c r="AL23" i="4"/>
  <c r="B6" i="4"/>
  <c r="C6" i="4"/>
  <c r="AH6" i="4" s="1"/>
  <c r="B7" i="4"/>
  <c r="C7" i="4"/>
  <c r="AH7" i="4" s="1"/>
  <c r="B8" i="4"/>
  <c r="C8" i="4"/>
  <c r="AH8" i="4" s="1"/>
  <c r="B9" i="4"/>
  <c r="C9" i="4"/>
  <c r="AH9" i="4" s="1"/>
  <c r="B10" i="4"/>
  <c r="C10" i="4"/>
  <c r="B11" i="4"/>
  <c r="C11" i="4"/>
  <c r="B12" i="4"/>
  <c r="C12" i="4"/>
  <c r="AH12" i="4" s="1"/>
  <c r="B13" i="4"/>
  <c r="C13" i="4"/>
  <c r="AH13" i="4" s="1"/>
  <c r="B14" i="4"/>
  <c r="C14" i="4"/>
  <c r="AH14" i="4" s="1"/>
  <c r="B15" i="4"/>
  <c r="C15" i="4"/>
  <c r="AH15" i="4" s="1"/>
  <c r="B16" i="4"/>
  <c r="C16" i="4"/>
  <c r="AI16" i="4" s="1"/>
  <c r="B17" i="4"/>
  <c r="C17" i="4"/>
  <c r="AH17" i="4" s="1"/>
  <c r="B18" i="4"/>
  <c r="C18" i="4"/>
  <c r="AH18" i="4" s="1"/>
  <c r="B19" i="4"/>
  <c r="C19" i="4"/>
  <c r="AI19" i="4" s="1"/>
  <c r="B20" i="4"/>
  <c r="C20" i="4"/>
  <c r="AI20" i="4" s="1"/>
  <c r="B21" i="4"/>
  <c r="C21" i="4"/>
  <c r="B22" i="4"/>
  <c r="C22" i="4"/>
  <c r="B23" i="4"/>
  <c r="C23" i="4"/>
  <c r="AJ23" i="4" s="1"/>
  <c r="B24" i="4"/>
  <c r="C24" i="4"/>
  <c r="AH24" i="4" s="1"/>
  <c r="B25" i="4"/>
  <c r="C25" i="4"/>
  <c r="AH25" i="4" s="1"/>
  <c r="CM69" i="3"/>
  <c r="CK69" i="3"/>
  <c r="CI69" i="3"/>
  <c r="CG69" i="3"/>
  <c r="CE69" i="3"/>
  <c r="CC69" i="3"/>
  <c r="CA69" i="3"/>
  <c r="BY69" i="3"/>
  <c r="BW69" i="3"/>
  <c r="BU69" i="3"/>
  <c r="BS69" i="3"/>
  <c r="BQ69" i="3"/>
  <c r="BO69" i="3"/>
  <c r="BM69" i="3"/>
  <c r="BK69" i="3"/>
  <c r="BI69" i="3"/>
  <c r="BG69" i="3"/>
  <c r="BE69" i="3"/>
  <c r="BC69" i="3"/>
  <c r="BA69" i="3"/>
  <c r="AY69" i="3"/>
  <c r="AW69" i="3"/>
  <c r="AU69" i="3"/>
  <c r="AS69" i="3"/>
  <c r="AQ69" i="3"/>
  <c r="AO69" i="3"/>
  <c r="AM69" i="3"/>
  <c r="AK69" i="3"/>
  <c r="AI69" i="3"/>
  <c r="AG69" i="3"/>
  <c r="AE69" i="3"/>
  <c r="AC69" i="3"/>
  <c r="AA69" i="3"/>
  <c r="Y69" i="3"/>
  <c r="W69" i="3"/>
  <c r="U69" i="3"/>
  <c r="S69" i="3"/>
  <c r="Q69" i="3"/>
  <c r="O69" i="3"/>
  <c r="M69" i="3"/>
  <c r="K69" i="3"/>
  <c r="I69" i="3"/>
  <c r="G69" i="3"/>
  <c r="E69" i="3"/>
  <c r="GA5" i="3"/>
  <c r="GB5" i="3" a="1"/>
  <c r="GB5" i="3" s="1"/>
  <c r="GC5" i="3" s="1"/>
  <c r="GD5" i="3"/>
  <c r="GE5" i="3" s="1"/>
  <c r="GF5" i="3" a="1"/>
  <c r="GF5" i="3" s="1"/>
  <c r="GG5" i="3"/>
  <c r="GJ5" i="3" s="1"/>
  <c r="GI5" i="3"/>
  <c r="GK5" i="3"/>
  <c r="GL5" i="3" s="1"/>
  <c r="GM5" i="3"/>
  <c r="GO5" i="3"/>
  <c r="GA6" i="3"/>
  <c r="GB6" i="3" a="1"/>
  <c r="GB6" i="3" s="1"/>
  <c r="GD6" i="3"/>
  <c r="GE6" i="3" s="1"/>
  <c r="GF6" i="3" a="1"/>
  <c r="GF6" i="3" s="1"/>
  <c r="GG6" i="3"/>
  <c r="GJ6" i="3" s="1"/>
  <c r="GI6" i="3"/>
  <c r="GK6" i="3"/>
  <c r="GL6" i="3" s="1"/>
  <c r="GM6" i="3"/>
  <c r="GO6" i="3"/>
  <c r="GA7" i="3"/>
  <c r="Z22" i="7" s="1" a="1"/>
  <c r="Z22" i="7" s="1"/>
  <c r="GB7" i="3" a="1"/>
  <c r="GB7" i="3" s="1"/>
  <c r="GC7" i="3"/>
  <c r="GD7" i="3"/>
  <c r="GE7" i="3"/>
  <c r="GF7" i="3" a="1"/>
  <c r="GF7" i="3" s="1"/>
  <c r="GG7" i="3"/>
  <c r="GJ7" i="3" s="1"/>
  <c r="GI7" i="3"/>
  <c r="GK7" i="3"/>
  <c r="GL7" i="3" s="1"/>
  <c r="GM7" i="3"/>
  <c r="GO7" i="3"/>
  <c r="GA8" i="3"/>
  <c r="GB8" i="3" a="1"/>
  <c r="GB8" i="3"/>
  <c r="GC8" i="3" s="1"/>
  <c r="GD8" i="3"/>
  <c r="GE8" i="3"/>
  <c r="GF8" i="3" a="1"/>
  <c r="GF8" i="3" s="1"/>
  <c r="GG8" i="3"/>
  <c r="GI8" i="3"/>
  <c r="GJ8" i="3"/>
  <c r="GK8" i="3"/>
  <c r="GL8" i="3"/>
  <c r="GM8" i="3"/>
  <c r="GO8" i="3"/>
  <c r="GA9" i="3"/>
  <c r="GB9" i="3" a="1"/>
  <c r="GB9" i="3" s="1"/>
  <c r="GC9" i="3" s="1"/>
  <c r="GD9" i="3"/>
  <c r="GE9" i="3" s="1"/>
  <c r="GF9" i="3" a="1"/>
  <c r="GF9" i="3" s="1"/>
  <c r="GG9" i="3"/>
  <c r="GJ9" i="3" s="1"/>
  <c r="GI9" i="3"/>
  <c r="GK9" i="3"/>
  <c r="GL9" i="3"/>
  <c r="GM9" i="3"/>
  <c r="GO9" i="3"/>
  <c r="GA10" i="3"/>
  <c r="Z25" i="7" s="1" a="1"/>
  <c r="Z25" i="7" s="1"/>
  <c r="GB10" i="3" a="1"/>
  <c r="GB10" i="3" s="1"/>
  <c r="GC10" i="3" s="1"/>
  <c r="GD10" i="3"/>
  <c r="GE10" i="3" s="1"/>
  <c r="GF10" i="3" a="1"/>
  <c r="GF10" i="3" s="1"/>
  <c r="GG10" i="3"/>
  <c r="GJ10" i="3" s="1"/>
  <c r="GI10" i="3"/>
  <c r="GK10" i="3"/>
  <c r="G11" i="6" s="1"/>
  <c r="GL10" i="3"/>
  <c r="GM10" i="3"/>
  <c r="GO10" i="3"/>
  <c r="GA11" i="3"/>
  <c r="GB11" i="3" a="1"/>
  <c r="GB11" i="3" s="1"/>
  <c r="GC11" i="3" s="1"/>
  <c r="GD11" i="3"/>
  <c r="E12" i="6" s="1"/>
  <c r="BF41" i="2" s="1"/>
  <c r="GE11" i="3"/>
  <c r="GF11" i="3" a="1"/>
  <c r="GF11" i="3" s="1"/>
  <c r="GH11" i="3" s="1"/>
  <c r="GG11" i="3"/>
  <c r="GI11" i="3"/>
  <c r="GJ11" i="3"/>
  <c r="GK11" i="3"/>
  <c r="GL11" i="3"/>
  <c r="GM11" i="3"/>
  <c r="GO11" i="3"/>
  <c r="GA12" i="3"/>
  <c r="Z27" i="7" s="1" a="1"/>
  <c r="Z27" i="7" s="1"/>
  <c r="GB12" i="3" a="1"/>
  <c r="GB12" i="3" s="1"/>
  <c r="GC12" i="3"/>
  <c r="GD12" i="3"/>
  <c r="GE12" i="3"/>
  <c r="GF12" i="3" a="1"/>
  <c r="GF12" i="3" s="1"/>
  <c r="GG12" i="3"/>
  <c r="GI12" i="3"/>
  <c r="GJ12" i="3"/>
  <c r="GK12" i="3"/>
  <c r="GL12" i="3" s="1"/>
  <c r="GM12" i="3"/>
  <c r="GO12" i="3"/>
  <c r="GA13" i="3"/>
  <c r="GB13" i="3" a="1"/>
  <c r="GB13" i="3" s="1"/>
  <c r="GC13" i="3"/>
  <c r="D14" i="6" s="1"/>
  <c r="BE43" i="2" s="1"/>
  <c r="GD13" i="3"/>
  <c r="GE13" i="3" s="1"/>
  <c r="GF13" i="3" a="1"/>
  <c r="GF13" i="3" s="1"/>
  <c r="GG13" i="3"/>
  <c r="GJ13" i="3" s="1"/>
  <c r="GI13" i="3"/>
  <c r="GK13" i="3"/>
  <c r="G14" i="6" s="1"/>
  <c r="BG43" i="2" s="1"/>
  <c r="GM13" i="3"/>
  <c r="GO13" i="3"/>
  <c r="GA14" i="3"/>
  <c r="GB14" i="3" a="1"/>
  <c r="GB14" i="3" s="1"/>
  <c r="GC14" i="3" s="1"/>
  <c r="GD14" i="3"/>
  <c r="GE14" i="3" s="1"/>
  <c r="GF14" i="3" a="1"/>
  <c r="GF14" i="3" s="1"/>
  <c r="GG14" i="3"/>
  <c r="GJ14" i="3" s="1"/>
  <c r="GI14" i="3"/>
  <c r="GK14" i="3"/>
  <c r="GL14" i="3"/>
  <c r="GM14" i="3"/>
  <c r="GO14" i="3"/>
  <c r="GA15" i="3"/>
  <c r="Z30" i="7" s="1" a="1"/>
  <c r="Z30" i="7" s="1"/>
  <c r="GB15" i="3" a="1"/>
  <c r="GB15" i="3" s="1"/>
  <c r="GC15" i="3" s="1"/>
  <c r="GD15" i="3"/>
  <c r="GE15" i="3" s="1"/>
  <c r="GF15" i="3" a="1"/>
  <c r="GF15" i="3" s="1"/>
  <c r="GG15" i="3"/>
  <c r="GI15" i="3"/>
  <c r="GJ15" i="3"/>
  <c r="GK15" i="3"/>
  <c r="GL15" i="3" s="1"/>
  <c r="GM15" i="3"/>
  <c r="GO15" i="3"/>
  <c r="GA16" i="3"/>
  <c r="GB16" i="3" a="1"/>
  <c r="GB16" i="3" s="1"/>
  <c r="GC16" i="3" s="1"/>
  <c r="GD16" i="3"/>
  <c r="E17" i="6" s="1"/>
  <c r="GE16" i="3"/>
  <c r="GF16" i="3" a="1"/>
  <c r="GF16" i="3" s="1"/>
  <c r="GG16" i="3"/>
  <c r="GI16" i="3"/>
  <c r="GK16" i="3"/>
  <c r="GL16" i="3" s="1"/>
  <c r="GM16" i="3"/>
  <c r="GO16" i="3"/>
  <c r="GA17" i="3"/>
  <c r="GB17" i="3" a="1"/>
  <c r="GB17" i="3" s="1"/>
  <c r="GC17" i="3" s="1"/>
  <c r="GD17" i="3"/>
  <c r="GE17" i="3"/>
  <c r="GF17" i="3" a="1"/>
  <c r="GF17" i="3" s="1"/>
  <c r="GG17" i="3"/>
  <c r="GN17" i="3" s="1"/>
  <c r="H18" i="6" s="1"/>
  <c r="GI17" i="3"/>
  <c r="GK17" i="3"/>
  <c r="G18" i="6" s="1"/>
  <c r="BG47" i="2" s="1"/>
  <c r="GL17" i="3"/>
  <c r="GM17" i="3"/>
  <c r="GO17" i="3"/>
  <c r="GA18" i="3"/>
  <c r="Z33" i="7" s="1" a="1"/>
  <c r="Z33" i="7" s="1"/>
  <c r="GB18" i="3" a="1"/>
  <c r="GB18" i="3" s="1"/>
  <c r="GC18" i="3" s="1"/>
  <c r="GD18" i="3"/>
  <c r="GE18" i="3"/>
  <c r="GF18" i="3" a="1"/>
  <c r="GF18" i="3" s="1"/>
  <c r="GG18" i="3"/>
  <c r="GI18" i="3"/>
  <c r="GJ18" i="3"/>
  <c r="GK18" i="3"/>
  <c r="GL18" i="3"/>
  <c r="GM18" i="3"/>
  <c r="GO18" i="3"/>
  <c r="GA19" i="3"/>
  <c r="Z34" i="7" s="1" a="1"/>
  <c r="Z34" i="7" s="1"/>
  <c r="GB19" i="3" a="1"/>
  <c r="GB19" i="3" s="1"/>
  <c r="GC19" i="3" s="1"/>
  <c r="GD19" i="3"/>
  <c r="GE19" i="3"/>
  <c r="GF19" i="3" a="1"/>
  <c r="GF19" i="3" s="1"/>
  <c r="GG19" i="3"/>
  <c r="GJ19" i="3" s="1"/>
  <c r="GI19" i="3"/>
  <c r="GK19" i="3"/>
  <c r="GL19" i="3" s="1"/>
  <c r="GM19" i="3"/>
  <c r="GO19" i="3"/>
  <c r="GA20" i="3"/>
  <c r="Z35" i="7" s="1" a="1"/>
  <c r="Z35" i="7" s="1"/>
  <c r="GB20" i="3" a="1"/>
  <c r="GB20" i="3"/>
  <c r="GC20" i="3"/>
  <c r="GD20" i="3"/>
  <c r="E21" i="6" s="1"/>
  <c r="BF50" i="2" s="1"/>
  <c r="GF20" i="3" a="1"/>
  <c r="GF20" i="3" s="1"/>
  <c r="GH20" i="3" s="1"/>
  <c r="GG20" i="3"/>
  <c r="GJ20" i="3" s="1"/>
  <c r="GI20" i="3"/>
  <c r="GK20" i="3"/>
  <c r="GL20" i="3"/>
  <c r="GM20" i="3"/>
  <c r="GO20" i="3"/>
  <c r="GA21" i="3"/>
  <c r="GB21" i="3" a="1"/>
  <c r="GB21" i="3"/>
  <c r="GC21" i="3"/>
  <c r="D22" i="6" s="1"/>
  <c r="BE51" i="2" s="1"/>
  <c r="GD21" i="3"/>
  <c r="E22" i="6" s="1"/>
  <c r="BF51" i="2" s="1"/>
  <c r="GF21" i="3" a="1"/>
  <c r="GF21" i="3" s="1"/>
  <c r="GG21" i="3"/>
  <c r="GI21" i="3"/>
  <c r="GK21" i="3"/>
  <c r="G22" i="6" s="1"/>
  <c r="BG51" i="2" s="1"/>
  <c r="GL21" i="3"/>
  <c r="GM21" i="3"/>
  <c r="GO21" i="3"/>
  <c r="GA22" i="3"/>
  <c r="GB22" i="3" a="1"/>
  <c r="GB22" i="3" s="1"/>
  <c r="GC22" i="3"/>
  <c r="GD22" i="3"/>
  <c r="GE22" i="3"/>
  <c r="GF22" i="3" a="1"/>
  <c r="GF22" i="3" s="1"/>
  <c r="GG22" i="3"/>
  <c r="GH22" i="3"/>
  <c r="GI22" i="3"/>
  <c r="GJ22" i="3"/>
  <c r="GK22" i="3"/>
  <c r="GL22" i="3"/>
  <c r="GM22" i="3"/>
  <c r="GN22" i="3"/>
  <c r="GO22" i="3"/>
  <c r="GA23" i="3"/>
  <c r="GB23" i="3" a="1"/>
  <c r="GB23" i="3" s="1"/>
  <c r="GC23" i="3"/>
  <c r="GD23" i="3"/>
  <c r="GE23" i="3"/>
  <c r="GF23" i="3" a="1"/>
  <c r="GF23" i="3" s="1"/>
  <c r="GG23" i="3"/>
  <c r="GH23" i="3"/>
  <c r="GI23" i="3"/>
  <c r="GJ23" i="3"/>
  <c r="GK23" i="3"/>
  <c r="GL23" i="3"/>
  <c r="GM23" i="3"/>
  <c r="GN23" i="3"/>
  <c r="GO23" i="3"/>
  <c r="GA24" i="3"/>
  <c r="GB24" i="3" a="1"/>
  <c r="GB24" i="3" s="1"/>
  <c r="GC24" i="3"/>
  <c r="GD24" i="3"/>
  <c r="GE24" i="3"/>
  <c r="GF24" i="3" a="1"/>
  <c r="GF24" i="3" s="1"/>
  <c r="GG24" i="3"/>
  <c r="GH24" i="3"/>
  <c r="GI24" i="3"/>
  <c r="GJ24" i="3"/>
  <c r="GK24" i="3"/>
  <c r="GL24" i="3"/>
  <c r="GM24" i="3"/>
  <c r="GN24" i="3"/>
  <c r="GO24" i="3"/>
  <c r="GG2" i="3"/>
  <c r="GF2" i="3"/>
  <c r="GE2" i="3"/>
  <c r="GH2" i="3" s="1"/>
  <c r="FV28" i="3"/>
  <c r="AJ27" i="6" s="1" a="1"/>
  <c r="AJ27" i="6" s="1"/>
  <c r="FR28" i="3"/>
  <c r="AJ26" i="6" s="1" a="1"/>
  <c r="AJ26" i="6" s="1"/>
  <c r="FN28" i="3"/>
  <c r="AJ25" i="6" s="1" a="1"/>
  <c r="AJ25" i="6" s="1"/>
  <c r="FJ28" i="3"/>
  <c r="AJ24" i="6" s="1" a="1"/>
  <c r="AJ24" i="6" s="1"/>
  <c r="FF28" i="3"/>
  <c r="AJ23" i="6" s="1" a="1"/>
  <c r="AJ23" i="6" s="1"/>
  <c r="FB28" i="3"/>
  <c r="AJ22" i="6" s="1" a="1"/>
  <c r="AJ22" i="6" s="1"/>
  <c r="EX28" i="3"/>
  <c r="AJ21" i="6" s="1" a="1"/>
  <c r="AJ21" i="6" s="1"/>
  <c r="ET28" i="3"/>
  <c r="AJ20" i="6" s="1" a="1"/>
  <c r="AJ20" i="6" s="1"/>
  <c r="EP28" i="3"/>
  <c r="AJ19" i="6" s="1" a="1"/>
  <c r="AJ19" i="6" s="1"/>
  <c r="EL28" i="3"/>
  <c r="AJ18" i="6" s="1" a="1"/>
  <c r="AJ18" i="6" s="1"/>
  <c r="EH28" i="3"/>
  <c r="AJ17" i="6" s="1" a="1"/>
  <c r="AJ17" i="6" s="1"/>
  <c r="ED28" i="3"/>
  <c r="AJ16" i="6" s="1" a="1"/>
  <c r="AJ16" i="6" s="1"/>
  <c r="DZ28" i="3"/>
  <c r="AJ15" i="6" s="1" a="1"/>
  <c r="AJ15" i="6" s="1"/>
  <c r="DV28" i="3"/>
  <c r="AJ14" i="6" s="1" a="1"/>
  <c r="AJ14" i="6" s="1"/>
  <c r="DR28" i="3"/>
  <c r="AJ13" i="6" s="1" a="1"/>
  <c r="AJ13" i="6" s="1"/>
  <c r="DN28" i="3"/>
  <c r="AJ12" i="6" s="1" a="1"/>
  <c r="AJ12" i="6" s="1"/>
  <c r="DJ28" i="3"/>
  <c r="AJ11" i="6" s="1" a="1"/>
  <c r="AJ11" i="6" s="1"/>
  <c r="DF28" i="3"/>
  <c r="AJ10" i="6" s="1" a="1"/>
  <c r="AJ10" i="6" s="1"/>
  <c r="DB28" i="3"/>
  <c r="AJ9" i="6" s="1" a="1"/>
  <c r="AJ9" i="6" s="1"/>
  <c r="CX28" i="3"/>
  <c r="AJ8" i="6" s="1" a="1"/>
  <c r="AJ8" i="6" s="1"/>
  <c r="CT28" i="3"/>
  <c r="AJ7" i="6" s="1" a="1"/>
  <c r="AJ7" i="6" s="1"/>
  <c r="CP28" i="3"/>
  <c r="BF38" i="2" l="1"/>
  <c r="I9" i="6"/>
  <c r="D19" i="6"/>
  <c r="BE48" i="2" s="1"/>
  <c r="GN18" i="3"/>
  <c r="AA7" i="6"/>
  <c r="AA6" i="6"/>
  <c r="AA18" i="6"/>
  <c r="Q25" i="6"/>
  <c r="AA17" i="6"/>
  <c r="P25" i="6"/>
  <c r="AI7" i="4"/>
  <c r="C133" i="5"/>
  <c r="D79" i="5"/>
  <c r="P79" i="5" s="1" a="1"/>
  <c r="P79" i="5" s="1"/>
  <c r="AA79" i="5" s="1"/>
  <c r="E79" i="5"/>
  <c r="V35" i="7" s="1"/>
  <c r="AJ6" i="4"/>
  <c r="Z32" i="7" a="1"/>
  <c r="Z32" i="7" s="1"/>
  <c r="GN8" i="3"/>
  <c r="H9" i="6" s="1"/>
  <c r="BH38" i="2" s="1"/>
  <c r="AH16" i="4"/>
  <c r="E78" i="5"/>
  <c r="V34" i="7" s="1"/>
  <c r="C132" i="5"/>
  <c r="E69" i="5"/>
  <c r="V25" i="7" s="1"/>
  <c r="C123" i="5"/>
  <c r="G24" i="6"/>
  <c r="AA16" i="6"/>
  <c r="Q24" i="6"/>
  <c r="AA15" i="6"/>
  <c r="P24" i="6"/>
  <c r="AJ25" i="4"/>
  <c r="AI15" i="4"/>
  <c r="AL15" i="4" s="1"/>
  <c r="AC73" i="5" s="1"/>
  <c r="P87" i="5"/>
  <c r="E77" i="5"/>
  <c r="V33" i="7" s="1"/>
  <c r="C131" i="5"/>
  <c r="E87" i="5"/>
  <c r="C120" i="5"/>
  <c r="E66" i="5"/>
  <c r="V22" i="7" s="1"/>
  <c r="E14" i="6"/>
  <c r="BF43" i="2" s="1"/>
  <c r="AA14" i="6"/>
  <c r="Q23" i="6"/>
  <c r="AA13" i="6"/>
  <c r="P23" i="6"/>
  <c r="B80" i="5"/>
  <c r="E80" i="5"/>
  <c r="V36" i="7" s="1"/>
  <c r="C134" i="5"/>
  <c r="AL25" i="4"/>
  <c r="AK15" i="4"/>
  <c r="R77" i="5"/>
  <c r="B68" i="5"/>
  <c r="C122" i="5"/>
  <c r="E68" i="5"/>
  <c r="V24" i="7" s="1"/>
  <c r="B24" i="6"/>
  <c r="AA24" i="6"/>
  <c r="F78" i="2"/>
  <c r="AK25" i="4"/>
  <c r="AJ15" i="4"/>
  <c r="J82" i="5" a="1"/>
  <c r="J82" i="5" s="1"/>
  <c r="U82" i="5" s="1"/>
  <c r="C136" i="5"/>
  <c r="E82" i="5"/>
  <c r="U88" i="5" s="1"/>
  <c r="D67" i="5"/>
  <c r="M67" i="5" s="1" a="1"/>
  <c r="M67" i="5" s="1"/>
  <c r="X67" i="5" s="1"/>
  <c r="C121" i="5"/>
  <c r="E67" i="5"/>
  <c r="V23" i="7" s="1"/>
  <c r="GN13" i="3"/>
  <c r="H14" i="6" s="1"/>
  <c r="BH43" i="2" s="1"/>
  <c r="AI25" i="4"/>
  <c r="P81" i="5" a="1"/>
  <c r="P81" i="5" s="1"/>
  <c r="AA81" i="5" s="1"/>
  <c r="B76" i="5"/>
  <c r="C130" i="5"/>
  <c r="E76" i="5"/>
  <c r="V32" i="7" s="1"/>
  <c r="D65" i="5"/>
  <c r="N65" i="5" s="1" a="1"/>
  <c r="N65" i="5" s="1"/>
  <c r="Y65" i="5" s="1"/>
  <c r="E65" i="5"/>
  <c r="V21" i="7" s="1"/>
  <c r="C119" i="5"/>
  <c r="GN14" i="3"/>
  <c r="H15" i="6" s="1"/>
  <c r="BH44" i="2" s="1"/>
  <c r="AK14" i="4"/>
  <c r="B64" i="5"/>
  <c r="C118" i="5"/>
  <c r="E64" i="5"/>
  <c r="V20" i="7" s="1"/>
  <c r="E23" i="6"/>
  <c r="GE21" i="3"/>
  <c r="AL24" i="4"/>
  <c r="AJ14" i="4"/>
  <c r="K81" i="5" a="1"/>
  <c r="K81" i="5" s="1"/>
  <c r="V81" i="5" s="1"/>
  <c r="E75" i="5"/>
  <c r="V31" i="7" s="1"/>
  <c r="C129" i="5"/>
  <c r="D23" i="6"/>
  <c r="AK24" i="4"/>
  <c r="AI14" i="4"/>
  <c r="AL14" i="4" s="1"/>
  <c r="AC72" i="5" s="1"/>
  <c r="I23" i="6"/>
  <c r="AA23" i="6"/>
  <c r="F77" i="2"/>
  <c r="O12" i="6"/>
  <c r="AA12" i="6"/>
  <c r="AJ24" i="4"/>
  <c r="M87" i="5"/>
  <c r="E74" i="5"/>
  <c r="V30" i="7" s="1"/>
  <c r="C128" i="5"/>
  <c r="E11" i="6"/>
  <c r="BF40" i="2" s="1"/>
  <c r="P21" i="6"/>
  <c r="AA19" i="6"/>
  <c r="B25" i="6"/>
  <c r="AA25" i="6"/>
  <c r="F79" i="2"/>
  <c r="R69" i="5"/>
  <c r="H88" i="5" s="1"/>
  <c r="AI24" i="4"/>
  <c r="AK13" i="4"/>
  <c r="L87" i="5"/>
  <c r="E73" i="5"/>
  <c r="V29" i="7" s="1"/>
  <c r="C127" i="5"/>
  <c r="AC82" i="5"/>
  <c r="J25" i="6"/>
  <c r="O11" i="6"/>
  <c r="AA11" i="6"/>
  <c r="AJ8" i="4"/>
  <c r="AI8" i="4"/>
  <c r="L81" i="5" a="1"/>
  <c r="L81" i="5" s="1"/>
  <c r="W81" i="5" s="1"/>
  <c r="E81" i="5"/>
  <c r="T88" i="5" s="1"/>
  <c r="C135" i="5"/>
  <c r="AK12" i="4"/>
  <c r="AL12" i="4" s="1"/>
  <c r="AC70" i="5" s="1"/>
  <c r="I81" i="5" a="1"/>
  <c r="I81" i="5" s="1"/>
  <c r="T81" i="5" s="1"/>
  <c r="E72" i="5"/>
  <c r="V28" i="7" s="1"/>
  <c r="C126" i="5"/>
  <c r="AB82" i="5"/>
  <c r="I25" i="6"/>
  <c r="O10" i="6"/>
  <c r="AA10" i="6"/>
  <c r="AA22" i="6"/>
  <c r="O20" i="6"/>
  <c r="AA21" i="6"/>
  <c r="G9" i="6"/>
  <c r="BG38" i="2" s="1"/>
  <c r="O19" i="6"/>
  <c r="D70" i="5"/>
  <c r="C124" i="5"/>
  <c r="E70" i="5"/>
  <c r="V26" i="7" s="1"/>
  <c r="T87" i="5"/>
  <c r="H25" i="6"/>
  <c r="Z31" i="7" a="1"/>
  <c r="Z31" i="7" s="1"/>
  <c r="GN9" i="3"/>
  <c r="AB68" i="5" s="1"/>
  <c r="GN7" i="3"/>
  <c r="AB66" i="5" s="1"/>
  <c r="H81" i="5" a="1"/>
  <c r="H81" i="5" s="1"/>
  <c r="S81" i="5" s="1"/>
  <c r="AC81" i="5"/>
  <c r="G25" i="6"/>
  <c r="GJ17" i="3"/>
  <c r="GN12" i="3"/>
  <c r="AB71" i="5" s="1"/>
  <c r="Z24" i="7" a="1"/>
  <c r="Z24" i="7" s="1"/>
  <c r="G83" i="5" a="1"/>
  <c r="G83" i="5" s="1"/>
  <c r="R83" i="5" s="1"/>
  <c r="E83" i="5"/>
  <c r="V39" i="7" s="1"/>
  <c r="C137" i="5"/>
  <c r="E71" i="5"/>
  <c r="V27" i="7" s="1"/>
  <c r="C125" i="5"/>
  <c r="AB81" i="5"/>
  <c r="F25" i="6"/>
  <c r="G20" i="6"/>
  <c r="BG49" i="2" s="1"/>
  <c r="O15" i="6"/>
  <c r="AA9" i="6"/>
  <c r="Q14" i="6"/>
  <c r="AA8" i="6"/>
  <c r="AB22" i="6" s="1"/>
  <c r="P14" i="6"/>
  <c r="F12" i="6"/>
  <c r="F21" i="6"/>
  <c r="L21" i="7"/>
  <c r="H6" i="5" a="1"/>
  <c r="H6" i="5" s="1"/>
  <c r="D14" i="5" s="1"/>
  <c r="D13" i="8" a="1"/>
  <c r="D13" i="8" s="1"/>
  <c r="C6" i="8" s="1"/>
  <c r="GH8" i="3"/>
  <c r="GH13" i="3"/>
  <c r="GH17" i="3"/>
  <c r="GH9" i="3"/>
  <c r="GH12" i="3"/>
  <c r="AA71" i="5"/>
  <c r="GH7" i="3"/>
  <c r="GH5" i="3"/>
  <c r="GH18" i="3"/>
  <c r="GH10" i="3"/>
  <c r="Z70" i="5"/>
  <c r="GH15" i="3"/>
  <c r="Z74" i="5"/>
  <c r="GH21" i="3"/>
  <c r="GH19" i="3"/>
  <c r="AA78" i="5"/>
  <c r="R78" i="5"/>
  <c r="GH16" i="3"/>
  <c r="GH14" i="3"/>
  <c r="GH6" i="3"/>
  <c r="AL8" i="4"/>
  <c r="AC66" i="5" s="1"/>
  <c r="AL16" i="4"/>
  <c r="AC74" i="5" s="1"/>
  <c r="H78" i="5" a="1"/>
  <c r="H78" i="5" s="1"/>
  <c r="S78" i="5" s="1"/>
  <c r="H69" i="5" a="1"/>
  <c r="H69" i="5" s="1"/>
  <c r="S69" i="5" s="1"/>
  <c r="G78" i="5" a="1"/>
  <c r="G78" i="5" s="1"/>
  <c r="D12" i="6"/>
  <c r="BE41" i="2" s="1"/>
  <c r="BH47" i="2"/>
  <c r="J18" i="6"/>
  <c r="D16" i="6"/>
  <c r="BE45" i="2" s="1"/>
  <c r="BG40" i="2"/>
  <c r="Q11" i="6"/>
  <c r="F76" i="2"/>
  <c r="Q22" i="6"/>
  <c r="I22" i="6"/>
  <c r="B22" i="6"/>
  <c r="GN11" i="3"/>
  <c r="B72" i="5"/>
  <c r="K87" i="5"/>
  <c r="AB72" i="5"/>
  <c r="D11" i="6"/>
  <c r="BE40" i="2" s="1"/>
  <c r="GN10" i="3"/>
  <c r="AK20" i="4"/>
  <c r="AJ20" i="4"/>
  <c r="GE20" i="3"/>
  <c r="GN20" i="3" s="1"/>
  <c r="AH20" i="4"/>
  <c r="D9" i="6"/>
  <c r="BE38" i="2" s="1"/>
  <c r="D20" i="6"/>
  <c r="BE49" i="2" s="1"/>
  <c r="GJ21" i="3"/>
  <c r="GN21" i="3"/>
  <c r="H22" i="6" s="1"/>
  <c r="D18" i="6"/>
  <c r="BE47" i="2" s="1"/>
  <c r="GN15" i="3"/>
  <c r="H16" i="6" s="1"/>
  <c r="AB76" i="5"/>
  <c r="GJ16" i="3"/>
  <c r="GN16" i="3"/>
  <c r="AB75" i="5" s="1"/>
  <c r="D73" i="5"/>
  <c r="H73" i="5" s="1" a="1"/>
  <c r="H73" i="5" s="1"/>
  <c r="S73" i="5" s="1"/>
  <c r="P73" i="5" a="1"/>
  <c r="P73" i="5" s="1"/>
  <c r="AA73" i="5" s="1"/>
  <c r="I73" i="5" a="1"/>
  <c r="I73" i="5" s="1"/>
  <c r="T73" i="5" s="1"/>
  <c r="Z26" i="7" a="1"/>
  <c r="Z26" i="7" s="1"/>
  <c r="G70" i="5" a="1"/>
  <c r="G70" i="5" s="1"/>
  <c r="R70" i="5" s="1"/>
  <c r="H70" i="5" a="1"/>
  <c r="H70" i="5" s="1"/>
  <c r="S70" i="5" s="1"/>
  <c r="I70" i="5" a="1"/>
  <c r="I70" i="5" s="1"/>
  <c r="T70" i="5" s="1"/>
  <c r="P70" i="5" a="1"/>
  <c r="P70" i="5" s="1"/>
  <c r="AA70" i="5" s="1"/>
  <c r="AJ11" i="4"/>
  <c r="AH11" i="4"/>
  <c r="AI11" i="4"/>
  <c r="AK11" i="4"/>
  <c r="AH10" i="4"/>
  <c r="AI10" i="4"/>
  <c r="AJ10" i="4"/>
  <c r="AK10" i="4"/>
  <c r="BF46" i="2"/>
  <c r="I17" i="6"/>
  <c r="GN19" i="3"/>
  <c r="H20" i="6" s="1"/>
  <c r="D17" i="6"/>
  <c r="BE46" i="2" s="1"/>
  <c r="D13" i="6"/>
  <c r="BE42" i="2" s="1"/>
  <c r="F67" i="2"/>
  <c r="G13" i="6"/>
  <c r="BG42" i="2" s="1"/>
  <c r="H13" i="6"/>
  <c r="BH42" i="2" s="1"/>
  <c r="J13" i="6"/>
  <c r="O13" i="6"/>
  <c r="Q13" i="6"/>
  <c r="D15" i="6"/>
  <c r="BE44" i="2" s="1"/>
  <c r="GL13" i="3"/>
  <c r="AH21" i="4"/>
  <c r="AI21" i="4"/>
  <c r="AJ21" i="4"/>
  <c r="AK21" i="4"/>
  <c r="J74" i="5" a="1"/>
  <c r="J74" i="5" s="1"/>
  <c r="U74" i="5" s="1"/>
  <c r="H74" i="5" a="1"/>
  <c r="H74" i="5" s="1"/>
  <c r="S74" i="5" s="1"/>
  <c r="I74" i="5" a="1"/>
  <c r="I74" i="5" s="1"/>
  <c r="T74" i="5" s="1"/>
  <c r="P74" i="5" a="1"/>
  <c r="P74" i="5" s="1"/>
  <c r="AA74" i="5" s="1"/>
  <c r="O74" i="5" a="1"/>
  <c r="O74" i="5" s="1"/>
  <c r="L77" i="5" a="1"/>
  <c r="L77" i="5" s="1"/>
  <c r="W77" i="5" s="1"/>
  <c r="H77" i="5" a="1"/>
  <c r="H77" i="5" s="1"/>
  <c r="S77" i="5" s="1"/>
  <c r="I77" i="5" a="1"/>
  <c r="I77" i="5" s="1"/>
  <c r="T77" i="5" s="1"/>
  <c r="K77" i="5" a="1"/>
  <c r="K77" i="5" s="1"/>
  <c r="V77" i="5" s="1"/>
  <c r="J77" i="5" a="1"/>
  <c r="J77" i="5" s="1"/>
  <c r="U77" i="5" s="1"/>
  <c r="AB77" i="5"/>
  <c r="P77" i="5" a="1"/>
  <c r="P77" i="5" s="1"/>
  <c r="AA77" i="5" s="1"/>
  <c r="B16" i="6"/>
  <c r="F70" i="2"/>
  <c r="O16" i="6"/>
  <c r="G16" i="6"/>
  <c r="BG45" i="2" s="1"/>
  <c r="P16" i="6"/>
  <c r="Q16" i="6"/>
  <c r="I16" i="6"/>
  <c r="D21" i="6"/>
  <c r="BE50" i="2" s="1"/>
  <c r="B13" i="6"/>
  <c r="AH22" i="4"/>
  <c r="AI22" i="4"/>
  <c r="AJ22" i="4"/>
  <c r="AK22" i="4"/>
  <c r="G74" i="5" a="1"/>
  <c r="G74" i="5" s="1"/>
  <c r="AB67" i="5"/>
  <c r="F87" i="5"/>
  <c r="P22" i="6"/>
  <c r="B9" i="6"/>
  <c r="F63" i="2"/>
  <c r="B18" i="6"/>
  <c r="F72" i="2"/>
  <c r="D8" i="6"/>
  <c r="BE37" i="2" s="1"/>
  <c r="F62" i="2"/>
  <c r="Z20" i="7" a="1"/>
  <c r="Z20" i="7" s="1"/>
  <c r="G21" i="6"/>
  <c r="F75" i="2"/>
  <c r="I14" i="6"/>
  <c r="I11" i="6"/>
  <c r="Q12" i="6"/>
  <c r="AK18" i="4"/>
  <c r="G17" i="6"/>
  <c r="BG46" i="2" s="1"/>
  <c r="P12" i="6"/>
  <c r="AJ18" i="4"/>
  <c r="G75" i="5" a="1"/>
  <c r="G75" i="5" s="1"/>
  <c r="D66" i="5"/>
  <c r="N66" i="5" s="1" a="1"/>
  <c r="N66" i="5" s="1"/>
  <c r="Y66" i="5" s="1"/>
  <c r="Q18" i="6"/>
  <c r="AJ19" i="4"/>
  <c r="G71" i="5" a="1"/>
  <c r="G71" i="5" s="1"/>
  <c r="J78" i="5" a="1"/>
  <c r="J78" i="5" s="1"/>
  <c r="U78" i="5" s="1"/>
  <c r="B15" i="6"/>
  <c r="F69" i="2"/>
  <c r="AH19" i="4"/>
  <c r="Z23" i="7" a="1"/>
  <c r="Z23" i="7" s="1"/>
  <c r="L69" i="5" a="1"/>
  <c r="L69" i="5" s="1"/>
  <c r="W69" i="5" s="1"/>
  <c r="F71" i="2"/>
  <c r="Q17" i="6"/>
  <c r="F66" i="2"/>
  <c r="AI18" i="4"/>
  <c r="Z28" i="7" a="1"/>
  <c r="Z28" i="7" s="1"/>
  <c r="AK17" i="4"/>
  <c r="AK9" i="4"/>
  <c r="E20" i="6"/>
  <c r="B17" i="6"/>
  <c r="J14" i="6"/>
  <c r="F68" i="2"/>
  <c r="B11" i="6"/>
  <c r="F65" i="2"/>
  <c r="P17" i="6"/>
  <c r="Q10" i="6"/>
  <c r="P18" i="6"/>
  <c r="AJ17" i="4"/>
  <c r="AJ13" i="4"/>
  <c r="AJ9" i="4"/>
  <c r="G65" i="5" a="1"/>
  <c r="G65" i="5" s="1"/>
  <c r="R65" i="5" s="1"/>
  <c r="E10" i="6"/>
  <c r="BF39" i="2" s="1"/>
  <c r="O17" i="6"/>
  <c r="Z36" i="7" a="1"/>
  <c r="Z36" i="7" s="1"/>
  <c r="AI17" i="4"/>
  <c r="AI13" i="4"/>
  <c r="AI9" i="4"/>
  <c r="P78" i="5" a="1"/>
  <c r="P78" i="5" s="1"/>
  <c r="S87" i="5"/>
  <c r="B20" i="6"/>
  <c r="F74" i="2"/>
  <c r="D10" i="6"/>
  <c r="BE39" i="2" s="1"/>
  <c r="P11" i="6"/>
  <c r="Z29" i="7" a="1"/>
  <c r="Z29" i="7" s="1"/>
  <c r="J70" i="5" a="1"/>
  <c r="J70" i="5" s="1"/>
  <c r="U70" i="5" s="1"/>
  <c r="R87" i="5"/>
  <c r="F64" i="2"/>
  <c r="Q9" i="6"/>
  <c r="J66" i="5" a="1"/>
  <c r="J66" i="5" s="1"/>
  <c r="U66" i="5" s="1"/>
  <c r="O18" i="6"/>
  <c r="O78" i="5" a="1"/>
  <c r="O78" i="5" s="1"/>
  <c r="Z78" i="5" s="1"/>
  <c r="Q87" i="5"/>
  <c r="E19" i="6"/>
  <c r="I19" i="6" s="1"/>
  <c r="F73" i="2"/>
  <c r="J9" i="6"/>
  <c r="P9" i="6"/>
  <c r="E7" i="6"/>
  <c r="BF36" i="2" s="1"/>
  <c r="AK7" i="4"/>
  <c r="AJ7" i="4"/>
  <c r="H65" i="5" a="1"/>
  <c r="H65" i="5" s="1"/>
  <c r="L8" i="2"/>
  <c r="B5" i="2" a="1"/>
  <c r="B5" i="2" s="1"/>
  <c r="AJ6" i="6" a="1"/>
  <c r="AJ6" i="6" s="1"/>
  <c r="L20" i="7"/>
  <c r="H8" i="7" s="1"/>
  <c r="A12" i="7" s="1"/>
  <c r="GC6" i="3"/>
  <c r="GN5" i="3"/>
  <c r="H6" i="6" s="1"/>
  <c r="BH35" i="2" s="1"/>
  <c r="D7" i="6"/>
  <c r="BE36" i="2" s="1"/>
  <c r="GN6" i="3"/>
  <c r="AB65" i="5" s="1"/>
  <c r="U65" i="5" s="1"/>
  <c r="G7" i="6"/>
  <c r="BG36" i="2" s="1"/>
  <c r="L65" i="5" a="1"/>
  <c r="L65" i="5" s="1"/>
  <c r="W65" i="5" s="1"/>
  <c r="C87" i="5"/>
  <c r="E6" i="6"/>
  <c r="BF35" i="2" s="1"/>
  <c r="B6" i="6"/>
  <c r="F60" i="2"/>
  <c r="B7" i="6"/>
  <c r="F61" i="2"/>
  <c r="P7" i="6"/>
  <c r="D87" i="5"/>
  <c r="K65" i="5" a="1"/>
  <c r="K65" i="5" s="1"/>
  <c r="V65" i="5" s="1"/>
  <c r="O7" i="6"/>
  <c r="AK6" i="4"/>
  <c r="O6" i="6"/>
  <c r="J65" i="5" a="1"/>
  <c r="J65" i="5" s="1"/>
  <c r="AI6" i="4"/>
  <c r="Z21" i="7" a="1"/>
  <c r="Z21" i="7" s="1"/>
  <c r="I65" i="5" a="1"/>
  <c r="I65" i="5" s="1"/>
  <c r="T65" i="5" s="1"/>
  <c r="I7" i="6"/>
  <c r="F24" i="6"/>
  <c r="G15" i="6"/>
  <c r="E13" i="6"/>
  <c r="BF42" i="2" s="1"/>
  <c r="E24" i="6"/>
  <c r="G6" i="6"/>
  <c r="BG35" i="2" s="1"/>
  <c r="B21" i="6"/>
  <c r="B12" i="6"/>
  <c r="B14" i="6"/>
  <c r="D24" i="6"/>
  <c r="E15" i="6"/>
  <c r="B8" i="6"/>
  <c r="B10" i="6"/>
  <c r="B23" i="6"/>
  <c r="H19" i="6"/>
  <c r="BH48" i="2" s="1"/>
  <c r="I10" i="6"/>
  <c r="I21" i="6"/>
  <c r="G19" i="6"/>
  <c r="H10" i="6"/>
  <c r="BH39" i="2" s="1"/>
  <c r="D6" i="6"/>
  <c r="BE35" i="2" s="1"/>
  <c r="B19" i="6"/>
  <c r="G8" i="6"/>
  <c r="J23" i="6"/>
  <c r="I12" i="6"/>
  <c r="G10" i="6"/>
  <c r="BG39" i="2" s="1"/>
  <c r="E8" i="6"/>
  <c r="L82" i="5" a="1"/>
  <c r="L82" i="5" s="1"/>
  <c r="W82" i="5" s="1"/>
  <c r="B81" i="5"/>
  <c r="L78" i="5" a="1"/>
  <c r="L78" i="5" s="1"/>
  <c r="W78" i="5" s="1"/>
  <c r="B77" i="5"/>
  <c r="L74" i="5" a="1"/>
  <c r="L74" i="5" s="1"/>
  <c r="W74" i="5" s="1"/>
  <c r="B73" i="5"/>
  <c r="L70" i="5" a="1"/>
  <c r="L70" i="5" s="1"/>
  <c r="W70" i="5" s="1"/>
  <c r="B69" i="5"/>
  <c r="L66" i="5" a="1"/>
  <c r="L66" i="5" s="1"/>
  <c r="W66" i="5" s="1"/>
  <c r="B65" i="5"/>
  <c r="O75" i="5" a="1"/>
  <c r="O75" i="5" s="1"/>
  <c r="Z75" i="5" s="1"/>
  <c r="B71" i="5"/>
  <c r="B67" i="5"/>
  <c r="M83" i="5" a="1"/>
  <c r="M83" i="5" s="1"/>
  <c r="X83" i="5" s="1"/>
  <c r="M79" i="5" a="1"/>
  <c r="M79" i="5" s="1"/>
  <c r="X79" i="5" s="1"/>
  <c r="M75" i="5" a="1"/>
  <c r="M75" i="5" s="1"/>
  <c r="X75" i="5" s="1"/>
  <c r="L71" i="5" a="1"/>
  <c r="L71" i="5" s="1"/>
  <c r="W71" i="5" s="1"/>
  <c r="N74" i="5" a="1"/>
  <c r="N74" i="5" s="1"/>
  <c r="Y74" i="5" s="1"/>
  <c r="K75" i="5" a="1"/>
  <c r="K75" i="5" s="1"/>
  <c r="V75" i="5" s="1"/>
  <c r="K71" i="5" a="1"/>
  <c r="K71" i="5" s="1"/>
  <c r="V71" i="5" s="1"/>
  <c r="M78" i="5" a="1"/>
  <c r="M78" i="5" s="1"/>
  <c r="X78" i="5" s="1"/>
  <c r="M70" i="5" a="1"/>
  <c r="M70" i="5" s="1"/>
  <c r="X70" i="5" s="1"/>
  <c r="O69" i="5" a="1"/>
  <c r="O69" i="5" s="1"/>
  <c r="Z69" i="5" s="1"/>
  <c r="O65" i="5" a="1"/>
  <c r="O65" i="5" s="1"/>
  <c r="Z65" i="5" s="1"/>
  <c r="I83" i="5" a="1"/>
  <c r="I83" i="5" s="1"/>
  <c r="T83" i="5" s="1"/>
  <c r="N81" i="5" a="1"/>
  <c r="N81" i="5" s="1"/>
  <c r="Y81" i="5" s="1"/>
  <c r="I79" i="5" a="1"/>
  <c r="I79" i="5" s="1"/>
  <c r="T79" i="5" s="1"/>
  <c r="N77" i="5" a="1"/>
  <c r="N77" i="5" s="1"/>
  <c r="Y77" i="5" s="1"/>
  <c r="I75" i="5" a="1"/>
  <c r="I75" i="5" s="1"/>
  <c r="T75" i="5" s="1"/>
  <c r="I71" i="5" a="1"/>
  <c r="I71" i="5" s="1"/>
  <c r="T71" i="5" s="1"/>
  <c r="N69" i="5" a="1"/>
  <c r="N69" i="5" s="1"/>
  <c r="Y69" i="5" s="1"/>
  <c r="I67" i="5" a="1"/>
  <c r="I67" i="5" s="1"/>
  <c r="T67" i="5" s="1"/>
  <c r="B79" i="5"/>
  <c r="N83" i="5" a="1"/>
  <c r="N83" i="5" s="1"/>
  <c r="Y83" i="5" s="1"/>
  <c r="O82" i="5" a="1"/>
  <c r="O82" i="5" s="1"/>
  <c r="Z82" i="5" s="1"/>
  <c r="O77" i="5" a="1"/>
  <c r="O77" i="5" s="1"/>
  <c r="Z77" i="5" s="1"/>
  <c r="J75" i="5" a="1"/>
  <c r="J75" i="5" s="1"/>
  <c r="U75" i="5" s="1"/>
  <c r="O73" i="5" a="1"/>
  <c r="O73" i="5" s="1"/>
  <c r="Z73" i="5" s="1"/>
  <c r="J71" i="5" a="1"/>
  <c r="J71" i="5" s="1"/>
  <c r="U71" i="5" s="1"/>
  <c r="K82" i="5" a="1"/>
  <c r="K82" i="5" s="1"/>
  <c r="V82" i="5" s="1"/>
  <c r="K78" i="5" a="1"/>
  <c r="K78" i="5" s="1"/>
  <c r="V78" i="5" s="1"/>
  <c r="K74" i="5" a="1"/>
  <c r="K74" i="5" s="1"/>
  <c r="V74" i="5" s="1"/>
  <c r="K70" i="5" a="1"/>
  <c r="K70" i="5" s="1"/>
  <c r="V70" i="5" s="1"/>
  <c r="O79" i="5" a="1"/>
  <c r="O79" i="5" s="1"/>
  <c r="Z79" i="5" s="1"/>
  <c r="O71" i="5" a="1"/>
  <c r="O71" i="5" s="1"/>
  <c r="Z71" i="5" s="1"/>
  <c r="N67" i="5" a="1"/>
  <c r="N67" i="5" s="1"/>
  <c r="Y67" i="5" s="1"/>
  <c r="B82" i="5"/>
  <c r="L79" i="5" a="1"/>
  <c r="L79" i="5" s="1"/>
  <c r="W79" i="5" s="1"/>
  <c r="B78" i="5"/>
  <c r="L75" i="5" a="1"/>
  <c r="L75" i="5" s="1"/>
  <c r="W75" i="5" s="1"/>
  <c r="B74" i="5"/>
  <c r="N70" i="5" a="1"/>
  <c r="N70" i="5" s="1"/>
  <c r="Y70" i="5" s="1"/>
  <c r="H83" i="5" a="1"/>
  <c r="H83" i="5" s="1"/>
  <c r="S83" i="5" s="1"/>
  <c r="M81" i="5" a="1"/>
  <c r="M81" i="5" s="1"/>
  <c r="X81" i="5" s="1"/>
  <c r="D80" i="5"/>
  <c r="L80" i="5" s="1" a="1"/>
  <c r="L80" i="5" s="1"/>
  <c r="W80" i="5" s="1"/>
  <c r="M77" i="5" a="1"/>
  <c r="M77" i="5" s="1"/>
  <c r="X77" i="5" s="1"/>
  <c r="D76" i="5"/>
  <c r="H75" i="5" a="1"/>
  <c r="H75" i="5" s="1"/>
  <c r="S75" i="5" s="1"/>
  <c r="D72" i="5"/>
  <c r="J72" i="5" s="1" a="1"/>
  <c r="J72" i="5" s="1"/>
  <c r="U72" i="5" s="1"/>
  <c r="H71" i="5" a="1"/>
  <c r="H71" i="5" s="1"/>
  <c r="S71" i="5" s="1"/>
  <c r="M69" i="5" a="1"/>
  <c r="M69" i="5" s="1"/>
  <c r="X69" i="5" s="1"/>
  <c r="D68" i="5"/>
  <c r="H67" i="5" a="1"/>
  <c r="H67" i="5" s="1"/>
  <c r="S67" i="5" s="1"/>
  <c r="M65" i="5" a="1"/>
  <c r="M65" i="5" s="1"/>
  <c r="X65" i="5" s="1"/>
  <c r="D64" i="5"/>
  <c r="L64" i="5" s="1" a="1"/>
  <c r="L64" i="5" s="1"/>
  <c r="W64" i="5" s="1"/>
  <c r="B83" i="5"/>
  <c r="B75" i="5"/>
  <c r="N75" i="5" a="1"/>
  <c r="N75" i="5" s="1"/>
  <c r="Y75" i="5" s="1"/>
  <c r="N71" i="5" a="1"/>
  <c r="N71" i="5" s="1"/>
  <c r="Y71" i="5" s="1"/>
  <c r="M71" i="5" a="1"/>
  <c r="M71" i="5" s="1"/>
  <c r="X71" i="5" s="1"/>
  <c r="O70" i="5" a="1"/>
  <c r="O70" i="5" s="1"/>
  <c r="L83" i="5" a="1"/>
  <c r="L83" i="5" s="1"/>
  <c r="W83" i="5" s="1"/>
  <c r="B70" i="5"/>
  <c r="B66" i="5"/>
  <c r="N82" i="5" a="1"/>
  <c r="N82" i="5" s="1"/>
  <c r="Y82" i="5" s="1"/>
  <c r="N78" i="5" a="1"/>
  <c r="N78" i="5" s="1"/>
  <c r="Y78" i="5" s="1"/>
  <c r="K83" i="5" a="1"/>
  <c r="K83" i="5" s="1"/>
  <c r="V83" i="5" s="1"/>
  <c r="M82" i="5" a="1"/>
  <c r="M82" i="5" s="1"/>
  <c r="X82" i="5" s="1"/>
  <c r="M74" i="5" a="1"/>
  <c r="M74" i="5" s="1"/>
  <c r="X74" i="5" s="1"/>
  <c r="J83" i="5" a="1"/>
  <c r="J83" i="5" s="1"/>
  <c r="U83" i="5" s="1"/>
  <c r="O81" i="5" a="1"/>
  <c r="O81" i="5" s="1"/>
  <c r="Z81" i="5" s="1"/>
  <c r="J67" i="5" a="1"/>
  <c r="J67" i="5" s="1"/>
  <c r="U67" i="5" s="1"/>
  <c r="P88" i="5" l="1"/>
  <c r="B118" i="5"/>
  <c r="D118" i="5"/>
  <c r="D121" i="5"/>
  <c r="B121" i="5"/>
  <c r="D126" i="5"/>
  <c r="B126" i="5"/>
  <c r="G77" i="2"/>
  <c r="H77" i="2"/>
  <c r="D136" i="5"/>
  <c r="B136" i="5"/>
  <c r="D137" i="5"/>
  <c r="B137" i="5"/>
  <c r="G78" i="2"/>
  <c r="H78" i="2"/>
  <c r="R75" i="5"/>
  <c r="N88" i="5" s="1"/>
  <c r="P67" i="5" a="1"/>
  <c r="P67" i="5" s="1"/>
  <c r="AA67" i="5" s="1"/>
  <c r="G67" i="5" a="1"/>
  <c r="G67" i="5" s="1"/>
  <c r="V37" i="7"/>
  <c r="D130" i="5"/>
  <c r="B130" i="5"/>
  <c r="G79" i="2"/>
  <c r="H79" i="2"/>
  <c r="D123" i="5"/>
  <c r="B123" i="5"/>
  <c r="J33" i="7"/>
  <c r="B127" i="5"/>
  <c r="D127" i="5"/>
  <c r="D133" i="5"/>
  <c r="B133" i="5"/>
  <c r="R71" i="5"/>
  <c r="J88" i="5" s="1"/>
  <c r="D135" i="5"/>
  <c r="B135" i="5"/>
  <c r="H8" i="6"/>
  <c r="BH37" i="2" s="1"/>
  <c r="H79" i="5" a="1"/>
  <c r="H79" i="5" s="1"/>
  <c r="S79" i="5" s="1"/>
  <c r="G79" i="5" a="1"/>
  <c r="G79" i="5" s="1"/>
  <c r="R79" i="5" s="1"/>
  <c r="R88" i="5" s="1"/>
  <c r="R74" i="5"/>
  <c r="M88" i="5" s="1"/>
  <c r="J15" i="6"/>
  <c r="J24" i="7"/>
  <c r="J35" i="7"/>
  <c r="D119" i="5"/>
  <c r="B119" i="5"/>
  <c r="D125" i="5"/>
  <c r="B125" i="5"/>
  <c r="D124" i="5"/>
  <c r="B124" i="5"/>
  <c r="D129" i="5"/>
  <c r="B129" i="5"/>
  <c r="P65" i="5" a="1"/>
  <c r="P65" i="5" s="1"/>
  <c r="AA65" i="5" s="1"/>
  <c r="K67" i="5" a="1"/>
  <c r="K67" i="5" s="1"/>
  <c r="V67" i="5" s="1"/>
  <c r="K79" i="5" a="1"/>
  <c r="K79" i="5" s="1"/>
  <c r="V79" i="5" s="1"/>
  <c r="J79" i="5" a="1"/>
  <c r="J79" i="5" s="1"/>
  <c r="U79" i="5" s="1"/>
  <c r="J26" i="7"/>
  <c r="V88" i="5"/>
  <c r="B120" i="5"/>
  <c r="D120" i="5"/>
  <c r="D132" i="5"/>
  <c r="B132" i="5"/>
  <c r="O67" i="5" a="1"/>
  <c r="O67" i="5" s="1"/>
  <c r="Z67" i="5" s="1"/>
  <c r="V38" i="7"/>
  <c r="AB73" i="5"/>
  <c r="D128" i="5"/>
  <c r="B128" i="5"/>
  <c r="D122" i="5"/>
  <c r="B122" i="5"/>
  <c r="N79" i="5" a="1"/>
  <c r="N79" i="5" s="1"/>
  <c r="Y79" i="5" s="1"/>
  <c r="AL22" i="4"/>
  <c r="AC80" i="5" s="1"/>
  <c r="Q20" i="6"/>
  <c r="B131" i="5"/>
  <c r="D131" i="5"/>
  <c r="D134" i="5"/>
  <c r="B134" i="5"/>
  <c r="L67" i="5" a="1"/>
  <c r="L67" i="5" s="1"/>
  <c r="W67" i="5" s="1"/>
  <c r="D139" i="5" a="1"/>
  <c r="D139" i="5" s="1"/>
  <c r="F18" i="6"/>
  <c r="J32" i="7"/>
  <c r="F16" i="6"/>
  <c r="J30" i="7"/>
  <c r="F6" i="6"/>
  <c r="J20" i="7"/>
  <c r="F8" i="6"/>
  <c r="J22" i="7"/>
  <c r="F20" i="6"/>
  <c r="J34" i="7"/>
  <c r="F17" i="6"/>
  <c r="J31" i="7"/>
  <c r="F14" i="6"/>
  <c r="J28" i="7"/>
  <c r="F11" i="6"/>
  <c r="J25" i="7"/>
  <c r="F15" i="6"/>
  <c r="J29" i="7"/>
  <c r="F22" i="6"/>
  <c r="J36" i="7"/>
  <c r="F9" i="6"/>
  <c r="J23" i="7"/>
  <c r="F7" i="6"/>
  <c r="J21" i="7"/>
  <c r="F19" i="6"/>
  <c r="H17" i="6"/>
  <c r="F13" i="6"/>
  <c r="J27" i="7"/>
  <c r="AB78" i="5"/>
  <c r="AB80" i="5"/>
  <c r="AB74" i="5"/>
  <c r="S65" i="5"/>
  <c r="AB64" i="5"/>
  <c r="BH51" i="2"/>
  <c r="J22" i="6"/>
  <c r="Q88" i="5"/>
  <c r="J10" i="6"/>
  <c r="F10" i="6"/>
  <c r="J19" i="6"/>
  <c r="AL21" i="4"/>
  <c r="AC79" i="5" s="1"/>
  <c r="AH27" i="4"/>
  <c r="AL20" i="4"/>
  <c r="AC78" i="5" s="1"/>
  <c r="AL18" i="4"/>
  <c r="AC76" i="5" s="1"/>
  <c r="AL11" i="4"/>
  <c r="AC69" i="5" s="1"/>
  <c r="AL13" i="4"/>
  <c r="AC71" i="5" s="1"/>
  <c r="AL17" i="4"/>
  <c r="AC75" i="5" s="1"/>
  <c r="AL10" i="4"/>
  <c r="AC68" i="5" s="1"/>
  <c r="AL9" i="4"/>
  <c r="AC67" i="5" s="1"/>
  <c r="N64" i="5" a="1"/>
  <c r="N64" i="5" s="1"/>
  <c r="Y64" i="5" s="1"/>
  <c r="K72" i="5" a="1"/>
  <c r="K72" i="5" s="1"/>
  <c r="V72" i="5" s="1"/>
  <c r="O64" i="5" a="1"/>
  <c r="O64" i="5" s="1"/>
  <c r="Z64" i="5" s="1"/>
  <c r="BH45" i="2"/>
  <c r="J16" i="6"/>
  <c r="AB79" i="5"/>
  <c r="H21" i="6"/>
  <c r="BG48" i="2"/>
  <c r="Q19" i="6"/>
  <c r="G73" i="5" a="1"/>
  <c r="G73" i="5" s="1"/>
  <c r="AB70" i="5"/>
  <c r="H66" i="5" a="1"/>
  <c r="H66" i="5" s="1"/>
  <c r="S66" i="5" s="1"/>
  <c r="G66" i="5" a="1"/>
  <c r="G66" i="5" s="1"/>
  <c r="I66" i="5" a="1"/>
  <c r="I66" i="5" s="1"/>
  <c r="T66" i="5" s="1"/>
  <c r="P66" i="5" a="1"/>
  <c r="P66" i="5" s="1"/>
  <c r="AA66" i="5" s="1"/>
  <c r="L73" i="5" a="1"/>
  <c r="L73" i="5" s="1"/>
  <c r="W73" i="5" s="1"/>
  <c r="G76" i="5" a="1"/>
  <c r="G76" i="5" s="1"/>
  <c r="H76" i="5" a="1"/>
  <c r="H76" i="5" s="1"/>
  <c r="S76" i="5" s="1"/>
  <c r="G71" i="2"/>
  <c r="H71" i="2"/>
  <c r="BF49" i="2"/>
  <c r="I20" i="6"/>
  <c r="H74" i="2" s="1"/>
  <c r="P20" i="6"/>
  <c r="O66" i="5" a="1"/>
  <c r="O66" i="5" s="1"/>
  <c r="Z66" i="5" s="1"/>
  <c r="AI27" i="4"/>
  <c r="I76" i="5" a="1"/>
  <c r="I76" i="5" s="1"/>
  <c r="T76" i="5" s="1"/>
  <c r="G63" i="2"/>
  <c r="H63" i="2"/>
  <c r="I13" i="6"/>
  <c r="H67" i="2" s="1"/>
  <c r="P10" i="6"/>
  <c r="BF37" i="2"/>
  <c r="P8" i="6"/>
  <c r="M72" i="5" a="1"/>
  <c r="M72" i="5" s="1"/>
  <c r="X72" i="5" s="1"/>
  <c r="G67" i="2"/>
  <c r="L72" i="5" a="1"/>
  <c r="L72" i="5" s="1"/>
  <c r="W72" i="5" s="1"/>
  <c r="G80" i="5" a="1"/>
  <c r="G80" i="5" s="1"/>
  <c r="N80" i="5" a="1"/>
  <c r="N80" i="5" s="1"/>
  <c r="Y80" i="5" s="1"/>
  <c r="I80" i="5" a="1"/>
  <c r="I80" i="5" s="1"/>
  <c r="T80" i="5" s="1"/>
  <c r="J80" i="5" a="1"/>
  <c r="J80" i="5" s="1"/>
  <c r="U80" i="5" s="1"/>
  <c r="H80" i="5" a="1"/>
  <c r="H80" i="5" s="1"/>
  <c r="S80" i="5" s="1"/>
  <c r="G68" i="2"/>
  <c r="H68" i="2"/>
  <c r="H11" i="6"/>
  <c r="AB69" i="5"/>
  <c r="G76" i="2"/>
  <c r="H76" i="2"/>
  <c r="AL19" i="4"/>
  <c r="AC77" i="5" s="1"/>
  <c r="M76" i="5" a="1"/>
  <c r="M76" i="5" s="1"/>
  <c r="X76" i="5" s="1"/>
  <c r="I88" i="5"/>
  <c r="I72" i="5" a="1"/>
  <c r="I72" i="5" s="1"/>
  <c r="T72" i="5" s="1"/>
  <c r="N76" i="5" a="1"/>
  <c r="N76" i="5" s="1"/>
  <c r="Y76" i="5" s="1"/>
  <c r="G70" i="2"/>
  <c r="H70" i="2"/>
  <c r="L76" i="5" a="1"/>
  <c r="L76" i="5" s="1"/>
  <c r="W76" i="5" s="1"/>
  <c r="G65" i="2"/>
  <c r="H65" i="2"/>
  <c r="G75" i="2"/>
  <c r="H75" i="2"/>
  <c r="G72" i="2"/>
  <c r="H72" i="2"/>
  <c r="AJ27" i="4"/>
  <c r="BH46" i="2"/>
  <c r="J17" i="6"/>
  <c r="BG50" i="2"/>
  <c r="Q21" i="6"/>
  <c r="BG44" i="2"/>
  <c r="Q15" i="6"/>
  <c r="H64" i="2"/>
  <c r="G64" i="2"/>
  <c r="D88" i="5"/>
  <c r="M80" i="5" a="1"/>
  <c r="M80" i="5" s="1"/>
  <c r="X80" i="5" s="1"/>
  <c r="N73" i="5" a="1"/>
  <c r="N73" i="5" s="1"/>
  <c r="Y73" i="5" s="1"/>
  <c r="AK27" i="4"/>
  <c r="N72" i="5" a="1"/>
  <c r="N72" i="5" s="1"/>
  <c r="Y72" i="5" s="1"/>
  <c r="O72" i="5" a="1"/>
  <c r="O72" i="5" s="1"/>
  <c r="Z72" i="5" s="1"/>
  <c r="P72" i="5" a="1"/>
  <c r="P72" i="5" s="1"/>
  <c r="AA72" i="5" s="1"/>
  <c r="H66" i="2"/>
  <c r="G66" i="2"/>
  <c r="J73" i="5" a="1"/>
  <c r="J73" i="5" s="1"/>
  <c r="U73" i="5" s="1"/>
  <c r="H72" i="5" a="1"/>
  <c r="H72" i="5" s="1"/>
  <c r="S72" i="5" s="1"/>
  <c r="AL7" i="4"/>
  <c r="AC65" i="5" s="1"/>
  <c r="P13" i="6"/>
  <c r="G62" i="2"/>
  <c r="K76" i="5" a="1"/>
  <c r="K76" i="5" s="1"/>
  <c r="V76" i="5" s="1"/>
  <c r="O80" i="5" a="1"/>
  <c r="O80" i="5" s="1"/>
  <c r="Z80" i="5" s="1"/>
  <c r="G73" i="2"/>
  <c r="H73" i="2"/>
  <c r="K80" i="5" a="1"/>
  <c r="K80" i="5" s="1"/>
  <c r="V80" i="5" s="1"/>
  <c r="J76" i="5" a="1"/>
  <c r="J76" i="5" s="1"/>
  <c r="U76" i="5" s="1"/>
  <c r="BF48" i="2"/>
  <c r="P19" i="6"/>
  <c r="N68" i="5" a="1"/>
  <c r="N68" i="5" s="1"/>
  <c r="Y68" i="5" s="1"/>
  <c r="O68" i="5" a="1"/>
  <c r="O68" i="5" s="1"/>
  <c r="Z68" i="5" s="1"/>
  <c r="P68" i="5" a="1"/>
  <c r="P68" i="5" s="1"/>
  <c r="AA68" i="5" s="1"/>
  <c r="G68" i="5" a="1"/>
  <c r="G68" i="5" s="1"/>
  <c r="I68" i="5" a="1"/>
  <c r="I68" i="5" s="1"/>
  <c r="T68" i="5" s="1"/>
  <c r="J68" i="5" a="1"/>
  <c r="J68" i="5" s="1"/>
  <c r="U68" i="5" s="1"/>
  <c r="H68" i="5" a="1"/>
  <c r="H68" i="5" s="1"/>
  <c r="S68" i="5" s="1"/>
  <c r="L68" i="5" a="1"/>
  <c r="L68" i="5" s="1"/>
  <c r="W68" i="5" s="1"/>
  <c r="K68" i="5" a="1"/>
  <c r="K68" i="5" s="1"/>
  <c r="V68" i="5" s="1"/>
  <c r="M68" i="5" a="1"/>
  <c r="M68" i="5" s="1"/>
  <c r="X68" i="5" s="1"/>
  <c r="M66" i="5" a="1"/>
  <c r="M66" i="5" s="1"/>
  <c r="X66" i="5" s="1"/>
  <c r="P80" i="5" a="1"/>
  <c r="P80" i="5" s="1"/>
  <c r="AA80" i="5" s="1"/>
  <c r="G74" i="2"/>
  <c r="H12" i="6"/>
  <c r="G69" i="2"/>
  <c r="K73" i="5" a="1"/>
  <c r="K73" i="5" s="1"/>
  <c r="V73" i="5" s="1"/>
  <c r="G72" i="5" a="1"/>
  <c r="G72" i="5" s="1"/>
  <c r="O76" i="5" a="1"/>
  <c r="O76" i="5" s="1"/>
  <c r="Z76" i="5" s="1"/>
  <c r="BF44" i="2"/>
  <c r="I15" i="6"/>
  <c r="H69" i="2" s="1"/>
  <c r="P15" i="6"/>
  <c r="BG37" i="2"/>
  <c r="Q8" i="6"/>
  <c r="M73" i="5" a="1"/>
  <c r="M73" i="5" s="1"/>
  <c r="X73" i="5" s="1"/>
  <c r="K66" i="5" a="1"/>
  <c r="K66" i="5" s="1"/>
  <c r="V66" i="5" s="1"/>
  <c r="I8" i="6"/>
  <c r="H62" i="2" s="1"/>
  <c r="P76" i="5" a="1"/>
  <c r="P76" i="5" s="1"/>
  <c r="AA76" i="5" s="1"/>
  <c r="BH49" i="2"/>
  <c r="J20" i="6"/>
  <c r="K64" i="5" a="1"/>
  <c r="K64" i="5" s="1"/>
  <c r="V64" i="5" s="1"/>
  <c r="AB18" i="6"/>
  <c r="G60" i="2"/>
  <c r="AB20" i="6"/>
  <c r="AB11" i="6"/>
  <c r="AB21" i="6"/>
  <c r="Q7" i="6"/>
  <c r="M64" i="5" a="1"/>
  <c r="M64" i="5" s="1"/>
  <c r="X64" i="5" s="1"/>
  <c r="G64" i="5" a="1"/>
  <c r="G64" i="5" s="1"/>
  <c r="P64" i="5" a="1"/>
  <c r="P64" i="5" s="1"/>
  <c r="AA64" i="5" s="1"/>
  <c r="H64" i="5" a="1"/>
  <c r="H64" i="5" s="1"/>
  <c r="S64" i="5" s="1"/>
  <c r="I64" i="5" a="1"/>
  <c r="I64" i="5" s="1"/>
  <c r="T64" i="5" s="1"/>
  <c r="N8" i="2"/>
  <c r="D8" i="2"/>
  <c r="AL6" i="4"/>
  <c r="H7" i="6"/>
  <c r="J6" i="6"/>
  <c r="AB7" i="6"/>
  <c r="AB25" i="6"/>
  <c r="AB15" i="6"/>
  <c r="AB12" i="6"/>
  <c r="J8" i="2"/>
  <c r="Q6" i="6"/>
  <c r="AB23" i="6"/>
  <c r="AB16" i="6"/>
  <c r="AB6" i="6"/>
  <c r="AB8" i="6"/>
  <c r="AB19" i="6"/>
  <c r="AB10" i="6"/>
  <c r="F8" i="2"/>
  <c r="I6" i="6"/>
  <c r="H60" i="2" s="1"/>
  <c r="AB14" i="6"/>
  <c r="AB17" i="6"/>
  <c r="AB13" i="6"/>
  <c r="J64" i="5" a="1"/>
  <c r="J64" i="5" s="1"/>
  <c r="U64" i="5" s="1"/>
  <c r="AB24" i="6"/>
  <c r="AB9" i="6"/>
  <c r="G61" i="2"/>
  <c r="H61" i="2"/>
  <c r="P6" i="6"/>
  <c r="R66" i="5" l="1"/>
  <c r="E88" i="5" s="1"/>
  <c r="J8" i="6"/>
  <c r="R67" i="5"/>
  <c r="F88" i="5" s="1"/>
  <c r="R64" i="5"/>
  <c r="R73" i="5"/>
  <c r="L88" i="5" s="1"/>
  <c r="R72" i="5"/>
  <c r="K88" i="5" s="1"/>
  <c r="R80" i="5"/>
  <c r="S88" i="5" s="1"/>
  <c r="R76" i="5"/>
  <c r="O88" i="5" s="1"/>
  <c r="R68" i="5"/>
  <c r="G88" i="5" s="1"/>
  <c r="H5" i="7" a="1"/>
  <c r="H5" i="7" s="1"/>
  <c r="A9" i="7" s="1"/>
  <c r="H8" i="2"/>
  <c r="C88" i="5"/>
  <c r="BH50" i="2"/>
  <c r="J21" i="6"/>
  <c r="BH40" i="2"/>
  <c r="J11" i="6"/>
  <c r="BH41" i="2"/>
  <c r="J12" i="6"/>
  <c r="H9" i="7"/>
  <c r="A13" i="7" s="1"/>
  <c r="B8" i="2"/>
  <c r="BH36" i="2"/>
  <c r="V6" i="6"/>
  <c r="E60" i="2" s="1"/>
  <c r="V7" i="6"/>
  <c r="E61" i="2" s="1"/>
  <c r="V8" i="6"/>
  <c r="E62" i="2" s="1"/>
  <c r="V9" i="6"/>
  <c r="E63" i="2" s="1"/>
  <c r="V10" i="6"/>
  <c r="E64" i="2" s="1"/>
  <c r="V11" i="6"/>
  <c r="E65" i="2" s="1"/>
  <c r="AL27" i="4"/>
  <c r="AC64" i="5"/>
  <c r="J7" i="6"/>
  <c r="D25" i="5" l="1"/>
  <c r="C18" i="8" s="1" a="1"/>
  <c r="C18" i="8" s="1"/>
  <c r="D18" i="8" s="1" a="1"/>
  <c r="D18" i="8" s="1"/>
  <c r="M21" i="6"/>
  <c r="J89" i="5"/>
  <c r="H89" i="5"/>
  <c r="E89" i="5"/>
  <c r="T89" i="5"/>
  <c r="S89" i="5"/>
  <c r="R89" i="5"/>
  <c r="E66" i="2"/>
  <c r="L16" i="6"/>
  <c r="L7" i="6"/>
  <c r="L25" i="6"/>
  <c r="L18" i="6"/>
  <c r="M11" i="6"/>
  <c r="M9" i="6"/>
  <c r="L14" i="6"/>
  <c r="M18" i="6"/>
  <c r="L20" i="6"/>
  <c r="L13" i="6"/>
  <c r="AM9" i="6"/>
  <c r="P23" i="7"/>
  <c r="L9" i="6"/>
  <c r="P25" i="7"/>
  <c r="AM11" i="6"/>
  <c r="M10" i="6"/>
  <c r="M23" i="6"/>
  <c r="L10" i="6"/>
  <c r="L22" i="6"/>
  <c r="L24" i="6"/>
  <c r="M17" i="6"/>
  <c r="M12" i="6"/>
  <c r="M13" i="6"/>
  <c r="L15" i="6"/>
  <c r="M8" i="6"/>
  <c r="M6" i="6"/>
  <c r="M24" i="6"/>
  <c r="L11" i="6"/>
  <c r="M15" i="6"/>
  <c r="L17" i="6"/>
  <c r="AM7" i="6"/>
  <c r="P21" i="7"/>
  <c r="P20" i="7"/>
  <c r="AM6" i="6"/>
  <c r="L12" i="6"/>
  <c r="L23" i="6"/>
  <c r="M22" i="6"/>
  <c r="AM10" i="6"/>
  <c r="P24" i="7"/>
  <c r="M19" i="6"/>
  <c r="L6" i="6"/>
  <c r="M20" i="6"/>
  <c r="L19" i="6"/>
  <c r="M25" i="6"/>
  <c r="L8" i="6"/>
  <c r="M16" i="6"/>
  <c r="M14" i="6"/>
  <c r="P22" i="7"/>
  <c r="AM8" i="6"/>
  <c r="M7" i="6"/>
  <c r="L21" i="6"/>
  <c r="U89" i="5" l="1"/>
  <c r="D89" i="5"/>
  <c r="G89" i="5"/>
  <c r="F89" i="5"/>
  <c r="G25" i="5"/>
  <c r="K89" i="5"/>
  <c r="M89" i="5"/>
  <c r="F25" i="5"/>
  <c r="L89" i="5"/>
  <c r="C89" i="5"/>
  <c r="V89" i="5"/>
  <c r="N89" i="5"/>
  <c r="O89" i="5"/>
  <c r="Q89" i="5"/>
  <c r="P89" i="5"/>
  <c r="E25" i="5"/>
  <c r="I89" i="5"/>
  <c r="E18" i="8" a="1"/>
  <c r="E18" i="8" s="1"/>
  <c r="F18" i="8" s="1"/>
  <c r="M19" i="5"/>
  <c r="G18" i="8"/>
  <c r="H6" i="7"/>
  <c r="A10" i="7" s="1"/>
  <c r="R20" i="7" l="1"/>
  <c r="D26" i="5"/>
  <c r="C19" i="8" s="1" a="1"/>
  <c r="C19" i="8" s="1"/>
  <c r="D19" i="8" s="1" a="1"/>
  <c r="D19" i="8" s="1"/>
  <c r="Q90" i="5" l="1"/>
  <c r="G90" i="5"/>
  <c r="E90" i="5"/>
  <c r="C90" i="5"/>
  <c r="S16" i="5"/>
  <c r="M90" i="5"/>
  <c r="P90" i="5"/>
  <c r="O90" i="5"/>
  <c r="R90" i="5"/>
  <c r="D90" i="5"/>
  <c r="U90" i="5"/>
  <c r="G26" i="5"/>
  <c r="T90" i="5"/>
  <c r="H90" i="5"/>
  <c r="F90" i="5"/>
  <c r="K90" i="5"/>
  <c r="V90" i="5"/>
  <c r="J90" i="5"/>
  <c r="F26" i="5"/>
  <c r="L90" i="5"/>
  <c r="N90" i="5"/>
  <c r="I90" i="5"/>
  <c r="E26" i="5"/>
  <c r="S90" i="5"/>
  <c r="G19" i="8"/>
  <c r="E19" i="8" a="1"/>
  <c r="E19" i="8" s="1"/>
  <c r="F19" i="8" s="1"/>
  <c r="D27" i="5" l="1"/>
  <c r="C20" i="8" s="1" a="1"/>
  <c r="C20" i="8" s="1"/>
  <c r="E20" i="8" s="1" a="1"/>
  <c r="E20" i="8" s="1"/>
  <c r="F20" i="8" s="1"/>
  <c r="R21" i="7"/>
  <c r="J91" i="5"/>
  <c r="R91" i="5"/>
  <c r="C91" i="5"/>
  <c r="Q91" i="5"/>
  <c r="K91" i="5"/>
  <c r="G27" i="5"/>
  <c r="V91" i="5"/>
  <c r="T91" i="5"/>
  <c r="F91" i="5"/>
  <c r="F27" i="5"/>
  <c r="P91" i="5"/>
  <c r="L91" i="5"/>
  <c r="H91" i="5"/>
  <c r="E27" i="5"/>
  <c r="I91" i="5"/>
  <c r="N91" i="5"/>
  <c r="E91" i="5"/>
  <c r="G91" i="5"/>
  <c r="D91" i="5"/>
  <c r="S91" i="5"/>
  <c r="O91" i="5"/>
  <c r="M91" i="5"/>
  <c r="K16" i="5"/>
  <c r="U91" i="5" l="1"/>
  <c r="D28" i="5" s="1"/>
  <c r="G20" i="8"/>
  <c r="D20" i="8" a="1"/>
  <c r="D20" i="8" s="1"/>
  <c r="R22" i="7"/>
  <c r="I92" i="5" l="1"/>
  <c r="C21" i="8" a="1"/>
  <c r="C21" i="8" s="1"/>
  <c r="O16" i="5"/>
  <c r="K92" i="5"/>
  <c r="E28" i="5"/>
  <c r="F28" i="5"/>
  <c r="D92" i="5"/>
  <c r="H92" i="5"/>
  <c r="N92" i="5"/>
  <c r="M92" i="5"/>
  <c r="P92" i="5"/>
  <c r="E92" i="5"/>
  <c r="J92" i="5"/>
  <c r="O92" i="5"/>
  <c r="R92" i="5"/>
  <c r="U92" i="5"/>
  <c r="S92" i="5"/>
  <c r="V92" i="5"/>
  <c r="G28" i="5"/>
  <c r="R23" i="7" s="1"/>
  <c r="Q92" i="5"/>
  <c r="C92" i="5"/>
  <c r="T92" i="5"/>
  <c r="L92" i="5"/>
  <c r="G92" i="5"/>
  <c r="F92" i="5"/>
  <c r="E21" i="8" l="1" a="1"/>
  <c r="E21" i="8" s="1"/>
  <c r="F21" i="8" s="1"/>
  <c r="D21" i="8" a="1"/>
  <c r="D21" i="8" s="1"/>
  <c r="G21" i="8"/>
  <c r="D29" i="5"/>
  <c r="L93" i="5" s="1"/>
  <c r="F93" i="5" l="1"/>
  <c r="I93" i="5"/>
  <c r="E29" i="5"/>
  <c r="U93" i="5"/>
  <c r="G93" i="5"/>
  <c r="G16" i="5"/>
  <c r="C93" i="5"/>
  <c r="T93" i="5"/>
  <c r="G29" i="5"/>
  <c r="J93" i="5"/>
  <c r="R93" i="5"/>
  <c r="E93" i="5"/>
  <c r="F29" i="5"/>
  <c r="O93" i="5"/>
  <c r="M93" i="5"/>
  <c r="D93" i="5"/>
  <c r="S93" i="5"/>
  <c r="Q93" i="5"/>
  <c r="V93" i="5"/>
  <c r="K93" i="5"/>
  <c r="P93" i="5"/>
  <c r="N93" i="5"/>
  <c r="H93" i="5"/>
  <c r="C22" i="8" a="1"/>
  <c r="C22" i="8" s="1"/>
  <c r="R24" i="7" l="1"/>
  <c r="D30" i="5"/>
  <c r="C23" i="8" s="1" a="1"/>
  <c r="C23" i="8" s="1"/>
  <c r="E23" i="8" s="1" a="1"/>
  <c r="E23" i="8" s="1"/>
  <c r="F23" i="8" s="1"/>
  <c r="E22" i="8" a="1"/>
  <c r="E22" i="8" s="1"/>
  <c r="F22" i="8" s="1"/>
  <c r="D22" i="8" a="1"/>
  <c r="D22" i="8" s="1"/>
  <c r="G22" i="8"/>
  <c r="E94" i="5" l="1"/>
  <c r="L94" i="5"/>
  <c r="I94" i="5"/>
  <c r="N94" i="5"/>
  <c r="V94" i="5"/>
  <c r="G94" i="5"/>
  <c r="Q94" i="5"/>
  <c r="D94" i="5"/>
  <c r="R94" i="5"/>
  <c r="M94" i="5"/>
  <c r="C94" i="5"/>
  <c r="T94" i="5"/>
  <c r="P94" i="5"/>
  <c r="O94" i="5"/>
  <c r="K94" i="5"/>
  <c r="S94" i="5"/>
  <c r="H94" i="5"/>
  <c r="E30" i="5"/>
  <c r="R25" i="7" s="1"/>
  <c r="I13" i="5"/>
  <c r="J94" i="5"/>
  <c r="U94" i="5"/>
  <c r="F94" i="5"/>
  <c r="G30" i="5"/>
  <c r="F30" i="5"/>
  <c r="G23" i="8"/>
  <c r="D23" i="8" a="1"/>
  <c r="D23" i="8" s="1"/>
  <c r="D31" i="5" l="1"/>
  <c r="M13" i="5" s="1"/>
  <c r="H95" i="5"/>
  <c r="L95" i="5"/>
  <c r="Q95" i="5"/>
  <c r="G95" i="5"/>
  <c r="U95" i="5"/>
  <c r="R95" i="5"/>
  <c r="V95" i="5"/>
  <c r="G31" i="5"/>
  <c r="O95" i="5"/>
  <c r="T95" i="5"/>
  <c r="I95" i="5"/>
  <c r="F31" i="5"/>
  <c r="J95" i="5" l="1"/>
  <c r="D95" i="5"/>
  <c r="C95" i="5"/>
  <c r="F95" i="5"/>
  <c r="S95" i="5"/>
  <c r="P95" i="5"/>
  <c r="C24" i="8" a="1"/>
  <c r="C24" i="8" s="1"/>
  <c r="E24" i="8" s="1" a="1"/>
  <c r="E24" i="8" s="1"/>
  <c r="F24" i="8" s="1"/>
  <c r="E95" i="5"/>
  <c r="M95" i="5"/>
  <c r="K95" i="5"/>
  <c r="E31" i="5"/>
  <c r="R26" i="7" s="1"/>
  <c r="N95" i="5"/>
  <c r="D32" i="5" l="1"/>
  <c r="K96" i="5" s="1"/>
  <c r="G24" i="8"/>
  <c r="D24" i="8" a="1"/>
  <c r="D24" i="8" s="1"/>
  <c r="Q96" i="5"/>
  <c r="L96" i="5"/>
  <c r="I96" i="5"/>
  <c r="P96" i="5"/>
  <c r="R96" i="5"/>
  <c r="Q13" i="5"/>
  <c r="C25" i="8" a="1"/>
  <c r="C25" i="8" s="1"/>
  <c r="M96" i="5"/>
  <c r="J96" i="5"/>
  <c r="C96" i="5"/>
  <c r="U96" i="5"/>
  <c r="E96" i="5"/>
  <c r="H96" i="5"/>
  <c r="F96" i="5"/>
  <c r="S96" i="5"/>
  <c r="V96" i="5"/>
  <c r="F32" i="5"/>
  <c r="E32" i="5"/>
  <c r="O96" i="5"/>
  <c r="G96" i="5"/>
  <c r="N96" i="5"/>
  <c r="G32" i="5" l="1"/>
  <c r="T96" i="5"/>
  <c r="D96" i="5"/>
  <c r="R27" i="7"/>
  <c r="E25" i="8" a="1"/>
  <c r="E25" i="8" s="1"/>
  <c r="F25" i="8" s="1"/>
  <c r="G25" i="8"/>
  <c r="D25" i="8" a="1"/>
  <c r="D25" i="8" s="1"/>
  <c r="D33" i="5"/>
  <c r="Q97" i="5" s="1"/>
  <c r="E33" i="5" l="1"/>
  <c r="C26" i="8" a="1"/>
  <c r="C26" i="8" s="1"/>
  <c r="K97" i="5"/>
  <c r="F97" i="5"/>
  <c r="G33" i="5"/>
  <c r="O97" i="5"/>
  <c r="D97" i="5"/>
  <c r="T97" i="5"/>
  <c r="U97" i="5"/>
  <c r="V97" i="5"/>
  <c r="L97" i="5"/>
  <c r="C97" i="5"/>
  <c r="F33" i="5"/>
  <c r="I97" i="5"/>
  <c r="R97" i="5"/>
  <c r="N97" i="5"/>
  <c r="E97" i="5"/>
  <c r="H97" i="5"/>
  <c r="P97" i="5"/>
  <c r="S97" i="5"/>
  <c r="S10" i="5"/>
  <c r="M97" i="5"/>
  <c r="G97" i="5"/>
  <c r="J97" i="5"/>
  <c r="R28" i="7" l="1"/>
  <c r="D26" i="8" a="1"/>
  <c r="D26" i="8" s="1"/>
  <c r="E26" i="8" a="1"/>
  <c r="E26" i="8" s="1"/>
  <c r="F26" i="8" s="1"/>
  <c r="G26" i="8"/>
  <c r="D34" i="5"/>
  <c r="G98" i="5" l="1"/>
  <c r="C27" i="8" a="1"/>
  <c r="C27" i="8" s="1"/>
  <c r="E98" i="5"/>
  <c r="F98" i="5"/>
  <c r="G34" i="5"/>
  <c r="D98" i="5"/>
  <c r="E34" i="5"/>
  <c r="Q98" i="5"/>
  <c r="O98" i="5"/>
  <c r="M98" i="5"/>
  <c r="M10" i="5"/>
  <c r="T98" i="5"/>
  <c r="N98" i="5"/>
  <c r="P98" i="5"/>
  <c r="H98" i="5"/>
  <c r="J98" i="5"/>
  <c r="I98" i="5"/>
  <c r="C98" i="5"/>
  <c r="S98" i="5"/>
  <c r="L98" i="5"/>
  <c r="K98" i="5"/>
  <c r="V98" i="5"/>
  <c r="U98" i="5"/>
  <c r="F34" i="5"/>
  <c r="R98" i="5"/>
  <c r="R29" i="7" l="1"/>
  <c r="D27" i="8" a="1"/>
  <c r="D27" i="8" s="1"/>
  <c r="E27" i="8" a="1"/>
  <c r="E27" i="8" s="1"/>
  <c r="F27" i="8" s="1"/>
  <c r="G27" i="8"/>
  <c r="D35" i="5"/>
  <c r="C28" i="8" s="1" a="1"/>
  <c r="C28" i="8" s="1"/>
  <c r="C57" i="5" a="1"/>
  <c r="C57" i="5" s="1"/>
  <c r="C50" i="5" a="1"/>
  <c r="C50" i="5" s="1"/>
  <c r="C44" i="5" a="1"/>
  <c r="C44" i="5" s="1"/>
  <c r="C53" i="5" a="1"/>
  <c r="C53" i="5" s="1"/>
  <c r="C40" i="5" a="1"/>
  <c r="C40" i="5" s="1"/>
  <c r="C42" i="5" a="1"/>
  <c r="C42" i="5" s="1"/>
  <c r="G35" i="5"/>
  <c r="C48" i="5" a="1"/>
  <c r="C48" i="5" s="1"/>
  <c r="C46" i="5" a="1"/>
  <c r="C46" i="5" s="1"/>
  <c r="C58" i="5" a="1"/>
  <c r="C58" i="5" s="1"/>
  <c r="C47" i="5" a="1"/>
  <c r="C47" i="5" s="1"/>
  <c r="C45" i="5" a="1"/>
  <c r="C45" i="5" s="1"/>
  <c r="F58" i="5" l="1"/>
  <c r="T38" i="7"/>
  <c r="D48" i="5"/>
  <c r="T28" i="7"/>
  <c r="B46" i="5"/>
  <c r="B42" i="5"/>
  <c r="F44" i="5"/>
  <c r="F40" i="5"/>
  <c r="D47" i="5"/>
  <c r="T27" i="7"/>
  <c r="E50" i="5"/>
  <c r="T30" i="7"/>
  <c r="D53" i="5"/>
  <c r="T33" i="7"/>
  <c r="E45" i="5"/>
  <c r="F57" i="5"/>
  <c r="T37" i="7"/>
  <c r="C55" i="5" a="1"/>
  <c r="C55" i="5" s="1"/>
  <c r="G55" i="5" s="1"/>
  <c r="C56" i="5" a="1"/>
  <c r="C56" i="5" s="1"/>
  <c r="F56" i="5" s="1"/>
  <c r="C59" i="5" a="1"/>
  <c r="C59" i="5" s="1"/>
  <c r="C51" i="5" a="1"/>
  <c r="C51" i="5" s="1"/>
  <c r="C41" i="5" a="1"/>
  <c r="C41" i="5" s="1"/>
  <c r="C52" i="5" a="1"/>
  <c r="C52" i="5" s="1"/>
  <c r="C54" i="5" a="1"/>
  <c r="C54" i="5" s="1"/>
  <c r="C49" i="5" a="1"/>
  <c r="C49" i="5" s="1"/>
  <c r="C43" i="5" a="1"/>
  <c r="C43" i="5" s="1"/>
  <c r="F35" i="5"/>
  <c r="E35" i="5"/>
  <c r="G57" i="5"/>
  <c r="E57" i="5"/>
  <c r="D57" i="5"/>
  <c r="G10" i="5"/>
  <c r="D28" i="8" a="1"/>
  <c r="D28" i="8" s="1"/>
  <c r="E28" i="8" a="1"/>
  <c r="E28" i="8" s="1"/>
  <c r="F28" i="8" s="1"/>
  <c r="G28" i="8"/>
  <c r="B57" i="5"/>
  <c r="F50" i="5"/>
  <c r="B50" i="5"/>
  <c r="D50" i="5"/>
  <c r="G50" i="5"/>
  <c r="D42" i="5"/>
  <c r="E44" i="5"/>
  <c r="B40" i="5"/>
  <c r="B53" i="5"/>
  <c r="B58" i="5"/>
  <c r="B47" i="5"/>
  <c r="F47" i="5"/>
  <c r="G47" i="5"/>
  <c r="G58" i="5"/>
  <c r="G53" i="5"/>
  <c r="D58" i="5"/>
  <c r="E53" i="5"/>
  <c r="E58" i="5"/>
  <c r="E47" i="5"/>
  <c r="E42" i="5"/>
  <c r="D44" i="5"/>
  <c r="D40" i="5"/>
  <c r="F53" i="5"/>
  <c r="B44" i="5"/>
  <c r="G40" i="5"/>
  <c r="F42" i="5"/>
  <c r="G42" i="5"/>
  <c r="G44" i="5"/>
  <c r="E40" i="5"/>
  <c r="G45" i="5"/>
  <c r="D46" i="5"/>
  <c r="G48" i="5"/>
  <c r="E48" i="5"/>
  <c r="D45" i="5"/>
  <c r="E46" i="5"/>
  <c r="B48" i="5"/>
  <c r="B45" i="5"/>
  <c r="F46" i="5"/>
  <c r="F48" i="5"/>
  <c r="F45" i="5"/>
  <c r="G46" i="5"/>
  <c r="T26" i="7" l="1"/>
  <c r="T25" i="7"/>
  <c r="E56" i="5"/>
  <c r="T20" i="7"/>
  <c r="T24" i="7"/>
  <c r="T22" i="7"/>
  <c r="D55" i="5"/>
  <c r="R30" i="7"/>
  <c r="F43" i="5"/>
  <c r="B41" i="5"/>
  <c r="F54" i="5"/>
  <c r="T34" i="7"/>
  <c r="E59" i="5"/>
  <c r="T39" i="7"/>
  <c r="F55" i="5"/>
  <c r="T35" i="7"/>
  <c r="G49" i="5"/>
  <c r="T29" i="7"/>
  <c r="B51" i="5"/>
  <c r="T31" i="7"/>
  <c r="E52" i="5"/>
  <c r="T32" i="7"/>
  <c r="G56" i="5"/>
  <c r="T36" i="7"/>
  <c r="B55" i="5"/>
  <c r="E55" i="5"/>
  <c r="E51" i="5"/>
  <c r="G51" i="5"/>
  <c r="B59" i="5"/>
  <c r="B56" i="5"/>
  <c r="F51" i="5"/>
  <c r="D51" i="5"/>
  <c r="D52" i="5"/>
  <c r="G59" i="5"/>
  <c r="D59" i="5"/>
  <c r="B52" i="5"/>
  <c r="G52" i="5"/>
  <c r="F59" i="5"/>
  <c r="F49" i="5"/>
  <c r="B49" i="5"/>
  <c r="G41" i="5"/>
  <c r="E41" i="5"/>
  <c r="D49" i="5"/>
  <c r="F41" i="5"/>
  <c r="D41" i="5"/>
  <c r="E49" i="5"/>
  <c r="D54" i="5"/>
  <c r="E54" i="5"/>
  <c r="G54" i="5"/>
  <c r="B54" i="5"/>
  <c r="G43" i="5"/>
  <c r="F52" i="5"/>
  <c r="D56" i="5"/>
  <c r="B43" i="5"/>
  <c r="E43" i="5"/>
  <c r="D43" i="5"/>
  <c r="T23" i="7" l="1"/>
  <c r="T21" i="7"/>
  <c r="H10" i="7" s="1"/>
  <c r="A14" i="7" l="1"/>
  <c r="A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tc={652F3A53-50A3-4AFC-BC59-EEB8F6D415DF}</author>
  </authors>
  <commentList>
    <comment ref="GN4" authorId="0" shapeId="0" xr:uid="{652F3A53-50A3-4AFC-BC59-EEB8F6D415DF}">
      <text>
        <t>[Threaded comment]
Your version of Excel allows you to read this threaded comment; however, any edits to it will get removed if the file is opened in a newer version of Excel. Learn more: https://go.microsoft.com/fwlink/?linkid=870924
Comment:
    Season score = Training Att% x wTA + Work Rate% x wWR + Matchday Att% x wMA + Match Rating% x wMR. If a player has not yet appeared in any matchday squad, the two matchday components are excluded and the training weights are re-scaled to 100% so she is not penalised as zero.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<sst xmlns="http://schemas.openxmlformats.org/spreadsheetml/2006/main" count="769" uniqueCount="349">
  <si>
    <t>GIRLS YOUTH — 2026/2027 SEASON | ATTENDANCE</t>
  </si>
  <si>
    <t>Enter session dates, fixtures, attendance, work rate and match data in the cream cells only.</t>
  </si>
  <si>
    <t>Group</t>
  </si>
  <si>
    <t>#</t>
  </si>
  <si>
    <t>Player</t>
  </si>
  <si>
    <t>Existing Players</t>
  </si>
  <si>
    <t>New Players</t>
  </si>
  <si>
    <t>GW 1</t>
  </si>
  <si>
    <t>Att</t>
  </si>
  <si>
    <t>WR</t>
  </si>
  <si>
    <t>GW 2</t>
  </si>
  <si>
    <t>GW 3</t>
  </si>
  <si>
    <t>GW 4</t>
  </si>
  <si>
    <t>GW 5</t>
  </si>
  <si>
    <t>GW 6</t>
  </si>
  <si>
    <t>GW 7</t>
  </si>
  <si>
    <t>GW 8</t>
  </si>
  <si>
    <t>GW 9</t>
  </si>
  <si>
    <t>GW 10</t>
  </si>
  <si>
    <t>GW 11</t>
  </si>
  <si>
    <t>GW 12</t>
  </si>
  <si>
    <t>GW 13</t>
  </si>
  <si>
    <t>GW 14</t>
  </si>
  <si>
    <t>GW 15</t>
  </si>
  <si>
    <t>GW 16</t>
  </si>
  <si>
    <t>GW 17</t>
  </si>
  <si>
    <t>GW 18</t>
  </si>
  <si>
    <t>GW 19</t>
  </si>
  <si>
    <t>GW 20</t>
  </si>
  <si>
    <t>GW 21</t>
  </si>
  <si>
    <t>GW 22</t>
  </si>
  <si>
    <t>OPPONENTS (11 clubs — type in the cream cells)</t>
  </si>
  <si>
    <t>Mins</t>
  </si>
  <si>
    <t>Rating</t>
  </si>
  <si>
    <t>MOTM</t>
  </si>
  <si>
    <t>Goals For</t>
  </si>
  <si>
    <t>Goals Against</t>
  </si>
  <si>
    <t>Result (auto)</t>
  </si>
  <si>
    <t>Training Attendance</t>
  </si>
  <si>
    <t>Work Rate</t>
  </si>
  <si>
    <t>Matchday Attendance</t>
  </si>
  <si>
    <t>Match Rating</t>
  </si>
  <si>
    <t>Sum of weights</t>
  </si>
  <si>
    <t>Training subtotal</t>
  </si>
  <si>
    <t>Matchday subtotal</t>
  </si>
  <si>
    <t>Weighting check</t>
  </si>
  <si>
    <t>Sessions Attended</t>
  </si>
  <si>
    <t>Sessions Held</t>
  </si>
  <si>
    <t>Training Attendance %</t>
  </si>
  <si>
    <t>Avg Work Rate</t>
  </si>
  <si>
    <t>Work Rate %</t>
  </si>
  <si>
    <t>Matches Available</t>
  </si>
  <si>
    <t>Matches in Squad</t>
  </si>
  <si>
    <t>Matchday Attendance %</t>
  </si>
  <si>
    <t>Minutes Played</t>
  </si>
  <si>
    <t>Avg Minutes</t>
  </si>
  <si>
    <t>Avg Match Rating</t>
  </si>
  <si>
    <t>Match Rating %</t>
  </si>
  <si>
    <t>MOTM Count</t>
  </si>
  <si>
    <t>OVERALL SEASON SCORE %</t>
  </si>
  <si>
    <t>Player Name</t>
  </si>
  <si>
    <t>Availability</t>
  </si>
  <si>
    <t>Unavailable - reason</t>
  </si>
  <si>
    <t>Comment</t>
  </si>
  <si>
    <t>To Work On</t>
  </si>
  <si>
    <t>WORK RATE SCALE (1–5)</t>
  </si>
  <si>
    <t>Score</t>
  </si>
  <si>
    <t>Level</t>
  </si>
  <si>
    <t>Description</t>
  </si>
  <si>
    <t>Outstanding</t>
  </si>
  <si>
    <t>Maximum effort throughout. Sets the standard for the group, first to every ball, drives intensity in every drill.</t>
  </si>
  <si>
    <t>Above Expectation</t>
  </si>
  <si>
    <t>Consistently works hard for the full session with only brief drops in intensity.</t>
  </si>
  <si>
    <t>Expected Level</t>
  </si>
  <si>
    <t>Meets the standard asked of her. Solid, steady effort across the session.</t>
  </si>
  <si>
    <t>Below Expectation</t>
  </si>
  <si>
    <t>Effort drops off noticeably. Coasts through parts of the session and needs prompting.</t>
  </si>
  <si>
    <t>Well Below Expectation</t>
  </si>
  <si>
    <t>Minimal effort. Disengaged, avoids intensity and affects the tempo of the group.</t>
  </si>
  <si>
    <t>MATCHDAY RATING LEGEND</t>
  </si>
  <si>
    <t>9.0 – 10</t>
  </si>
  <si>
    <t>Match-winning performance. Dominant from first whistle to last.</t>
  </si>
  <si>
    <t>8.0 – 8.9</t>
  </si>
  <si>
    <t>Excellent</t>
  </si>
  <si>
    <t>Very strong display, consistently influential on the game.</t>
  </si>
  <si>
    <t>7.0 – 7.9</t>
  </si>
  <si>
    <t>Good</t>
  </si>
  <si>
    <t>Did her job well with several positive contributions.</t>
  </si>
  <si>
    <t>6.0 – 6.9</t>
  </si>
  <si>
    <t>Solid</t>
  </si>
  <si>
    <t>Steady, dependable performance with no real errors.</t>
  </si>
  <si>
    <t>5.0 – 5.9</t>
  </si>
  <si>
    <t>Below Par</t>
  </si>
  <si>
    <t>Struggled to influence the game, several mistakes.</t>
  </si>
  <si>
    <t>Under 5.0</t>
  </si>
  <si>
    <t>Poor</t>
  </si>
  <si>
    <t>Well short of the standard required. Needs review.</t>
  </si>
  <si>
    <t>DRILLS LOG — tick the drills run in each session</t>
  </si>
  <si>
    <t>Session date →</t>
  </si>
  <si>
    <t>GIRLS YOUTH — 2026/2027 SEASON | PLAYER GRADING</t>
  </si>
  <si>
    <t>Grade every attribute from 1 (poor) to 20 (excellent) in the cream cells. Leave goalkeeping blank for outfield players.</t>
  </si>
  <si>
    <t>TECHNICAL</t>
  </si>
  <si>
    <t>MENTAL</t>
  </si>
  <si>
    <t>PHYSICAL</t>
  </si>
  <si>
    <t>GOALKEEPING</t>
  </si>
  <si>
    <t>Corners</t>
  </si>
  <si>
    <t>Crossing</t>
  </si>
  <si>
    <t>First Touch</t>
  </si>
  <si>
    <t>Finishing</t>
  </si>
  <si>
    <t>Long Shots</t>
  </si>
  <si>
    <t>Passing Accuracy</t>
  </si>
  <si>
    <t>Free Kicks</t>
  </si>
  <si>
    <t>Heading</t>
  </si>
  <si>
    <t>Composure</t>
  </si>
  <si>
    <t>Concentration</t>
  </si>
  <si>
    <t>Decision</t>
  </si>
  <si>
    <t>Determination</t>
  </si>
  <si>
    <t>Positioning</t>
  </si>
  <si>
    <t>Teamwork Defending</t>
  </si>
  <si>
    <t>Teamwork Attacking</t>
  </si>
  <si>
    <t>Bravery</t>
  </si>
  <si>
    <t>Acceleration</t>
  </si>
  <si>
    <t>Pace</t>
  </si>
  <si>
    <t>Stamina</t>
  </si>
  <si>
    <t>Strength</t>
  </si>
  <si>
    <t>Fitness</t>
  </si>
  <si>
    <t>Rushing Out</t>
  </si>
  <si>
    <t>Punching</t>
  </si>
  <si>
    <t>Catching</t>
  </si>
  <si>
    <t>Kickouts</t>
  </si>
  <si>
    <t>Throw Outs</t>
  </si>
  <si>
    <t>Position</t>
  </si>
  <si>
    <t>SUMMARY (1–20 scale)</t>
  </si>
  <si>
    <t>Technical</t>
  </si>
  <si>
    <t>Mental</t>
  </si>
  <si>
    <t>Physical</t>
  </si>
  <si>
    <t>Goalkeeping</t>
  </si>
  <si>
    <t>OVERALL</t>
  </si>
  <si>
    <t>Squad Average</t>
  </si>
  <si>
    <t>POSITION KEY</t>
  </si>
  <si>
    <t>Code</t>
  </si>
  <si>
    <t>GK</t>
  </si>
  <si>
    <t>Goalkeeper</t>
  </si>
  <si>
    <t>RB</t>
  </si>
  <si>
    <t>Right Back</t>
  </si>
  <si>
    <t>LB</t>
  </si>
  <si>
    <t>Left Back</t>
  </si>
  <si>
    <t>CB</t>
  </si>
  <si>
    <t>Centre Back</t>
  </si>
  <si>
    <t>DM</t>
  </si>
  <si>
    <t>Defensive Midfield</t>
  </si>
  <si>
    <t>CM</t>
  </si>
  <si>
    <t>Central Midfield</t>
  </si>
  <si>
    <t>ACM</t>
  </si>
  <si>
    <t>Attacking Central Midfield</t>
  </si>
  <si>
    <t>RW</t>
  </si>
  <si>
    <t>Right Wing</t>
  </si>
  <si>
    <t>LW</t>
  </si>
  <si>
    <t>Left Wing</t>
  </si>
  <si>
    <t>ST</t>
  </si>
  <si>
    <t>Striker</t>
  </si>
  <si>
    <t>Multiple positions are separated by " / "  —  e.g.  "CB / DM"  or  "RW / ST / ACM".</t>
  </si>
  <si>
    <t>GIRLS YOUTH — 2026/2027 SEASON | TEAM SELECTION</t>
  </si>
  <si>
    <t>Pick the game week, set locks and availability; the XI fills itself from position fit, form and availability. Cream cells are inputs.</t>
  </si>
  <si>
    <t>1. POSITION WEIGHTINGS — 0 = not relevant, 3 = key attribute (editable inputs)</t>
  </si>
  <si>
    <t>Game Week</t>
  </si>
  <si>
    <t>Opponent</t>
  </si>
  <si>
    <t>Venue</t>
  </si>
  <si>
    <t>Date</t>
  </si>
  <si>
    <t>GF</t>
  </si>
  <si>
    <t>GA</t>
  </si>
  <si>
    <t>Result</t>
  </si>
  <si>
    <t>Form Adjustment</t>
  </si>
  <si>
    <t>Form Weight (±)</t>
  </si>
  <si>
    <t>On</t>
  </si>
  <si>
    <t>2. PLAYER FIT SCORE BY POSITION (1–20 scale)  +  3. FORM-ADJUSTED FIT  +  4. AVAILABILITY</t>
  </si>
  <si>
    <t>Available?</t>
  </si>
  <si>
    <t>Season Score %</t>
  </si>
  <si>
    <t>Overall Grade</t>
  </si>
  <si>
    <t>FORM-ADJUSTED FIT SCORE</t>
  </si>
  <si>
    <t>SELECTION ENGINE — eligibility scores (auto; do not edit)</t>
  </si>
  <si>
    <t>Slot</t>
  </si>
  <si>
    <t>1 GK</t>
  </si>
  <si>
    <t>2 RB</t>
  </si>
  <si>
    <t>3 CB</t>
  </si>
  <si>
    <t>4 CB</t>
  </si>
  <si>
    <t>5 LB</t>
  </si>
  <si>
    <t>6 DM</t>
  </si>
  <si>
    <t>7 CM</t>
  </si>
  <si>
    <t>8 ACM</t>
  </si>
  <si>
    <t>9 RW</t>
  </si>
  <si>
    <t>10 ST</t>
  </si>
  <si>
    <t>11 LW</t>
  </si>
  <si>
    <t>5. SELECTED XI — 4-3-3 (auto-filled best fit, skipping unavailable and already-picked players)</t>
  </si>
  <si>
    <t>Fit Score</t>
  </si>
  <si>
    <t>Lock (manual)</t>
  </si>
  <si>
    <t>Status</t>
  </si>
  <si>
    <t>7. STARTING XI — 4-3-3 SHAPE</t>
  </si>
  <si>
    <t>8. FIXTURE (set the game week above)</t>
  </si>
  <si>
    <t>GIRLS YOUTH — 2026/2027 SEASON | WORKINGS</t>
  </si>
  <si>
    <t>Chart source tables only — everything here is a live formula. Nothing on this tab should be typed.</t>
  </si>
  <si>
    <t>1. PLAYER METRICS</t>
  </si>
  <si>
    <t>2. RANKING</t>
  </si>
  <si>
    <t>3. SCATTER</t>
  </si>
  <si>
    <t>4. RAG BANDS</t>
  </si>
  <si>
    <t>5. PLAYER SERIES</t>
  </si>
  <si>
    <t>6. A–Z</t>
  </si>
  <si>
    <t>7. GAME WEEK INDEX</t>
  </si>
  <si>
    <t>Training Att %</t>
  </si>
  <si>
    <t>Matchday Att %</t>
  </si>
  <si>
    <t>RAG Band</t>
  </si>
  <si>
    <t>Sort key</t>
  </si>
  <si>
    <t>Rank</t>
  </si>
  <si>
    <t>From</t>
  </si>
  <si>
    <t>To</t>
  </si>
  <si>
    <t>Players</t>
  </si>
  <si>
    <t>GW</t>
  </si>
  <si>
    <t>key</t>
  </si>
  <si>
    <t>Player (A–Z)</t>
  </si>
  <si>
    <t>Critical</t>
  </si>
  <si>
    <t>Not Ready</t>
  </si>
  <si>
    <t>Improving</t>
  </si>
  <si>
    <t>Nearly Ready</t>
  </si>
  <si>
    <t>Not Ready for 90 min</t>
  </si>
  <si>
    <t>Match Ready</t>
  </si>
  <si>
    <t>Selected player row →</t>
  </si>
  <si>
    <t>LUCAN UTD YOUTHS — GIRLS YOUTH | 2026/2027 LEAGUE SEASON</t>
  </si>
  <si>
    <t>Everything on this tab updates automatically from the Attendance tab. Only the player dropdown in the Individual Progress section is an input.</t>
  </si>
  <si>
    <t>Season Score</t>
  </si>
  <si>
    <t>Avg Training Attendance</t>
  </si>
  <si>
    <t>Avg Matchday Attendance</t>
  </si>
  <si>
    <t>Record (W-D-L)</t>
  </si>
  <si>
    <t>Full Attenders</t>
  </si>
  <si>
    <t>PLAYER SCORECARD — training work-rate trend (44 sessions), matchday trend (22 fixtures) and season metrics</t>
  </si>
  <si>
    <t>Training work-rate trend (▁▃▅▆█ = 1–5, · = missed)</t>
  </si>
  <si>
    <t>Matchday trend (rating bands, · = no minutes)</t>
  </si>
  <si>
    <t>Att %</t>
  </si>
  <si>
    <t>Avg WR</t>
  </si>
  <si>
    <t>Avg Rating</t>
  </si>
  <si>
    <t>RAG READINESS REPORT — bands by average training work rate</t>
  </si>
  <si>
    <t>Band</t>
  </si>
  <si>
    <t>Total</t>
  </si>
  <si>
    <t>INDIVIDUAL PROGRESS — pick a player to see her work rate and match rating game week by game week</t>
  </si>
  <si>
    <t>GIRLS YOUTH — 2026/2027 SEASON | WEB OUTPUT</t>
  </si>
  <si>
    <t>JSON BUILDER — do not edit</t>
  </si>
  <si>
    <t>meta</t>
  </si>
  <si>
    <t>squadSummary</t>
  </si>
  <si>
    <t>ragBands</t>
  </si>
  <si>
    <t>sessions</t>
  </si>
  <si>
    <t>fixtures</t>
  </si>
  <si>
    <t>players</t>
  </si>
  <si>
    <t>teamSelection</t>
  </si>
  <si>
    <t>startingXI</t>
  </si>
  <si>
    <t>notSelected</t>
  </si>
  <si>
    <t>unavailable</t>
  </si>
  <si>
    <t>sessionArray</t>
  </si>
  <si>
    <t>matchArray</t>
  </si>
  <si>
    <t>PRETTY-PRINTED COPY (for reading only)</t>
  </si>
  <si>
    <t>Aoife Kennan</t>
  </si>
  <si>
    <t>Stella McEvoy</t>
  </si>
  <si>
    <t>Zara Power</t>
  </si>
  <si>
    <t>Heidi Cerubini Dunne</t>
  </si>
  <si>
    <t>Roisin Offenhausen</t>
  </si>
  <si>
    <t>Naomi Adewoyin</t>
  </si>
  <si>
    <t>Amber Kilalee</t>
  </si>
  <si>
    <t>Shauna Kavanagh</t>
  </si>
  <si>
    <t>Tara Brannigan</t>
  </si>
  <si>
    <t>Semilore Adesanya</t>
  </si>
  <si>
    <t>Hannah Fleming</t>
  </si>
  <si>
    <t>Emma Kelly</t>
  </si>
  <si>
    <t>Roma Memon</t>
  </si>
  <si>
    <t>Emma Dromgoole</t>
  </si>
  <si>
    <t>Elsie Morrison</t>
  </si>
  <si>
    <t>Zara Freeman</t>
  </si>
  <si>
    <t>Marianna</t>
  </si>
  <si>
    <t>LB / RB</t>
  </si>
  <si>
    <t>RW / ACM / ST</t>
  </si>
  <si>
    <t>LW / ST</t>
  </si>
  <si>
    <t>ST / RW</t>
  </si>
  <si>
    <t>DM / CM</t>
  </si>
  <si>
    <t>CB / CM</t>
  </si>
  <si>
    <t>LB / LW</t>
  </si>
  <si>
    <t>RW / ST</t>
  </si>
  <si>
    <t>LW / ST / GK</t>
  </si>
  <si>
    <t>RB / CB</t>
  </si>
  <si>
    <t>Baldoyle United FC</t>
  </si>
  <si>
    <t>Cambridge FC</t>
  </si>
  <si>
    <t>Dalkey United FC</t>
  </si>
  <si>
    <t>Enniskerry FC</t>
  </si>
  <si>
    <t>Larkview FC</t>
  </si>
  <si>
    <t>Leicester Celtic FC</t>
  </si>
  <si>
    <t>Leixlip United AFC</t>
  </si>
  <si>
    <t>Malahide United FC</t>
  </si>
  <si>
    <t>Rosemount Mulvey FC</t>
  </si>
  <si>
    <t>St. Columbans SYC</t>
  </si>
  <si>
    <t>Stamullen FC</t>
  </si>
  <si>
    <t>1:1</t>
  </si>
  <si>
    <t xml:space="preserve">ST </t>
  </si>
  <si>
    <t>6. NOT SELECTED — remaining squad (auto-filled, no gaps)</t>
  </si>
  <si>
    <t>Detail / note</t>
  </si>
  <si>
    <t>Available for selection</t>
  </si>
  <si>
    <t>Injured</t>
  </si>
  <si>
    <t>GIRLS YOUTH — 2026/2027 SEASON | MATCH DAY REPORTS</t>
  </si>
  <si>
    <t>Pick a game week below. Opposition, score, minutes, ratings and MOTM are pulled from the Attendance tab; enter the XI, subs and notes in the Match Log at the bottom.</t>
  </si>
  <si>
    <t>1. MATCH DETAILS</t>
  </si>
  <si>
    <t>Opposition</t>
  </si>
  <si>
    <t>Home / Away</t>
  </si>
  <si>
    <t>Score (us – them)</t>
  </si>
  <si>
    <t>Player of the Match</t>
  </si>
  <si>
    <t>Verdict</t>
  </si>
  <si>
    <t>3. SUBSTITUTES USED</t>
  </si>
  <si>
    <t>Rating from</t>
  </si>
  <si>
    <t>RATING KEY — mirrors the Attendance tab key</t>
  </si>
  <si>
    <t>4. SQUAD RATINGS — every player in this game week</t>
  </si>
  <si>
    <t>5. MATCH NOTES</t>
  </si>
  <si>
    <t>6. KEY NOTES / ACTIONS</t>
  </si>
  <si>
    <t>7. MATCH LOG — INPUTS: enter the starting XI, subs used and notes for each game week</t>
  </si>
  <si>
    <t>1. GK</t>
  </si>
  <si>
    <t>2. RB</t>
  </si>
  <si>
    <t>3. CB</t>
  </si>
  <si>
    <t>4. CB</t>
  </si>
  <si>
    <t>5. LB</t>
  </si>
  <si>
    <t>6. DM</t>
  </si>
  <si>
    <t>7. CM</t>
  </si>
  <si>
    <t>8. ACM</t>
  </si>
  <si>
    <t>9. RW</t>
  </si>
  <si>
    <t>10. ST</t>
  </si>
  <si>
    <t>11. LW</t>
  </si>
  <si>
    <t>Sub 1</t>
  </si>
  <si>
    <t>Sub 2</t>
  </si>
  <si>
    <t>Sub 3</t>
  </si>
  <si>
    <t>Sub 4</t>
  </si>
  <si>
    <t>Sub 5</t>
  </si>
  <si>
    <t>Sub 6</t>
  </si>
  <si>
    <t>Sub 7</t>
  </si>
  <si>
    <t>Match notes</t>
  </si>
  <si>
    <t>Key notes / actions</t>
  </si>
  <si>
    <t>2. STARTING XI  (enter names in the Match Log →  column J onwards)</t>
  </si>
  <si>
    <t>8. FIXTURES — INPUTS: enter each match once here; Attendance and Team Selection read from it</t>
  </si>
  <si>
    <t>OPPOSITION CLUBS</t>
  </si>
  <si>
    <t>Club name (type your league here)</t>
  </si>
  <si>
    <t>matchReports</t>
  </si>
  <si>
    <t>9. SQUAD PLANNER — availability (mark Injured or Absent here; blank = use Attendance sheet)</t>
  </si>
  <si>
    <t>Injured from</t>
  </si>
  <si>
    <t>Weeks out</t>
  </si>
  <si>
    <t>Return date</t>
  </si>
  <si>
    <t>Absent</t>
  </si>
  <si>
    <t>Ankle injury out for 10 weeks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</si>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</sst>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%"/>
    <numFmt numFmtId="165" formatCode="0;\(0\);\-"/>
    <numFmt numFmtId="166" formatCode="0.0%;\(0.0%\);\-"/>
    <numFmt numFmtId="167" formatCode="0.0;\(0.0\);\-"/>
    <numFmt numFmtId="168" formatCode="0.0"/>
    <numFmt numFmtId="169" formatCode="0.0;;"/>
    <numFmt numFmtId="170" formatCode="&quot;GW &quot;0"/>
    <numFmt numFmtId="171" formatCode="dd\-mmm\-yyyy"/>
    <numFmt numFmtId="172" formatCode="0;;\-"/>
    <numFmt numFmtId="173" formatCode="ddd\ dd\-mmm\-yyyy"/>
    <numFmt numFmtId="174" formatCode="d\-mmm"/>
  </numFmts>
  <fonts count="52" x14ac:knownFonts="1">
    <font>
      <sz val="11"/>
      <color theme="1"/>
      <name val="Aptos Narrow"/>
      <family val="2"/>
      <scheme val="minor"/>
    </font>
    <font>
      <b/>
      <sz val="14"/>
      <color rgb="FF13294B"/>
      <name val="Calibri"/>
    </font>
    <font>
      <i/>
      <sz val="9"/>
      <color rgb="FF808080"/>
      <name val="Calibri"/>
    </font>
    <font>
      <b/>
      <sz val="11"/>
      <color rgb="FFFFFFFF"/>
      <name val="Calibri"/>
    </font>
    <font>
      <sz val="11"/>
      <color rgb="FF13294B"/>
      <name val="Calibri"/>
    </font>
    <font>
      <b/>
      <sz val="11"/>
      <color rgb="FF13294B"/>
      <name val="Calibri"/>
    </font>
    <font>
      <sz val="11"/>
      <color rgb="FF0000FF"/>
      <name val="Calibri"/>
    </font>
    <font>
      <b/>
      <sz val="11"/>
      <color rgb="FF0000FF"/>
      <name val="Calibri"/>
    </font>
    <font>
      <b/>
      <sz val="10"/>
      <color rgb="FFFFFFFF"/>
      <name val="Calibri"/>
    </font>
    <font>
      <sz val="9"/>
      <color rgb="FF0000FF"/>
      <name val="Calibri"/>
    </font>
    <font>
      <b/>
      <sz val="9"/>
      <color rgb="FF0000FF"/>
      <name val="Calibri"/>
    </font>
    <font>
      <b/>
      <sz val="9"/>
      <color rgb="FFFFFFFF"/>
      <name val="Calibri"/>
    </font>
    <font>
      <sz val="10"/>
      <color rgb="FF0000FF"/>
      <name val="Calibri"/>
    </font>
    <font>
      <b/>
      <sz val="10"/>
      <color rgb="FF0000FF"/>
      <name val="Calibri"/>
    </font>
    <font>
      <b/>
      <sz val="10"/>
      <color rgb="FF13294B"/>
      <name val="Calibri"/>
    </font>
    <font>
      <b/>
      <sz val="9"/>
      <color rgb="FFE4272B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1"/>
      <color rgb="FF008000"/>
      <name val="Calibri"/>
    </font>
    <font>
      <b/>
      <sz val="11"/>
      <color rgb="FF000000"/>
      <name val="Calibri"/>
    </font>
    <font>
      <b/>
      <sz val="10"/>
      <color rgb="FF008000"/>
      <name val="Calibri"/>
    </font>
    <font>
      <b/>
      <sz val="8"/>
      <color rgb="FFFFFFFF"/>
      <name val="Calibri"/>
    </font>
    <font>
      <sz val="8"/>
      <color rgb="FF808080"/>
      <name val="Calibri"/>
    </font>
    <font>
      <i/>
      <sz val="8"/>
      <color rgb="FF808080"/>
      <name val="Calibri"/>
    </font>
    <font>
      <b/>
      <sz val="12"/>
      <color rgb="FFFFFFFF"/>
      <name val="Calibri"/>
    </font>
    <font>
      <b/>
      <sz val="18"/>
      <color rgb="FF13294B"/>
      <name val="Calibri"/>
    </font>
    <font>
      <sz val="9"/>
      <color rgb="FF000000"/>
      <name val="Calibri"/>
    </font>
    <font>
      <b/>
      <sz val="9"/>
      <color rgb="FF000000"/>
      <name val="Calibri"/>
    </font>
    <font>
      <b/>
      <sz val="12"/>
      <color rgb="FF0000FF"/>
      <name val="Calibri"/>
    </font>
    <font>
      <b/>
      <sz val="9"/>
      <color rgb="FF808080"/>
      <name val="Calibri"/>
    </font>
    <font>
      <b/>
      <sz val="9"/>
      <color rgb="FF13294B"/>
      <name val="Calibri"/>
    </font>
    <font>
      <b/>
      <sz val="8"/>
      <color rgb="FF808080"/>
      <name val="Calibri"/>
    </font>
    <font>
      <sz val="9"/>
      <color rgb="FF000000"/>
      <name val="Consolas"/>
    </font>
    <font>
      <sz val="11"/>
      <color rgb="FF0000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</font>
    <font>
      <b/>
      <sz val="10"/>
      <color theme="1"/>
      <name val="Calibri"/>
    </font>
    <font>
      <sz val="10"/>
      <color rgb="FF008000"/>
      <name val="Aptos Narrow"/>
      <family val="2"/>
      <scheme val="minor"/>
    </font>
    <font>
      <sz val="10"/>
      <color rgb="FF008000"/>
      <name val="Calibri"/>
    </font>
    <font>
      <sz val="10"/>
      <color rgb="FF0000FF"/>
      <name val="Aptos Narrow"/>
      <family val="2"/>
      <scheme val="minor"/>
    </font>
    <font>
      <sz val="11"/>
      <color theme="1"/>
      <name val="Calibri"/>
    </font>
    <font>
      <b/>
      <sz val="14"/>
      <color rgb="FF13294B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b/>
      <sz val="10"/>
      <color rgb="FF13294B"/>
      <name val="Aptos Narrow"/>
      <family val="2"/>
      <scheme val="minor"/>
    </font>
    <font>
      <b/>
      <sz val="10"/>
      <color rgb="FF008000"/>
      <name val="Aptos Narrow"/>
      <family val="2"/>
      <scheme val="minor"/>
    </font>
    <font>
      <b/>
      <sz val="10"/>
      <color rgb="FFE4272B"/>
      <name val="Calibri"/>
    </font>
    <font>
      <b/>
      <sz val="9"/>
      <color rgb="FFFFFFFF"/>
      <name val="Aptos Narrow"/>
      <family val="2"/>
      <scheme val="minor"/>
    </font>
    <font>
      <b/>
      <sz val="12"/>
      <color rgb="FF13294B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rgb="FF008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3294B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272B"/>
        <bgColor indexed="64"/>
      </patternFill>
    </fill>
    <fill>
      <patternFill patternType="solid">
        <fgColor rgb="FFEAF3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rgb="FFFFF2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thick">
        <color rgb="FFFFFFFF"/>
      </left>
      <right/>
      <top/>
      <bottom style="thin">
        <color auto="1"/>
      </bottom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 style="thin">
        <color auto="1"/>
      </top>
      <bottom/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/>
      <diagonal/>
    </border>
    <border>
      <left/>
      <right style="thick">
        <color rgb="FFFFFFFF"/>
      </right>
      <top/>
      <bottom style="thin">
        <color auto="1"/>
      </bottom>
      <diagonal/>
    </border>
    <border>
      <left/>
      <right style="thick">
        <color rgb="FFFFFFFF"/>
      </right>
      <top/>
      <bottom/>
      <diagonal/>
    </border>
    <border>
      <left/>
      <right style="thick">
        <color rgb="FFFFFFFF"/>
      </right>
      <top style="thin">
        <color auto="1"/>
      </top>
      <bottom/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" fontId="0" fillId="0" borderId="5" xfId="0" applyNumberFormat="1" applyBorder="1" applyAlignment="1">
      <alignment horizontal="center"/>
    </xf>
    <xf numFmtId="0" fontId="7" fillId="4" borderId="6" xfId="0" applyFont="1" applyFill="1" applyBorder="1"/>
    <xf numFmtId="1" fontId="0" fillId="0" borderId="8" xfId="0" applyNumberFormat="1" applyBorder="1" applyAlignment="1">
      <alignment horizontal="center"/>
    </xf>
    <xf numFmtId="0" fontId="7" fillId="4" borderId="9" xfId="0" applyFont="1" applyFill="1" applyBorder="1"/>
    <xf numFmtId="1" fontId="0" fillId="0" borderId="11" xfId="0" applyNumberFormat="1" applyBorder="1" applyAlignment="1">
      <alignment horizontal="center"/>
    </xf>
    <xf numFmtId="0" fontId="7" fillId="4" borderId="12" xfId="0" applyFont="1" applyFill="1" applyBorder="1"/>
    <xf numFmtId="0" fontId="3" fillId="2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3" fillId="6" borderId="0" xfId="0" applyFont="1" applyFill="1"/>
    <xf numFmtId="0" fontId="0" fillId="0" borderId="1" xfId="0" applyBorder="1"/>
    <xf numFmtId="0" fontId="0" fillId="0" borderId="4" xfId="0" applyBorder="1"/>
    <xf numFmtId="0" fontId="0" fillId="0" borderId="7" xfId="0" applyBorder="1"/>
    <xf numFmtId="0" fontId="0" fillId="0" borderId="10" xfId="0" applyBorder="1"/>
    <xf numFmtId="0" fontId="11" fillId="6" borderId="0" xfId="0" applyFont="1" applyFill="1"/>
    <xf numFmtId="0" fontId="11" fillId="6" borderId="0" xfId="0" applyFont="1" applyFill="1" applyAlignment="1">
      <alignment horizontal="center"/>
    </xf>
    <xf numFmtId="0" fontId="5" fillId="0" borderId="0" xfId="0" applyFont="1" applyAlignment="1">
      <alignment horizontal="right"/>
    </xf>
    <xf numFmtId="0" fontId="11" fillId="2" borderId="0" xfId="0" applyFont="1" applyFill="1" applyAlignment="1">
      <alignment horizontal="center"/>
    </xf>
    <xf numFmtId="164" fontId="7" fillId="4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0" fontId="11" fillId="2" borderId="4" xfId="0" applyFont="1" applyFill="1" applyBorder="1" applyAlignment="1">
      <alignment horizontal="center" wrapText="1"/>
    </xf>
    <xf numFmtId="0" fontId="11" fillId="2" borderId="5" xfId="0" applyFont="1" applyFill="1" applyBorder="1" applyAlignment="1">
      <alignment horizontal="center" wrapText="1"/>
    </xf>
    <xf numFmtId="0" fontId="11" fillId="6" borderId="5" xfId="0" applyFont="1" applyFill="1" applyBorder="1" applyAlignment="1">
      <alignment horizontal="center" wrapText="1"/>
    </xf>
    <xf numFmtId="0" fontId="11" fillId="2" borderId="6" xfId="0" applyFont="1" applyFill="1" applyBorder="1" applyAlignment="1">
      <alignment horizontal="center" wrapText="1"/>
    </xf>
    <xf numFmtId="165" fontId="16" fillId="0" borderId="7" xfId="0" applyNumberFormat="1" applyFont="1" applyBorder="1" applyAlignment="1">
      <alignment horizontal="center"/>
    </xf>
    <xf numFmtId="165" fontId="16" fillId="0" borderId="8" xfId="0" applyNumberFormat="1" applyFont="1" applyBorder="1" applyAlignment="1">
      <alignment horizontal="center"/>
    </xf>
    <xf numFmtId="166" fontId="16" fillId="0" borderId="8" xfId="0" applyNumberFormat="1" applyFont="1" applyBorder="1" applyAlignment="1">
      <alignment horizontal="center"/>
    </xf>
    <xf numFmtId="167" fontId="16" fillId="0" borderId="8" xfId="0" applyNumberFormat="1" applyFont="1" applyBorder="1" applyAlignment="1">
      <alignment horizontal="center"/>
    </xf>
    <xf numFmtId="166" fontId="17" fillId="0" borderId="8" xfId="0" applyNumberFormat="1" applyFont="1" applyBorder="1" applyAlignment="1">
      <alignment horizontal="center"/>
    </xf>
    <xf numFmtId="0" fontId="16" fillId="0" borderId="8" xfId="0" applyFont="1" applyBorder="1"/>
    <xf numFmtId="0" fontId="12" fillId="4" borderId="8" xfId="0" applyFont="1" applyFill="1" applyBorder="1"/>
    <xf numFmtId="0" fontId="12" fillId="4" borderId="9" xfId="0" applyFont="1" applyFill="1" applyBorder="1"/>
    <xf numFmtId="165" fontId="16" fillId="3" borderId="7" xfId="0" applyNumberFormat="1" applyFont="1" applyFill="1" applyBorder="1" applyAlignment="1">
      <alignment horizontal="center"/>
    </xf>
    <xf numFmtId="165" fontId="16" fillId="3" borderId="8" xfId="0" applyNumberFormat="1" applyFont="1" applyFill="1" applyBorder="1" applyAlignment="1">
      <alignment horizontal="center"/>
    </xf>
    <xf numFmtId="166" fontId="16" fillId="3" borderId="8" xfId="0" applyNumberFormat="1" applyFont="1" applyFill="1" applyBorder="1" applyAlignment="1">
      <alignment horizontal="center"/>
    </xf>
    <xf numFmtId="167" fontId="16" fillId="3" borderId="8" xfId="0" applyNumberFormat="1" applyFont="1" applyFill="1" applyBorder="1" applyAlignment="1">
      <alignment horizontal="center"/>
    </xf>
    <xf numFmtId="166" fontId="17" fillId="3" borderId="8" xfId="0" applyNumberFormat="1" applyFont="1" applyFill="1" applyBorder="1" applyAlignment="1">
      <alignment horizontal="center"/>
    </xf>
    <xf numFmtId="0" fontId="16" fillId="3" borderId="8" xfId="0" applyFont="1" applyFill="1" applyBorder="1"/>
    <xf numFmtId="165" fontId="16" fillId="3" borderId="10" xfId="0" applyNumberFormat="1" applyFont="1" applyFill="1" applyBorder="1" applyAlignment="1">
      <alignment horizontal="center"/>
    </xf>
    <xf numFmtId="165" fontId="16" fillId="3" borderId="11" xfId="0" applyNumberFormat="1" applyFont="1" applyFill="1" applyBorder="1" applyAlignment="1">
      <alignment horizontal="center"/>
    </xf>
    <xf numFmtId="166" fontId="16" fillId="3" borderId="11" xfId="0" applyNumberFormat="1" applyFont="1" applyFill="1" applyBorder="1" applyAlignment="1">
      <alignment horizontal="center"/>
    </xf>
    <xf numFmtId="167" fontId="16" fillId="3" borderId="11" xfId="0" applyNumberFormat="1" applyFont="1" applyFill="1" applyBorder="1" applyAlignment="1">
      <alignment horizontal="center"/>
    </xf>
    <xf numFmtId="166" fontId="17" fillId="3" borderId="11" xfId="0" applyNumberFormat="1" applyFont="1" applyFill="1" applyBorder="1" applyAlignment="1">
      <alignment horizontal="center"/>
    </xf>
    <xf numFmtId="0" fontId="16" fillId="3" borderId="11" xfId="0" applyFont="1" applyFill="1" applyBorder="1"/>
    <xf numFmtId="0" fontId="12" fillId="4" borderId="11" xfId="0" applyFont="1" applyFill="1" applyBorder="1"/>
    <xf numFmtId="0" fontId="12" fillId="4" borderId="12" xfId="0" applyFont="1" applyFill="1" applyBorder="1"/>
    <xf numFmtId="0" fontId="16" fillId="0" borderId="0" xfId="0" applyFont="1"/>
    <xf numFmtId="0" fontId="8" fillId="5" borderId="4" xfId="0" applyFont="1" applyFill="1" applyBorder="1"/>
    <xf numFmtId="0" fontId="8" fillId="5" borderId="5" xfId="0" applyFont="1" applyFill="1" applyBorder="1"/>
    <xf numFmtId="0" fontId="8" fillId="5" borderId="6" xfId="0" applyFont="1" applyFill="1" applyBorder="1"/>
    <xf numFmtId="0" fontId="16" fillId="0" borderId="7" xfId="0" applyFont="1" applyBorder="1" applyAlignment="1">
      <alignment horizontal="center"/>
    </xf>
    <xf numFmtId="0" fontId="17" fillId="0" borderId="8" xfId="0" applyFont="1" applyBorder="1"/>
    <xf numFmtId="0" fontId="16" fillId="0" borderId="9" xfId="0" applyFont="1" applyBorder="1"/>
    <xf numFmtId="0" fontId="16" fillId="0" borderId="10" xfId="0" applyFont="1" applyBorder="1" applyAlignment="1">
      <alignment horizontal="center"/>
    </xf>
    <xf numFmtId="0" fontId="17" fillId="0" borderId="11" xfId="0" applyFont="1" applyBorder="1"/>
    <xf numFmtId="0" fontId="16" fillId="0" borderId="12" xfId="0" applyFont="1" applyBorder="1"/>
    <xf numFmtId="0" fontId="16" fillId="3" borderId="7" xfId="0" applyFont="1" applyFill="1" applyBorder="1" applyAlignment="1">
      <alignment horizontal="center"/>
    </xf>
    <xf numFmtId="0" fontId="17" fillId="3" borderId="8" xfId="0" applyFont="1" applyFill="1" applyBorder="1"/>
    <xf numFmtId="0" fontId="16" fillId="3" borderId="10" xfId="0" applyFont="1" applyFill="1" applyBorder="1" applyAlignment="1">
      <alignment horizontal="center"/>
    </xf>
    <xf numFmtId="0" fontId="17" fillId="3" borderId="11" xfId="0" applyFont="1" applyFill="1" applyBorder="1"/>
    <xf numFmtId="0" fontId="11" fillId="5" borderId="0" xfId="0" applyFont="1" applyFill="1"/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6" fillId="4" borderId="2" xfId="0" applyFont="1" applyFill="1" applyBorder="1"/>
    <xf numFmtId="0" fontId="9" fillId="4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4" borderId="3" xfId="0" applyFont="1" applyFill="1" applyBorder="1"/>
    <xf numFmtId="0" fontId="9" fillId="4" borderId="3" xfId="0" applyFont="1" applyFill="1" applyBorder="1" applyAlignment="1">
      <alignment horizontal="center"/>
    </xf>
    <xf numFmtId="0" fontId="11" fillId="5" borderId="0" xfId="0" applyFont="1" applyFill="1" applyAlignment="1">
      <alignment horizontal="center" wrapText="1"/>
    </xf>
    <xf numFmtId="167" fontId="14" fillId="3" borderId="0" xfId="0" applyNumberFormat="1" applyFont="1" applyFill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 wrapText="1"/>
    </xf>
    <xf numFmtId="20" fontId="11" fillId="5" borderId="5" xfId="0" applyNumberFormat="1" applyFont="1" applyFill="1" applyBorder="1" applyAlignment="1">
      <alignment horizontal="center" wrapText="1"/>
    </xf>
    <xf numFmtId="0" fontId="0" fillId="0" borderId="5" xfId="0" applyBorder="1"/>
    <xf numFmtId="0" fontId="11" fillId="5" borderId="6" xfId="0" applyFont="1" applyFill="1" applyBorder="1" applyAlignment="1">
      <alignment horizontal="center" wrapText="1"/>
    </xf>
    <xf numFmtId="1" fontId="0" fillId="0" borderId="7" xfId="0" applyNumberFormat="1" applyBorder="1" applyAlignment="1">
      <alignment horizontal="center"/>
    </xf>
    <xf numFmtId="0" fontId="18" fillId="0" borderId="8" xfId="0" applyFont="1" applyBorder="1"/>
    <xf numFmtId="0" fontId="7" fillId="4" borderId="8" xfId="0" applyFont="1" applyFill="1" applyBorder="1" applyAlignment="1">
      <alignment horizontal="center"/>
    </xf>
    <xf numFmtId="168" fontId="12" fillId="4" borderId="8" xfId="0" applyNumberFormat="1" applyFont="1" applyFill="1" applyBorder="1" applyAlignment="1">
      <alignment horizontal="center"/>
    </xf>
    <xf numFmtId="0" fontId="0" fillId="0" borderId="8" xfId="0" applyBorder="1"/>
    <xf numFmtId="167" fontId="17" fillId="0" borderId="9" xfId="0" applyNumberFormat="1" applyFont="1" applyBorder="1" applyAlignment="1">
      <alignment horizontal="center"/>
    </xf>
    <xf numFmtId="1" fontId="0" fillId="3" borderId="7" xfId="0" applyNumberFormat="1" applyFill="1" applyBorder="1" applyAlignment="1">
      <alignment horizontal="center"/>
    </xf>
    <xf numFmtId="0" fontId="18" fillId="3" borderId="8" xfId="0" applyFont="1" applyFill="1" applyBorder="1"/>
    <xf numFmtId="0" fontId="7" fillId="3" borderId="8" xfId="0" applyFont="1" applyFill="1" applyBorder="1" applyAlignment="1">
      <alignment horizontal="center"/>
    </xf>
    <xf numFmtId="167" fontId="17" fillId="3" borderId="9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center"/>
    </xf>
    <xf numFmtId="0" fontId="18" fillId="3" borderId="11" xfId="0" applyFont="1" applyFill="1" applyBorder="1"/>
    <xf numFmtId="0" fontId="7" fillId="3" borderId="11" xfId="0" applyFont="1" applyFill="1" applyBorder="1" applyAlignment="1">
      <alignment horizontal="center"/>
    </xf>
    <xf numFmtId="168" fontId="12" fillId="4" borderId="11" xfId="0" applyNumberFormat="1" applyFont="1" applyFill="1" applyBorder="1" applyAlignment="1">
      <alignment horizontal="center"/>
    </xf>
    <xf numFmtId="0" fontId="0" fillId="0" borderId="11" xfId="0" applyBorder="1"/>
    <xf numFmtId="167" fontId="17" fillId="3" borderId="12" xfId="0" applyNumberFormat="1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1" fontId="12" fillId="4" borderId="8" xfId="0" applyNumberFormat="1" applyFont="1" applyFill="1" applyBorder="1" applyAlignment="1">
      <alignment horizontal="center"/>
    </xf>
    <xf numFmtId="1" fontId="12" fillId="4" borderId="9" xfId="0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1" fontId="12" fillId="4" borderId="11" xfId="0" applyNumberFormat="1" applyFont="1" applyFill="1" applyBorder="1" applyAlignment="1">
      <alignment horizontal="center"/>
    </xf>
    <xf numFmtId="1" fontId="12" fillId="4" borderId="12" xfId="0" applyNumberFormat="1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 wrapText="1"/>
    </xf>
    <xf numFmtId="0" fontId="8" fillId="2" borderId="14" xfId="0" applyFont="1" applyFill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8" fillId="6" borderId="14" xfId="0" applyFont="1" applyFill="1" applyBorder="1" applyAlignment="1">
      <alignment horizontal="center" wrapText="1"/>
    </xf>
    <xf numFmtId="0" fontId="8" fillId="6" borderId="15" xfId="0" applyFont="1" applyFill="1" applyBorder="1" applyAlignment="1">
      <alignment horizontal="center" wrapText="1"/>
    </xf>
    <xf numFmtId="0" fontId="7" fillId="4" borderId="4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16" fontId="19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168" fontId="7" fillId="4" borderId="6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20" fillId="0" borderId="8" xfId="0" applyFont="1" applyBorder="1"/>
    <xf numFmtId="0" fontId="16" fillId="0" borderId="8" xfId="0" applyFont="1" applyBorder="1" applyAlignment="1">
      <alignment horizontal="center"/>
    </xf>
    <xf numFmtId="0" fontId="16" fillId="0" borderId="8" xfId="0" applyFont="1" applyBorder="1" applyAlignment="1">
      <alignment horizontal="left"/>
    </xf>
    <xf numFmtId="167" fontId="16" fillId="0" borderId="9" xfId="0" applyNumberFormat="1" applyFont="1" applyBorder="1" applyAlignment="1">
      <alignment horizontal="center"/>
    </xf>
    <xf numFmtId="0" fontId="20" fillId="3" borderId="8" xfId="0" applyFont="1" applyFill="1" applyBorder="1"/>
    <xf numFmtId="0" fontId="16" fillId="3" borderId="8" xfId="0" applyFont="1" applyFill="1" applyBorder="1" applyAlignment="1">
      <alignment horizontal="center"/>
    </xf>
    <xf numFmtId="0" fontId="16" fillId="3" borderId="8" xfId="0" applyFont="1" applyFill="1" applyBorder="1" applyAlignment="1">
      <alignment horizontal="left"/>
    </xf>
    <xf numFmtId="167" fontId="16" fillId="3" borderId="9" xfId="0" applyNumberFormat="1" applyFont="1" applyFill="1" applyBorder="1" applyAlignment="1">
      <alignment horizontal="center"/>
    </xf>
    <xf numFmtId="0" fontId="20" fillId="3" borderId="11" xfId="0" applyFont="1" applyFill="1" applyBorder="1"/>
    <xf numFmtId="0" fontId="16" fillId="3" borderId="11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left"/>
    </xf>
    <xf numFmtId="167" fontId="16" fillId="3" borderId="12" xfId="0" applyNumberFormat="1" applyFont="1" applyFill="1" applyBorder="1" applyAlignment="1">
      <alignment horizontal="center"/>
    </xf>
    <xf numFmtId="0" fontId="21" fillId="5" borderId="0" xfId="0" applyFont="1" applyFill="1"/>
    <xf numFmtId="0" fontId="22" fillId="0" borderId="0" xfId="0" applyFont="1" applyAlignment="1">
      <alignment horizontal="center"/>
    </xf>
    <xf numFmtId="168" fontId="22" fillId="0" borderId="0" xfId="0" applyNumberFormat="1" applyFont="1" applyAlignment="1">
      <alignment horizontal="center"/>
    </xf>
    <xf numFmtId="0" fontId="8" fillId="2" borderId="4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19" fillId="3" borderId="8" xfId="0" applyFont="1" applyFill="1" applyBorder="1" applyAlignment="1">
      <alignment horizontal="center"/>
    </xf>
    <xf numFmtId="167" fontId="0" fillId="3" borderId="8" xfId="0" applyNumberFormat="1" applyFill="1" applyBorder="1" applyAlignment="1">
      <alignment horizontal="center"/>
    </xf>
    <xf numFmtId="166" fontId="0" fillId="3" borderId="8" xfId="0" applyNumberForma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17" fillId="0" borderId="7" xfId="0" applyFont="1" applyBorder="1"/>
    <xf numFmtId="0" fontId="0" fillId="7" borderId="0" xfId="0" applyFill="1"/>
    <xf numFmtId="0" fontId="0" fillId="7" borderId="16" xfId="0" applyFill="1" applyBorder="1"/>
    <xf numFmtId="0" fontId="0" fillId="7" borderId="17" xfId="0" applyFill="1" applyBorder="1"/>
    <xf numFmtId="0" fontId="0" fillId="7" borderId="20" xfId="0" applyFill="1" applyBorder="1"/>
    <xf numFmtId="0" fontId="0" fillId="7" borderId="22" xfId="0" applyFill="1" applyBorder="1"/>
    <xf numFmtId="0" fontId="0" fillId="7" borderId="25" xfId="0" applyFill="1" applyBorder="1"/>
    <xf numFmtId="0" fontId="0" fillId="7" borderId="27" xfId="0" applyFill="1" applyBorder="1"/>
    <xf numFmtId="0" fontId="23" fillId="0" borderId="0" xfId="0" applyFont="1"/>
    <xf numFmtId="164" fontId="16" fillId="0" borderId="0" xfId="0" applyNumberFormat="1" applyFont="1"/>
    <xf numFmtId="168" fontId="16" fillId="0" borderId="0" xfId="0" applyNumberFormat="1" applyFont="1"/>
    <xf numFmtId="16" fontId="16" fillId="0" borderId="0" xfId="0" applyNumberFormat="1" applyFont="1"/>
    <xf numFmtId="0" fontId="4" fillId="0" borderId="8" xfId="0" applyFont="1" applyBorder="1"/>
    <xf numFmtId="169" fontId="26" fillId="0" borderId="8" xfId="0" applyNumberFormat="1" applyFont="1" applyBorder="1" applyAlignment="1">
      <alignment horizontal="center"/>
    </xf>
    <xf numFmtId="166" fontId="26" fillId="0" borderId="8" xfId="0" applyNumberFormat="1" applyFont="1" applyBorder="1" applyAlignment="1">
      <alignment horizontal="center"/>
    </xf>
    <xf numFmtId="167" fontId="26" fillId="0" borderId="8" xfId="0" applyNumberFormat="1" applyFont="1" applyBorder="1" applyAlignment="1">
      <alignment horizontal="center"/>
    </xf>
    <xf numFmtId="166" fontId="27" fillId="0" borderId="9" xfId="0" applyNumberFormat="1" applyFont="1" applyBorder="1" applyAlignment="1">
      <alignment horizontal="center"/>
    </xf>
    <xf numFmtId="0" fontId="17" fillId="0" borderId="10" xfId="0" applyFont="1" applyBorder="1"/>
    <xf numFmtId="0" fontId="4" fillId="0" borderId="11" xfId="0" applyFont="1" applyBorder="1"/>
    <xf numFmtId="169" fontId="26" fillId="0" borderId="11" xfId="0" applyNumberFormat="1" applyFont="1" applyBorder="1" applyAlignment="1">
      <alignment horizontal="center"/>
    </xf>
    <xf numFmtId="166" fontId="26" fillId="0" borderId="11" xfId="0" applyNumberFormat="1" applyFont="1" applyBorder="1" applyAlignment="1">
      <alignment horizontal="center"/>
    </xf>
    <xf numFmtId="167" fontId="26" fillId="0" borderId="11" xfId="0" applyNumberFormat="1" applyFont="1" applyBorder="1" applyAlignment="1">
      <alignment horizontal="center"/>
    </xf>
    <xf numFmtId="166" fontId="27" fillId="0" borderId="12" xfId="0" applyNumberFormat="1" applyFont="1" applyBorder="1" applyAlignment="1">
      <alignment horizontal="center"/>
    </xf>
    <xf numFmtId="1" fontId="16" fillId="0" borderId="9" xfId="0" applyNumberFormat="1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1" fontId="17" fillId="0" borderId="12" xfId="0" applyNumberFormat="1" applyFont="1" applyBorder="1" applyAlignment="1">
      <alignment horizontal="center"/>
    </xf>
    <xf numFmtId="0" fontId="16" fillId="0" borderId="7" xfId="0" applyFont="1" applyBorder="1"/>
    <xf numFmtId="0" fontId="16" fillId="0" borderId="9" xfId="0" applyFont="1" applyBorder="1" applyAlignment="1">
      <alignment horizontal="center"/>
    </xf>
    <xf numFmtId="0" fontId="16" fillId="0" borderId="10" xfId="0" applyFont="1" applyBorder="1"/>
    <xf numFmtId="167" fontId="16" fillId="0" borderId="11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3" borderId="0" xfId="0" applyFont="1" applyFill="1"/>
    <xf numFmtId="0" fontId="32" fillId="0" borderId="0" xfId="0" applyFont="1"/>
    <xf numFmtId="1" fontId="33" fillId="14" borderId="29" xfId="0" applyNumberFormat="1" applyFont="1" applyFill="1" applyBorder="1" applyAlignment="1">
      <alignment horizontal="center"/>
    </xf>
    <xf numFmtId="1" fontId="33" fillId="14" borderId="30" xfId="0" applyNumberFormat="1" applyFont="1" applyFill="1" applyBorder="1" applyAlignment="1">
      <alignment horizontal="center"/>
    </xf>
    <xf numFmtId="49" fontId="11" fillId="5" borderId="5" xfId="0" applyNumberFormat="1" applyFont="1" applyFill="1" applyBorder="1" applyAlignment="1">
      <alignment horizontal="center" wrapText="1"/>
    </xf>
    <xf numFmtId="0" fontId="37" fillId="0" borderId="0" xfId="0" applyFont="1"/>
    <xf numFmtId="0" fontId="8" fillId="2" borderId="8" xfId="0" applyFont="1" applyFill="1" applyBorder="1" applyAlignment="1">
      <alignment horizontal="center"/>
    </xf>
    <xf numFmtId="1" fontId="37" fillId="0" borderId="8" xfId="0" applyNumberFormat="1" applyFont="1" applyBorder="1" applyAlignment="1">
      <alignment horizontal="center"/>
    </xf>
    <xf numFmtId="0" fontId="38" fillId="0" borderId="8" xfId="0" applyFont="1" applyBorder="1"/>
    <xf numFmtId="0" fontId="37" fillId="0" borderId="8" xfId="0" applyFont="1" applyBorder="1" applyAlignment="1">
      <alignment horizontal="center"/>
    </xf>
    <xf numFmtId="167" fontId="37" fillId="0" borderId="8" xfId="0" applyNumberFormat="1" applyFont="1" applyBorder="1" applyAlignment="1">
      <alignment horizontal="center"/>
    </xf>
    <xf numFmtId="166" fontId="37" fillId="0" borderId="8" xfId="0" applyNumberFormat="1" applyFont="1" applyBorder="1" applyAlignment="1">
      <alignment horizontal="center"/>
    </xf>
    <xf numFmtId="1" fontId="37" fillId="3" borderId="8" xfId="0" applyNumberFormat="1" applyFont="1" applyFill="1" applyBorder="1" applyAlignment="1">
      <alignment horizontal="center"/>
    </xf>
    <xf numFmtId="0" fontId="38" fillId="3" borderId="8" xfId="0" applyFont="1" applyFill="1" applyBorder="1"/>
    <xf numFmtId="0" fontId="37" fillId="3" borderId="8" xfId="0" applyFont="1" applyFill="1" applyBorder="1" applyAlignment="1">
      <alignment horizontal="center"/>
    </xf>
    <xf numFmtId="167" fontId="37" fillId="3" borderId="8" xfId="0" applyNumberFormat="1" applyFont="1" applyFill="1" applyBorder="1" applyAlignment="1">
      <alignment horizontal="center"/>
    </xf>
    <xf numFmtId="166" fontId="37" fillId="3" borderId="8" xfId="0" applyNumberFormat="1" applyFont="1" applyFill="1" applyBorder="1" applyAlignment="1">
      <alignment horizontal="center"/>
    </xf>
    <xf numFmtId="0" fontId="40" fillId="0" borderId="8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14" fillId="0" borderId="0" xfId="0" applyFont="1"/>
    <xf numFmtId="0" fontId="38" fillId="3" borderId="0" xfId="0" applyFont="1" applyFill="1" applyAlignment="1">
      <alignment horizontal="center"/>
    </xf>
    <xf numFmtId="165" fontId="37" fillId="0" borderId="0" xfId="0" applyNumberFormat="1" applyFont="1" applyAlignment="1">
      <alignment horizontal="center"/>
    </xf>
    <xf numFmtId="0" fontId="42" fillId="0" borderId="0" xfId="0" applyFont="1"/>
    <xf numFmtId="0" fontId="44" fillId="0" borderId="0" xfId="0" applyFont="1"/>
    <xf numFmtId="0" fontId="48" fillId="5" borderId="8" xfId="0" applyFont="1" applyFill="1" applyBorder="1" applyAlignment="1">
      <alignment horizontal="center"/>
    </xf>
    <xf numFmtId="0" fontId="36" fillId="0" borderId="8" xfId="0" applyFont="1" applyBorder="1" applyAlignment="1">
      <alignment horizontal="center"/>
    </xf>
    <xf numFmtId="165" fontId="40" fillId="0" borderId="8" xfId="0" applyNumberFormat="1" applyFont="1" applyBorder="1" applyAlignment="1">
      <alignment horizontal="center"/>
    </xf>
    <xf numFmtId="167" fontId="20" fillId="0" borderId="8" xfId="0" applyNumberFormat="1" applyFont="1" applyBorder="1" applyAlignment="1">
      <alignment horizontal="center"/>
    </xf>
    <xf numFmtId="165" fontId="40" fillId="3" borderId="8" xfId="0" applyNumberFormat="1" applyFont="1" applyFill="1" applyBorder="1" applyAlignment="1">
      <alignment horizontal="center"/>
    </xf>
    <xf numFmtId="167" fontId="20" fillId="3" borderId="8" xfId="0" applyNumberFormat="1" applyFont="1" applyFill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47" fillId="0" borderId="8" xfId="0" applyFont="1" applyBorder="1" applyAlignment="1">
      <alignment horizontal="center"/>
    </xf>
    <xf numFmtId="0" fontId="38" fillId="3" borderId="8" xfId="0" applyFont="1" applyFill="1" applyBorder="1" applyAlignment="1">
      <alignment horizontal="center"/>
    </xf>
    <xf numFmtId="0" fontId="47" fillId="3" borderId="8" xfId="0" applyFont="1" applyFill="1" applyBorder="1" applyAlignment="1">
      <alignment horizontal="center"/>
    </xf>
    <xf numFmtId="0" fontId="35" fillId="2" borderId="8" xfId="0" applyFont="1" applyFill="1" applyBorder="1" applyAlignment="1">
      <alignment horizontal="center" wrapText="1"/>
    </xf>
    <xf numFmtId="1" fontId="34" fillId="2" borderId="8" xfId="0" applyNumberFormat="1" applyFont="1" applyFill="1" applyBorder="1" applyAlignment="1">
      <alignment horizontal="center"/>
    </xf>
    <xf numFmtId="0" fontId="41" fillId="4" borderId="8" xfId="0" applyFont="1" applyFill="1" applyBorder="1" applyAlignment="1">
      <alignment horizontal="left" vertical="top"/>
    </xf>
    <xf numFmtId="0" fontId="41" fillId="4" borderId="8" xfId="0" applyFont="1" applyFill="1" applyBorder="1" applyAlignment="1">
      <alignment vertical="top" wrapText="1"/>
    </xf>
    <xf numFmtId="170" fontId="7" fillId="4" borderId="0" xfId="0" applyNumberFormat="1" applyFont="1" applyFill="1" applyAlignment="1">
      <alignment horizontal="center"/>
    </xf>
    <xf numFmtId="0" fontId="35" fillId="2" borderId="8" xfId="0" applyFont="1" applyFill="1" applyBorder="1" applyAlignment="1">
      <alignment horizontal="center"/>
    </xf>
    <xf numFmtId="171" fontId="41" fillId="4" borderId="8" xfId="0" applyNumberFormat="1" applyFont="1" applyFill="1" applyBorder="1" applyAlignment="1">
      <alignment horizontal="center"/>
    </xf>
    <xf numFmtId="0" fontId="41" fillId="4" borderId="8" xfId="0" applyFont="1" applyFill="1" applyBorder="1" applyAlignment="1">
      <alignment horizontal="left"/>
    </xf>
    <xf numFmtId="0" fontId="41" fillId="4" borderId="8" xfId="0" applyFont="1" applyFill="1" applyBorder="1" applyAlignment="1">
      <alignment horizontal="center"/>
    </xf>
    <xf numFmtId="172" fontId="41" fillId="4" borderId="8" xfId="0" applyNumberFormat="1" applyFont="1" applyFill="1" applyBorder="1" applyAlignment="1">
      <alignment horizontal="center"/>
    </xf>
    <xf numFmtId="0" fontId="50" fillId="0" borderId="8" xfId="0" applyFont="1" applyBorder="1" applyAlignment="1">
      <alignment horizontal="center"/>
    </xf>
    <xf numFmtId="0" fontId="51" fillId="4" borderId="0" xfId="0" applyFont="1" applyFill="1" applyAlignment="1">
      <alignment horizontal="center"/>
    </xf>
    <xf numFmtId="0" fontId="34" fillId="6" borderId="8" xfId="0" applyFont="1" applyFill="1" applyBorder="1"/>
    <xf numFmtId="0" fontId="41" fillId="4" borderId="8" xfId="0" applyFont="1" applyFill="1" applyBorder="1"/>
    <xf numFmtId="0" fontId="11" fillId="2" borderId="20" xfId="0" applyFont="1" applyFill="1" applyBorder="1" applyAlignment="1">
      <alignment horizontal="center" wrapText="1"/>
    </xf>
    <xf numFmtId="0" fontId="11" fillId="2" borderId="25" xfId="0" applyFont="1" applyFill="1" applyBorder="1" applyAlignment="1">
      <alignment horizontal="center" wrapText="1"/>
    </xf>
    <xf numFmtId="1" fontId="25" fillId="3" borderId="20" xfId="0" applyNumberFormat="1" applyFont="1" applyFill="1" applyBorder="1" applyAlignment="1">
      <alignment horizontal="center" vertical="center"/>
    </xf>
    <xf numFmtId="0" fontId="25" fillId="3" borderId="25" xfId="0" applyFont="1" applyFill="1" applyBorder="1" applyAlignment="1">
      <alignment horizontal="center" vertical="center"/>
    </xf>
    <xf numFmtId="0" fontId="25" fillId="3" borderId="20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4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wrapText="1"/>
    </xf>
    <xf numFmtId="164" fontId="25" fillId="3" borderId="20" xfId="0" applyNumberFormat="1" applyFont="1" applyFill="1" applyBorder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168" fontId="25" fillId="3" borderId="20" xfId="0" applyNumberFormat="1" applyFont="1" applyFill="1" applyBorder="1" applyAlignment="1">
      <alignment horizontal="center" vertical="center"/>
    </xf>
    <xf numFmtId="0" fontId="3" fillId="6" borderId="0" xfId="0" applyFont="1" applyFill="1"/>
    <xf numFmtId="0" fontId="28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11" fillId="2" borderId="4" xfId="0" applyFont="1" applyFill="1" applyBorder="1" applyAlignment="1">
      <alignment horizontal="center" wrapText="1"/>
    </xf>
    <xf numFmtId="0" fontId="11" fillId="2" borderId="5" xfId="0" applyFont="1" applyFill="1" applyBorder="1" applyAlignment="1">
      <alignment horizontal="center" wrapText="1"/>
    </xf>
    <xf numFmtId="0" fontId="8" fillId="9" borderId="7" xfId="0" applyFont="1" applyFill="1" applyBorder="1"/>
    <xf numFmtId="0" fontId="8" fillId="9" borderId="8" xfId="0" applyFont="1" applyFill="1" applyBorder="1"/>
    <xf numFmtId="0" fontId="8" fillId="6" borderId="7" xfId="0" applyFont="1" applyFill="1" applyBorder="1"/>
    <xf numFmtId="0" fontId="8" fillId="6" borderId="8" xfId="0" applyFont="1" applyFill="1" applyBorder="1"/>
    <xf numFmtId="0" fontId="8" fillId="10" borderId="7" xfId="0" applyFont="1" applyFill="1" applyBorder="1"/>
    <xf numFmtId="0" fontId="8" fillId="10" borderId="8" xfId="0" applyFont="1" applyFill="1" applyBorder="1"/>
    <xf numFmtId="0" fontId="8" fillId="11" borderId="7" xfId="0" applyFont="1" applyFill="1" applyBorder="1"/>
    <xf numFmtId="0" fontId="8" fillId="11" borderId="8" xfId="0" applyFont="1" applyFill="1" applyBorder="1"/>
    <xf numFmtId="0" fontId="8" fillId="12" borderId="7" xfId="0" applyFont="1" applyFill="1" applyBorder="1"/>
    <xf numFmtId="0" fontId="8" fillId="12" borderId="8" xfId="0" applyFont="1" applyFill="1" applyBorder="1"/>
    <xf numFmtId="0" fontId="8" fillId="13" borderId="7" xfId="0" applyFont="1" applyFill="1" applyBorder="1"/>
    <xf numFmtId="0" fontId="8" fillId="13" borderId="8" xfId="0" applyFont="1" applyFill="1" applyBorder="1"/>
    <xf numFmtId="0" fontId="5" fillId="0" borderId="10" xfId="0" applyFont="1" applyBorder="1"/>
    <xf numFmtId="0" fontId="5" fillId="0" borderId="11" xfId="0" applyFont="1" applyBorder="1"/>
    <xf numFmtId="0" fontId="8" fillId="2" borderId="0" xfId="0" applyFont="1" applyFill="1" applyAlignment="1">
      <alignment horizontal="center"/>
    </xf>
    <xf numFmtId="16" fontId="10" fillId="4" borderId="0" xfId="0" applyNumberFormat="1" applyFont="1" applyFill="1" applyAlignment="1">
      <alignment horizontal="center"/>
    </xf>
    <xf numFmtId="171" fontId="51" fillId="4" borderId="0" xfId="0" applyNumberFormat="1" applyFont="1" applyFill="1" applyAlignment="1">
      <alignment horizontal="center"/>
    </xf>
    <xf numFmtId="0" fontId="51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8" fillId="5" borderId="5" xfId="0" applyFont="1" applyFill="1" applyBorder="1"/>
    <xf numFmtId="0" fontId="8" fillId="5" borderId="6" xfId="0" applyFont="1" applyFill="1" applyBorder="1"/>
    <xf numFmtId="0" fontId="16" fillId="0" borderId="8" xfId="0" applyFont="1" applyBorder="1"/>
    <xf numFmtId="0" fontId="16" fillId="0" borderId="9" xfId="0" applyFont="1" applyBorder="1"/>
    <xf numFmtId="0" fontId="16" fillId="3" borderId="8" xfId="0" applyFont="1" applyFill="1" applyBorder="1"/>
    <xf numFmtId="0" fontId="16" fillId="3" borderId="9" xfId="0" applyFont="1" applyFill="1" applyBorder="1"/>
    <xf numFmtId="0" fontId="16" fillId="3" borderId="11" xfId="0" applyFont="1" applyFill="1" applyBorder="1"/>
    <xf numFmtId="0" fontId="16" fillId="3" borderId="12" xfId="0" applyFont="1" applyFill="1" applyBorder="1"/>
    <xf numFmtId="0" fontId="16" fillId="0" borderId="11" xfId="0" applyFont="1" applyBorder="1"/>
    <xf numFmtId="0" fontId="16" fillId="0" borderId="12" xfId="0" applyFont="1" applyBorder="1"/>
    <xf numFmtId="16" fontId="11" fillId="5" borderId="1" xfId="0" applyNumberFormat="1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1" fillId="5" borderId="0" xfId="0" applyFont="1" applyFill="1"/>
    <xf numFmtId="0" fontId="3" fillId="6" borderId="0" xfId="0" applyFont="1" applyFill="1" applyAlignment="1">
      <alignment horizontal="left"/>
    </xf>
    <xf numFmtId="0" fontId="8" fillId="2" borderId="18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14" fillId="8" borderId="19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14" fillId="8" borderId="24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8" fillId="5" borderId="1" xfId="0" applyFont="1" applyFill="1" applyBorder="1"/>
    <xf numFmtId="0" fontId="5" fillId="0" borderId="1" xfId="0" applyFont="1" applyBorder="1"/>
    <xf numFmtId="0" fontId="5" fillId="0" borderId="24" xfId="0" applyFont="1" applyBorder="1"/>
    <xf numFmtId="0" fontId="8" fillId="5" borderId="2" xfId="0" applyFont="1" applyFill="1" applyBorder="1"/>
    <xf numFmtId="0" fontId="5" fillId="0" borderId="2" xfId="0" applyFont="1" applyBorder="1"/>
    <xf numFmtId="0" fontId="5" fillId="0" borderId="28" xfId="0" applyFont="1" applyBorder="1"/>
    <xf numFmtId="0" fontId="8" fillId="2" borderId="21" xfId="0" applyFont="1" applyFill="1" applyBorder="1" applyAlignment="1">
      <alignment horizontal="center"/>
    </xf>
    <xf numFmtId="0" fontId="8" fillId="5" borderId="3" xfId="0" applyFont="1" applyFill="1" applyBorder="1"/>
    <xf numFmtId="0" fontId="5" fillId="0" borderId="3" xfId="0" applyFont="1" applyBorder="1"/>
    <xf numFmtId="0" fontId="5" fillId="0" borderId="26" xfId="0" applyFont="1" applyBorder="1"/>
    <xf numFmtId="0" fontId="39" fillId="0" borderId="12" xfId="0" applyFont="1" applyBorder="1" applyAlignment="1">
      <alignment vertical="top" wrapText="1"/>
    </xf>
    <xf numFmtId="0" fontId="39" fillId="0" borderId="3" xfId="0" applyFont="1" applyBorder="1" applyAlignment="1">
      <alignment vertical="top" wrapText="1"/>
    </xf>
    <xf numFmtId="0" fontId="39" fillId="0" borderId="10" xfId="0" applyFont="1" applyBorder="1" applyAlignment="1">
      <alignment vertical="top" wrapText="1"/>
    </xf>
    <xf numFmtId="0" fontId="39" fillId="0" borderId="15" xfId="0" applyFont="1" applyBorder="1" applyAlignment="1">
      <alignment vertical="top" wrapText="1"/>
    </xf>
    <xf numFmtId="0" fontId="39" fillId="0" borderId="0" xfId="0" applyFont="1" applyAlignment="1">
      <alignment vertical="top" wrapText="1"/>
    </xf>
    <xf numFmtId="0" fontId="39" fillId="0" borderId="13" xfId="0" applyFont="1" applyBorder="1" applyAlignment="1">
      <alignment vertical="top" wrapText="1"/>
    </xf>
    <xf numFmtId="0" fontId="39" fillId="0" borderId="6" xfId="0" applyFont="1" applyBorder="1" applyAlignment="1">
      <alignment vertical="top" wrapText="1"/>
    </xf>
    <xf numFmtId="0" fontId="39" fillId="0" borderId="1" xfId="0" applyFont="1" applyBorder="1" applyAlignment="1">
      <alignment vertical="top" wrapText="1"/>
    </xf>
    <xf numFmtId="0" fontId="39" fillId="0" borderId="4" xfId="0" applyFont="1" applyBorder="1" applyAlignment="1">
      <alignment vertical="top" wrapText="1"/>
    </xf>
    <xf numFmtId="0" fontId="34" fillId="6" borderId="0" xfId="0" applyFont="1" applyFill="1"/>
    <xf numFmtId="0" fontId="49" fillId="0" borderId="0" xfId="0" applyFont="1"/>
    <xf numFmtId="0" fontId="34" fillId="6" borderId="1" xfId="0" applyFont="1" applyFill="1" applyBorder="1"/>
    <xf numFmtId="0" fontId="45" fillId="0" borderId="8" xfId="0" applyFont="1" applyBorder="1"/>
    <xf numFmtId="0" fontId="46" fillId="3" borderId="8" xfId="0" applyFont="1" applyFill="1" applyBorder="1"/>
    <xf numFmtId="0" fontId="46" fillId="8" borderId="8" xfId="0" applyFont="1" applyFill="1" applyBorder="1"/>
    <xf numFmtId="0" fontId="43" fillId="0" borderId="0" xfId="0" applyFont="1"/>
    <xf numFmtId="0" fontId="44" fillId="0" borderId="0" xfId="0" applyFont="1"/>
    <xf numFmtId="173" fontId="46" fillId="8" borderId="8" xfId="0" applyNumberFormat="1" applyFont="1" applyFill="1" applyBorder="1"/>
    <xf numFmtId="0" fontId="11" fillId="6" borderId="0" xfId="0" applyFont="1" applyFill="1"/>
    <xf numFmtId="0" fontId="8" fillId="2" borderId="9" xfId="0" applyFont="1" applyFill="1" applyBorder="1" applyAlignment="1">
      <alignment horizontal="center"/>
    </xf>
    <xf numFmtId="0" fontId="40" fillId="0" borderId="9" xfId="0" applyFont="1" applyBorder="1" applyAlignment="1">
      <alignment horizontal="center"/>
    </xf>
    <xf numFmtId="0" fontId="40" fillId="3" borderId="9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2" fillId="4" borderId="29" xfId="0" applyFont="1" applyFill="1" applyBorder="1"/>
    <xf numFmtId="174" fontId="12" fillId="4" borderId="29" xfId="0" applyNumberFormat="1" applyFont="1" applyFill="1" applyBorder="1" applyAlignment="1">
      <alignment horizontal="center"/>
    </xf>
    <xf numFmtId="1" fontId="12" fillId="4" borderId="29" xfId="0" applyNumberFormat="1" applyFont="1" applyFill="1" applyBorder="1" applyAlignment="1">
      <alignment horizontal="center"/>
    </xf>
    <xf numFmtId="174" fontId="17" fillId="0" borderId="29" xfId="0" applyNumberFormat="1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3" fillId="6" borderId="31" xfId="0" applyFont="1" applyFill="1" applyBorder="1"/>
    <xf numFmtId="0" fontId="0" fillId="0" borderId="31" xfId="0" applyBorder="1"/>
    <xf numFmtId="0" fontId="13" fillId="4" borderId="33" xfId="0" applyFont="1" applyFill="1" applyBorder="1" applyAlignment="1">
      <alignment horizontal="center"/>
    </xf>
    <xf numFmtId="0" fontId="12" fillId="4" borderId="33" xfId="0" applyFont="1" applyFill="1" applyBorder="1"/>
    <xf numFmtId="174" fontId="12" fillId="4" borderId="33" xfId="0" applyNumberFormat="1" applyFont="1" applyFill="1" applyBorder="1" applyAlignment="1">
      <alignment horizontal="center"/>
    </xf>
    <xf numFmtId="1" fontId="12" fillId="4" borderId="33" xfId="0" applyNumberFormat="1" applyFont="1" applyFill="1" applyBorder="1" applyAlignment="1">
      <alignment horizontal="center"/>
    </xf>
    <xf numFmtId="174" fontId="17" fillId="0" borderId="33" xfId="0" applyNumberFormat="1" applyFont="1" applyFill="1" applyBorder="1" applyAlignment="1">
      <alignment horizontal="center"/>
    </xf>
    <xf numFmtId="0" fontId="0" fillId="0" borderId="34" xfId="0" applyBorder="1"/>
  </cellXfs>
  <cellStyles count="1">
    <cellStyle name="Normal" xfId="0" builtinId="0"/>
  </cellStyles>
  <dxfs count="5">
    <dxf>
      <font>
        <b/>
        <i val="0"/>
        <color rgb="FF9C0006"/>
      </font>
    </dxf>
    <dxf>
      <font>
        <b/>
        <i val="0"/>
        <color rgb="FF404040"/>
      </font>
      <fill>
        <patternFill patternType="solid">
          <fgColor indexed="64"/>
          <bgColor rgb="FFE7E6E6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3294B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Season Score by Player (ranked)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3294B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Workings!$M$5:$M$24</c:f>
              <c:strCache>
                <c:ptCount val="20"/>
                <c:pt idx="0">
                  <c:v>Season Score %</c:v>
                </c:pt>
                <c:pt idx="1">
                  <c:v>0.0%</c:v>
                </c:pt>
                <c:pt idx="2">
                  <c:v>0.0%</c:v>
                </c:pt>
                <c:pt idx="3">
                  <c:v>0.0%</c:v>
                </c:pt>
                <c:pt idx="4">
                  <c:v>0.0%</c:v>
                </c:pt>
                <c:pt idx="5">
                  <c:v>0.0%</c:v>
                </c:pt>
                <c:pt idx="6">
                  <c:v>0.0%</c:v>
                </c:pt>
                <c:pt idx="7">
                  <c:v>0.0%</c:v>
                </c:pt>
                <c:pt idx="8">
                  <c:v>0.0%</c:v>
                </c:pt>
                <c:pt idx="9">
                  <c:v>0.0%</c:v>
                </c:pt>
                <c:pt idx="10">
                  <c:v>0.0%</c:v>
                </c:pt>
                <c:pt idx="11">
                  <c:v>0.0%</c:v>
                </c:pt>
                <c:pt idx="12">
                  <c:v>0.0%</c:v>
                </c:pt>
                <c:pt idx="13">
                  <c:v>0.0%</c:v>
                </c:pt>
                <c:pt idx="14">
                  <c:v>0.0%</c:v>
                </c:pt>
                <c:pt idx="15">
                  <c:v>0.0%</c:v>
                </c:pt>
                <c:pt idx="16">
                  <c:v>0.0%</c:v>
                </c:pt>
                <c:pt idx="17">
                  <c:v>0.0%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Workings!$L$25</c:f>
            </c:multiLvlStrRef>
          </c:cat>
          <c:val>
            <c:numRef>
              <c:f>Workings!$M$25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9-4F97-8E9E-5885350CD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0103647"/>
        <c:axId val="932201711"/>
      </c:barChart>
      <c:catAx>
        <c:axId val="132010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01711"/>
        <c:crosses val="autoZero"/>
        <c:auto val="1"/>
        <c:lblAlgn val="ctr"/>
        <c:lblOffset val="100"/>
        <c:noMultiLvlLbl val="0"/>
      </c:catAx>
      <c:valAx>
        <c:axId val="93220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0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3294B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Training Work Rate vs Match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3294B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Workings!$Q$5:$Q$24</c:f>
              <c:strCache>
                <c:ptCount val="20"/>
                <c:pt idx="0">
                  <c:v>Avg Match Rating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Workings!$P$25</c:f>
            </c:numRef>
          </c:xVal>
          <c:yVal>
            <c:numRef>
              <c:f>Workings!$Q$25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00-4170-98E0-93FE4B0CF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033215"/>
        <c:axId val="932215151"/>
      </c:scatterChart>
      <c:valAx>
        <c:axId val="32503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15151"/>
        <c:crosses val="autoZero"/>
        <c:crossBetween val="midCat"/>
      </c:valAx>
      <c:valAx>
        <c:axId val="93221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033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3294B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Readiness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3294B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Workings!$AM$5</c:f>
              <c:strCache>
                <c:ptCount val="1"/>
                <c:pt idx="0">
                  <c:v>Players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88-4377-A495-A2887C7700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88-4377-A495-A2887C7700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88-4377-A495-A2887C7700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688-4377-A495-A2887C7700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88-4377-A495-A2887C77005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688-4377-A495-A2887C770059}"/>
              </c:ext>
            </c:extLst>
          </c:dPt>
          <c:cat>
            <c:strRef>
              <c:f>Workings!$AL$6:$AL$11</c:f>
              <c:strCache>
                <c:ptCount val="6"/>
                <c:pt idx="0">
                  <c:v>Critical</c:v>
                </c:pt>
                <c:pt idx="1">
                  <c:v>Not Ready</c:v>
                </c:pt>
                <c:pt idx="2">
                  <c:v>Improving</c:v>
                </c:pt>
                <c:pt idx="3">
                  <c:v>Nearly Ready</c:v>
                </c:pt>
                <c:pt idx="4">
                  <c:v>Not Ready for 90 min</c:v>
                </c:pt>
                <c:pt idx="5">
                  <c:v>Match Ready</c:v>
                </c:pt>
              </c:strCache>
            </c:strRef>
          </c:cat>
          <c:val>
            <c:numRef>
              <c:f>Workings!$AM$6:$AM$11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F-41CD-9395-ED95317F8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3294B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Work Rate &amp; Match Rating by Game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3294B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Workings!$Z$5:$Z$26</c:f>
              <c:strCache>
                <c:ptCount val="22"/>
                <c:pt idx="0">
                  <c:v>Match Rating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Workings!$X$27:$Y$27</c:f>
              <c:strCache>
                <c:ptCount val="1"/>
                <c:pt idx="0">
                  <c:v>22</c:v>
                </c:pt>
              </c:strCache>
            </c:strRef>
          </c:cat>
          <c:val>
            <c:numRef>
              <c:f>Workings!$Z$27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AD-4F28-9B2D-C08CE9438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7195743"/>
        <c:axId val="932214671"/>
      </c:lineChart>
      <c:catAx>
        <c:axId val="123719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14671"/>
        <c:crosses val="autoZero"/>
        <c:auto val="1"/>
        <c:lblAlgn val="ctr"/>
        <c:lblOffset val="100"/>
        <c:noMultiLvlLbl val="0"/>
      </c:catAx>
      <c:valAx>
        <c:axId val="93221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95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2" name="SeasonScoreByPlayer">
          <a:extLst>
            <a:ext uri="{FF2B5EF4-FFF2-40B4-BE49-F238E27FC236}">
              <a16:creationId xmlns:a16="http://schemas.microsoft.com/office/drawing/2014/main" id="{D1A21E1E-E0FC-07B1-22A8-5B989349A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11</xdr:row>
      <xdr:rowOff>0</xdr:rowOff>
    </xdr:from>
    <xdr:to>
      <xdr:col>16</xdr:col>
      <xdr:colOff>1</xdr:colOff>
      <xdr:row>31</xdr:row>
      <xdr:rowOff>0</xdr:rowOff>
    </xdr:to>
    <xdr:graphicFrame macro="">
      <xdr:nvGraphicFramePr>
        <xdr:cNvPr id="3" name="WorkRateVsRating">
          <a:extLst>
            <a:ext uri="{FF2B5EF4-FFF2-40B4-BE49-F238E27FC236}">
              <a16:creationId xmlns:a16="http://schemas.microsoft.com/office/drawing/2014/main" id="{E983399F-9AE3-9473-F1C5-726AC16C1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58</xdr:row>
      <xdr:rowOff>0</xdr:rowOff>
    </xdr:from>
    <xdr:to>
      <xdr:col>16</xdr:col>
      <xdr:colOff>1</xdr:colOff>
      <xdr:row>80</xdr:row>
      <xdr:rowOff>1</xdr:rowOff>
    </xdr:to>
    <xdr:graphicFrame macro="">
      <xdr:nvGraphicFramePr>
        <xdr:cNvPr id="4" name="RAGDoughnut">
          <a:extLst>
            <a:ext uri="{FF2B5EF4-FFF2-40B4-BE49-F238E27FC236}">
              <a16:creationId xmlns:a16="http://schemas.microsoft.com/office/drawing/2014/main" id="{84543F8C-2563-E4BB-CAA5-094A535B3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87</xdr:row>
      <xdr:rowOff>0</xdr:rowOff>
    </xdr:from>
    <xdr:to>
      <xdr:col>16</xdr:col>
      <xdr:colOff>0</xdr:colOff>
      <xdr:row>108</xdr:row>
      <xdr:rowOff>0</xdr:rowOff>
    </xdr:to>
    <xdr:graphicFrame macro="">
      <xdr:nvGraphicFramePr>
        <xdr:cNvPr id="5" name="IndividualProgress">
          <a:extLst>
            <a:ext uri="{FF2B5EF4-FFF2-40B4-BE49-F238E27FC236}">
              <a16:creationId xmlns:a16="http://schemas.microsoft.com/office/drawing/2014/main" id="{6532891E-4812-AA5B-D616-4D74B5275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hn Hennessy" id="{6E279886-5520-4C25-8963-4FE6498BC30D}" userId="S::JohnHennessy@hennesisconsulting.com::56d00ebf-e48e-455c-b015-5c3cdb1336f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N4" dT="2026-08-13T21:46:22.25" personId="{6E279886-5520-4C25-8963-4FE6498BC30D}" id="{652F3A53-50A3-4AFC-BC59-EEB8F6D415DF}">
    <text>Season score = Training Att% x wTA + Work Rate% x wWR + Matchday Att% x wMA + Match Rating% x wMR. If a player has not yet appeared in any matchday squad, the two matchday components are excluded and the training weights are re-scaled to 100% so she is not penalised as zero.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73A089-84C8-4E24-95AF-EC497F4E58A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f90d408-9e11-4a4e-9b3d-26f1afaf8d2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D582-B8DC-4392-8F67-113265AEC243}">
  <dimension ref="B2:BH86"/>
  <sheetViews>
    <sheetView topLeftCell="A10" workbookViewId="0">
      <selection activeCell="J8" sqref="J8:K9"/>
    </sheetView>
  </sheetViews>
  <sheetFormatPr defaultRowHeight="14.25" x14ac:dyDescent="0.45"/>
  <cols>
    <col min="2" max="16" width="16.86328125" customWidth="1"/>
    <col min="17" max="31" width="3.9296875" customWidth="1"/>
    <col min="32" max="32" width="23.1328125" customWidth="1"/>
    <col min="33" max="33" width="53.33203125" customWidth="1"/>
    <col min="34" max="34" width="30.19921875" customWidth="1"/>
    <col min="35" max="56" width="4.59765625" customWidth="1"/>
    <col min="57" max="60" width="11" customWidth="1"/>
  </cols>
  <sheetData>
    <row r="2" spans="2:16" ht="18" x14ac:dyDescent="0.55000000000000004">
      <c r="B2" s="239" t="s">
        <v>226</v>
      </c>
      <c r="C2" s="239"/>
      <c r="D2" s="239"/>
      <c r="E2" s="239"/>
      <c r="F2" s="239"/>
      <c r="G2" s="239"/>
      <c r="H2" s="239"/>
    </row>
    <row r="3" spans="2:16" x14ac:dyDescent="0.45">
      <c r="B3" s="240" t="s">
        <v>227</v>
      </c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</row>
    <row r="5" spans="2:16" ht="26" customHeight="1" x14ac:dyDescent="0.5">
      <c r="B5" s="241" t="str" cm="1">
        <f t="array" ref="B5">"Girls Youth Squad  |  GW "&amp;MAX(1,SUMPRODUCT((Attendance!$CP$4:$FY$4="Att")*(Attendance!$CP$2:$FY$2&lt;&gt;"")))&amp;" of 22  |  "&amp;SUMPRODUCT((Attendance!$E$4:$CN$4="Att")*(Attendance!$E$3:$CN$3&lt;&gt;""))&amp;" sessions held  |  "&amp;SUMPRODUCT((Attendance!$CP$4:$FY$4="Att")*(Attendance!$CP$28:$FY$28&lt;&gt;""))&amp;" matches played  |  "&amp;COUNTA(Attendance!$D$5:$D$24)&amp;" players tracked"</f>
        <v>Girls Youth Squad  |  GW 1 of 22  |  0 sessions held  |  0 matches played  |  17 players tracked</v>
      </c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</row>
    <row r="7" spans="2:16" ht="32" customHeight="1" x14ac:dyDescent="0.45">
      <c r="B7" s="234" t="s">
        <v>228</v>
      </c>
      <c r="C7" s="242"/>
      <c r="D7" s="234" t="s">
        <v>229</v>
      </c>
      <c r="E7" s="242"/>
      <c r="F7" s="234" t="s">
        <v>49</v>
      </c>
      <c r="G7" s="242"/>
      <c r="H7" s="234" t="s">
        <v>230</v>
      </c>
      <c r="I7" s="242"/>
      <c r="J7" s="234" t="s">
        <v>56</v>
      </c>
      <c r="K7" s="242"/>
      <c r="L7" s="234" t="s">
        <v>231</v>
      </c>
      <c r="M7" s="242"/>
      <c r="N7" s="234" t="s">
        <v>232</v>
      </c>
      <c r="O7" s="235"/>
    </row>
    <row r="8" spans="2:16" ht="22.05" customHeight="1" x14ac:dyDescent="0.45">
      <c r="B8" s="243">
        <f>IFERROR(AVERAGE(Workings!$H$6:$H$25),0)</f>
        <v>0</v>
      </c>
      <c r="C8" s="244"/>
      <c r="D8" s="243">
        <f>IFERROR(AVERAGE(Workings!$D$6:$D$25),0)</f>
        <v>0</v>
      </c>
      <c r="E8" s="244"/>
      <c r="F8" s="245">
        <f>IFERROR(AVERAGE(Workings!$E$6:$E$25),0)</f>
        <v>0</v>
      </c>
      <c r="G8" s="244"/>
      <c r="H8" s="243">
        <f>IFERROR(AVERAGE(Workings!$F$6:$F$25),0)</f>
        <v>0</v>
      </c>
      <c r="I8" s="244"/>
      <c r="J8" s="245">
        <f>IFERROR(AVERAGE(Workings!$G$6:$G$25),0)</f>
        <v>0</v>
      </c>
      <c r="K8" s="244"/>
      <c r="L8" s="238" t="str">
        <f>COUNTIF(Attendance!$CP$28:$FY$28,"W")&amp;" - "&amp;COUNTIF(Attendance!$CP$28:$FY$28,"D")&amp;" - "&amp;COUNTIF(Attendance!$CP$28:$FY$28,"L")</f>
        <v>0 - 0 - 0</v>
      </c>
      <c r="M8" s="244"/>
      <c r="N8" s="236">
        <f>COUNTIF(Workings!$D$6:$D$25,1)</f>
        <v>0</v>
      </c>
      <c r="O8" s="237"/>
    </row>
    <row r="9" spans="2:16" ht="16.05" customHeight="1" x14ac:dyDescent="0.45">
      <c r="B9" s="238"/>
      <c r="C9" s="244"/>
      <c r="D9" s="238"/>
      <c r="E9" s="244"/>
      <c r="F9" s="238"/>
      <c r="G9" s="244"/>
      <c r="H9" s="238"/>
      <c r="I9" s="244"/>
      <c r="J9" s="238"/>
      <c r="K9" s="244"/>
      <c r="L9" s="238"/>
      <c r="M9" s="244"/>
      <c r="N9" s="238"/>
      <c r="O9" s="237"/>
    </row>
    <row r="33" spans="32:60" x14ac:dyDescent="0.45">
      <c r="AF33" s="246" t="s">
        <v>233</v>
      </c>
      <c r="AG33" s="246"/>
      <c r="AH33" s="246"/>
      <c r="AI33" s="246"/>
      <c r="AJ33" s="246"/>
      <c r="AK33" s="246"/>
      <c r="AL33" s="246"/>
      <c r="AM33" s="246"/>
      <c r="AN33" s="246"/>
      <c r="AO33" s="246"/>
      <c r="AP33" s="246"/>
      <c r="AQ33" s="246"/>
      <c r="AR33" s="246"/>
      <c r="AS33" s="246"/>
      <c r="AT33" s="246"/>
      <c r="AU33" s="246"/>
      <c r="AV33" s="246"/>
      <c r="AW33" s="246"/>
      <c r="AX33" s="246"/>
      <c r="AY33" s="246"/>
      <c r="AZ33" s="246"/>
      <c r="BA33" s="246"/>
      <c r="BB33" s="246"/>
      <c r="BC33" s="246"/>
      <c r="BD33" s="246"/>
      <c r="BE33" s="246"/>
      <c r="BF33" s="246"/>
      <c r="BG33" s="246"/>
      <c r="BH33" s="246"/>
    </row>
    <row r="34" spans="32:60" ht="34.049999999999997" customHeight="1" x14ac:dyDescent="0.45">
      <c r="AF34" s="24" t="s">
        <v>4</v>
      </c>
      <c r="AG34" s="25" t="s">
        <v>234</v>
      </c>
      <c r="AH34" s="25" t="s">
        <v>235</v>
      </c>
      <c r="AI34" s="25">
        <v>1</v>
      </c>
      <c r="AJ34" s="25">
        <v>2</v>
      </c>
      <c r="AK34" s="25">
        <v>3</v>
      </c>
      <c r="AL34" s="25">
        <v>4</v>
      </c>
      <c r="AM34" s="25">
        <v>5</v>
      </c>
      <c r="AN34" s="25">
        <v>6</v>
      </c>
      <c r="AO34" s="25">
        <v>7</v>
      </c>
      <c r="AP34" s="25">
        <v>8</v>
      </c>
      <c r="AQ34" s="25">
        <v>9</v>
      </c>
      <c r="AR34" s="25">
        <v>10</v>
      </c>
      <c r="AS34" s="25">
        <v>11</v>
      </c>
      <c r="AT34" s="25">
        <v>12</v>
      </c>
      <c r="AU34" s="25">
        <v>13</v>
      </c>
      <c r="AV34" s="25">
        <v>14</v>
      </c>
      <c r="AW34" s="25">
        <v>15</v>
      </c>
      <c r="AX34" s="25">
        <v>16</v>
      </c>
      <c r="AY34" s="25">
        <v>17</v>
      </c>
      <c r="AZ34" s="25">
        <v>18</v>
      </c>
      <c r="BA34" s="25">
        <v>19</v>
      </c>
      <c r="BB34" s="25">
        <v>20</v>
      </c>
      <c r="BC34" s="25">
        <v>21</v>
      </c>
      <c r="BD34" s="25">
        <v>22</v>
      </c>
      <c r="BE34" s="25" t="s">
        <v>236</v>
      </c>
      <c r="BF34" s="25" t="s">
        <v>237</v>
      </c>
      <c r="BG34" s="25" t="s">
        <v>238</v>
      </c>
      <c r="BH34" s="27" t="s">
        <v>177</v>
      </c>
    </row>
    <row r="35" spans="32:60" x14ac:dyDescent="0.45">
      <c r="AF35" s="152" t="str">
        <f>IF(Attendance!$D5="","",Attendance!$D5)</f>
        <v>Aoife Kennan</v>
      </c>
      <c r="AG35" s="164" t="str" cm="1">
        <f t="array" ref="AG35">IF($AF35="","",_xlfn.TEXTJOIN("",TRUE,IF(Attendance!$E$4:$CN$4="WR",IFERROR(CHOOSE(Attendance!$E5:$CN5,"▁","▃","▅","▆","█"),"·"),"")))</f>
        <v>············································</v>
      </c>
      <c r="AH35" s="164" t="str" cm="1">
        <f t="array" ref="AH35">IF($AF35="","",_xlfn.TEXTJOIN("",TRUE,IF(Attendance!$CP$4:$FY$4="Rating",IFERROR(CHOOSE(ROUNDUP(Attendance!$CP5:$FY5/2,0),"▁","▃","▅","▆","█"),"·"),"")))</f>
        <v>······················</v>
      </c>
      <c r="AI35" s="165" t="str">
        <f ca="1">IF($AF35="","",IFERROR(AVERAGE(OFFSET(Attendance!$A$1,4,5+(1-1)*4),OFFSET(Attendance!$A$1,4,7+(1-1)*4)),""))</f>
        <v/>
      </c>
      <c r="AJ35" s="165" t="str">
        <f ca="1">IF($AF35="","",IFERROR(AVERAGE(OFFSET(Attendance!$A$1,4,5+(2-1)*4),OFFSET(Attendance!$A$1,4,7+(2-1)*4)),""))</f>
        <v/>
      </c>
      <c r="AK35" s="165" t="str">
        <f ca="1">IF($AF35="","",IFERROR(AVERAGE(OFFSET(Attendance!$A$1,4,5+(3-1)*4),OFFSET(Attendance!$A$1,4,7+(3-1)*4)),""))</f>
        <v/>
      </c>
      <c r="AL35" s="165" t="str">
        <f ca="1">IF($AF35="","",IFERROR(AVERAGE(OFFSET(Attendance!$A$1,4,5+(4-1)*4),OFFSET(Attendance!$A$1,4,7+(4-1)*4)),""))</f>
        <v/>
      </c>
      <c r="AM35" s="165" t="str">
        <f ca="1">IF($AF35="","",IFERROR(AVERAGE(OFFSET(Attendance!$A$1,4,5+(5-1)*4),OFFSET(Attendance!$A$1,4,7+(5-1)*4)),""))</f>
        <v/>
      </c>
      <c r="AN35" s="165" t="str">
        <f ca="1">IF($AF35="","",IFERROR(AVERAGE(OFFSET(Attendance!$A$1,4,5+(6-1)*4),OFFSET(Attendance!$A$1,4,7+(6-1)*4)),""))</f>
        <v/>
      </c>
      <c r="AO35" s="165" t="str">
        <f ca="1">IF($AF35="","",IFERROR(AVERAGE(OFFSET(Attendance!$A$1,4,5+(7-1)*4),OFFSET(Attendance!$A$1,4,7+(7-1)*4)),""))</f>
        <v/>
      </c>
      <c r="AP35" s="165" t="str">
        <f ca="1">IF($AF35="","",IFERROR(AVERAGE(OFFSET(Attendance!$A$1,4,5+(8-1)*4),OFFSET(Attendance!$A$1,4,7+(8-1)*4)),""))</f>
        <v/>
      </c>
      <c r="AQ35" s="165" t="str">
        <f ca="1">IF($AF35="","",IFERROR(AVERAGE(OFFSET(Attendance!$A$1,4,5+(9-1)*4),OFFSET(Attendance!$A$1,4,7+(9-1)*4)),""))</f>
        <v/>
      </c>
      <c r="AR35" s="165" t="str">
        <f ca="1">IF($AF35="","",IFERROR(AVERAGE(OFFSET(Attendance!$A$1,4,5+(10-1)*4),OFFSET(Attendance!$A$1,4,7+(10-1)*4)),""))</f>
        <v/>
      </c>
      <c r="AS35" s="165" t="str">
        <f ca="1">IF($AF35="","",IFERROR(AVERAGE(OFFSET(Attendance!$A$1,4,5+(11-1)*4),OFFSET(Attendance!$A$1,4,7+(11-1)*4)),""))</f>
        <v/>
      </c>
      <c r="AT35" s="165" t="str">
        <f ca="1">IF($AF35="","",IFERROR(AVERAGE(OFFSET(Attendance!$A$1,4,5+(12-1)*4),OFFSET(Attendance!$A$1,4,7+(12-1)*4)),""))</f>
        <v/>
      </c>
      <c r="AU35" s="165" t="str">
        <f ca="1">IF($AF35="","",IFERROR(AVERAGE(OFFSET(Attendance!$A$1,4,5+(13-1)*4),OFFSET(Attendance!$A$1,4,7+(13-1)*4)),""))</f>
        <v/>
      </c>
      <c r="AV35" s="165" t="str">
        <f ca="1">IF($AF35="","",IFERROR(AVERAGE(OFFSET(Attendance!$A$1,4,5+(14-1)*4),OFFSET(Attendance!$A$1,4,7+(14-1)*4)),""))</f>
        <v/>
      </c>
      <c r="AW35" s="165" t="str">
        <f ca="1">IF($AF35="","",IFERROR(AVERAGE(OFFSET(Attendance!$A$1,4,5+(15-1)*4),OFFSET(Attendance!$A$1,4,7+(15-1)*4)),""))</f>
        <v/>
      </c>
      <c r="AX35" s="165" t="str">
        <f ca="1">IF($AF35="","",IFERROR(AVERAGE(OFFSET(Attendance!$A$1,4,5+(16-1)*4),OFFSET(Attendance!$A$1,4,7+(16-1)*4)),""))</f>
        <v/>
      </c>
      <c r="AY35" s="165" t="str">
        <f ca="1">IF($AF35="","",IFERROR(AVERAGE(OFFSET(Attendance!$A$1,4,5+(17-1)*4),OFFSET(Attendance!$A$1,4,7+(17-1)*4)),""))</f>
        <v/>
      </c>
      <c r="AZ35" s="165" t="str">
        <f ca="1">IF($AF35="","",IFERROR(AVERAGE(OFFSET(Attendance!$A$1,4,5+(18-1)*4),OFFSET(Attendance!$A$1,4,7+(18-1)*4)),""))</f>
        <v/>
      </c>
      <c r="BA35" s="165" t="str">
        <f ca="1">IF($AF35="","",IFERROR(AVERAGE(OFFSET(Attendance!$A$1,4,5+(19-1)*4),OFFSET(Attendance!$A$1,4,7+(19-1)*4)),""))</f>
        <v/>
      </c>
      <c r="BB35" s="165" t="str">
        <f ca="1">IF($AF35="","",IFERROR(AVERAGE(OFFSET(Attendance!$A$1,4,5+(20-1)*4),OFFSET(Attendance!$A$1,4,7+(20-1)*4)),""))</f>
        <v/>
      </c>
      <c r="BC35" s="165" t="str">
        <f ca="1">IF($AF35="","",IFERROR(AVERAGE(OFFSET(Attendance!$A$1,4,5+(21-1)*4),OFFSET(Attendance!$A$1,4,7+(21-1)*4)),""))</f>
        <v/>
      </c>
      <c r="BD35" s="165" t="str">
        <f ca="1">IF($AF35="","",IFERROR(AVERAGE(OFFSET(Attendance!$A$1,4,5+(22-1)*4),OFFSET(Attendance!$A$1,4,7+(22-1)*4)),""))</f>
        <v/>
      </c>
      <c r="BE35" s="166" t="str">
        <f>IF($AF35="","",IFERROR(Workings!$D6,""))</f>
        <v/>
      </c>
      <c r="BF35" s="167" t="str">
        <f>IF($AF35="","",IFERROR(Workings!$E6,""))</f>
        <v/>
      </c>
      <c r="BG35" s="167" t="str">
        <f>IF($AF35="","",IFERROR(Workings!$G6,""))</f>
        <v/>
      </c>
      <c r="BH35" s="168">
        <f>IF($AF35="","",IFERROR(Workings!$H6,""))</f>
        <v>0</v>
      </c>
    </row>
    <row r="36" spans="32:60" x14ac:dyDescent="0.45">
      <c r="AF36" s="152" t="str">
        <f>IF(Attendance!$D6="","",Attendance!$D6)</f>
        <v>Stella McEvoy</v>
      </c>
      <c r="AG36" s="164" t="str" cm="1">
        <f t="array" ref="AG36">IF($AF36="","",_xlfn.TEXTJOIN("",TRUE,IF(Attendance!$E$4:$CN$4="WR",IFERROR(CHOOSE(Attendance!$E6:$CN6,"▁","▃","▅","▆","█"),"·"),"")))</f>
        <v>············································</v>
      </c>
      <c r="AH36" s="164" t="str" cm="1">
        <f t="array" ref="AH36">IF($AF36="","",_xlfn.TEXTJOIN("",TRUE,IF(Attendance!$CP$4:$FY$4="Rating",IFERROR(CHOOSE(ROUNDUP(Attendance!$CP6:$FY6/2,0),"▁","▃","▅","▆","█"),"·"),"")))</f>
        <v>······················</v>
      </c>
      <c r="AI36" s="165" t="str">
        <f ca="1">IF($AF36="","",IFERROR(AVERAGE(OFFSET(Attendance!$A$1,5,5+(1-1)*4),OFFSET(Attendance!$A$1,5,7+(1-1)*4)),""))</f>
        <v/>
      </c>
      <c r="AJ36" s="165" t="str">
        <f ca="1">IF($AF36="","",IFERROR(AVERAGE(OFFSET(Attendance!$A$1,5,5+(2-1)*4),OFFSET(Attendance!$A$1,5,7+(2-1)*4)),""))</f>
        <v/>
      </c>
      <c r="AK36" s="165" t="str">
        <f ca="1">IF($AF36="","",IFERROR(AVERAGE(OFFSET(Attendance!$A$1,5,5+(3-1)*4),OFFSET(Attendance!$A$1,5,7+(3-1)*4)),""))</f>
        <v/>
      </c>
      <c r="AL36" s="165" t="str">
        <f ca="1">IF($AF36="","",IFERROR(AVERAGE(OFFSET(Attendance!$A$1,5,5+(4-1)*4),OFFSET(Attendance!$A$1,5,7+(4-1)*4)),""))</f>
        <v/>
      </c>
      <c r="AM36" s="165" t="str">
        <f ca="1">IF($AF36="","",IFERROR(AVERAGE(OFFSET(Attendance!$A$1,5,5+(5-1)*4),OFFSET(Attendance!$A$1,5,7+(5-1)*4)),""))</f>
        <v/>
      </c>
      <c r="AN36" s="165" t="str">
        <f ca="1">IF($AF36="","",IFERROR(AVERAGE(OFFSET(Attendance!$A$1,5,5+(6-1)*4),OFFSET(Attendance!$A$1,5,7+(6-1)*4)),""))</f>
        <v/>
      </c>
      <c r="AO36" s="165" t="str">
        <f ca="1">IF($AF36="","",IFERROR(AVERAGE(OFFSET(Attendance!$A$1,5,5+(7-1)*4),OFFSET(Attendance!$A$1,5,7+(7-1)*4)),""))</f>
        <v/>
      </c>
      <c r="AP36" s="165" t="str">
        <f ca="1">IF($AF36="","",IFERROR(AVERAGE(OFFSET(Attendance!$A$1,5,5+(8-1)*4),OFFSET(Attendance!$A$1,5,7+(8-1)*4)),""))</f>
        <v/>
      </c>
      <c r="AQ36" s="165" t="str">
        <f ca="1">IF($AF36="","",IFERROR(AVERAGE(OFFSET(Attendance!$A$1,5,5+(9-1)*4),OFFSET(Attendance!$A$1,5,7+(9-1)*4)),""))</f>
        <v/>
      </c>
      <c r="AR36" s="165" t="str">
        <f ca="1">IF($AF36="","",IFERROR(AVERAGE(OFFSET(Attendance!$A$1,5,5+(10-1)*4),OFFSET(Attendance!$A$1,5,7+(10-1)*4)),""))</f>
        <v/>
      </c>
      <c r="AS36" s="165" t="str">
        <f ca="1">IF($AF36="","",IFERROR(AVERAGE(OFFSET(Attendance!$A$1,5,5+(11-1)*4),OFFSET(Attendance!$A$1,5,7+(11-1)*4)),""))</f>
        <v/>
      </c>
      <c r="AT36" s="165" t="str">
        <f ca="1">IF($AF36="","",IFERROR(AVERAGE(OFFSET(Attendance!$A$1,5,5+(12-1)*4),OFFSET(Attendance!$A$1,5,7+(12-1)*4)),""))</f>
        <v/>
      </c>
      <c r="AU36" s="165" t="str">
        <f ca="1">IF($AF36="","",IFERROR(AVERAGE(OFFSET(Attendance!$A$1,5,5+(13-1)*4),OFFSET(Attendance!$A$1,5,7+(13-1)*4)),""))</f>
        <v/>
      </c>
      <c r="AV36" s="165" t="str">
        <f ca="1">IF($AF36="","",IFERROR(AVERAGE(OFFSET(Attendance!$A$1,5,5+(14-1)*4),OFFSET(Attendance!$A$1,5,7+(14-1)*4)),""))</f>
        <v/>
      </c>
      <c r="AW36" s="165" t="str">
        <f ca="1">IF($AF36="","",IFERROR(AVERAGE(OFFSET(Attendance!$A$1,5,5+(15-1)*4),OFFSET(Attendance!$A$1,5,7+(15-1)*4)),""))</f>
        <v/>
      </c>
      <c r="AX36" s="165" t="str">
        <f ca="1">IF($AF36="","",IFERROR(AVERAGE(OFFSET(Attendance!$A$1,5,5+(16-1)*4),OFFSET(Attendance!$A$1,5,7+(16-1)*4)),""))</f>
        <v/>
      </c>
      <c r="AY36" s="165" t="str">
        <f ca="1">IF($AF36="","",IFERROR(AVERAGE(OFFSET(Attendance!$A$1,5,5+(17-1)*4),OFFSET(Attendance!$A$1,5,7+(17-1)*4)),""))</f>
        <v/>
      </c>
      <c r="AZ36" s="165" t="str">
        <f ca="1">IF($AF36="","",IFERROR(AVERAGE(OFFSET(Attendance!$A$1,5,5+(18-1)*4),OFFSET(Attendance!$A$1,5,7+(18-1)*4)),""))</f>
        <v/>
      </c>
      <c r="BA36" s="165" t="str">
        <f ca="1">IF($AF36="","",IFERROR(AVERAGE(OFFSET(Attendance!$A$1,5,5+(19-1)*4),OFFSET(Attendance!$A$1,5,7+(19-1)*4)),""))</f>
        <v/>
      </c>
      <c r="BB36" s="165" t="str">
        <f ca="1">IF($AF36="","",IFERROR(AVERAGE(OFFSET(Attendance!$A$1,5,5+(20-1)*4),OFFSET(Attendance!$A$1,5,7+(20-1)*4)),""))</f>
        <v/>
      </c>
      <c r="BC36" s="165" t="str">
        <f ca="1">IF($AF36="","",IFERROR(AVERAGE(OFFSET(Attendance!$A$1,5,5+(21-1)*4),OFFSET(Attendance!$A$1,5,7+(21-1)*4)),""))</f>
        <v/>
      </c>
      <c r="BD36" s="165" t="str">
        <f ca="1">IF($AF36="","",IFERROR(AVERAGE(OFFSET(Attendance!$A$1,5,5+(22-1)*4),OFFSET(Attendance!$A$1,5,7+(22-1)*4)),""))</f>
        <v/>
      </c>
      <c r="BE36" s="166" t="str">
        <f>IF($AF36="","",IFERROR(Workings!$D7,""))</f>
        <v/>
      </c>
      <c r="BF36" s="167" t="str">
        <f>IF($AF36="","",IFERROR(Workings!$E7,""))</f>
        <v/>
      </c>
      <c r="BG36" s="167" t="str">
        <f>IF($AF36="","",IFERROR(Workings!$G7,""))</f>
        <v/>
      </c>
      <c r="BH36" s="168">
        <f>IF($AF36="","",IFERROR(Workings!$H7,""))</f>
        <v>0</v>
      </c>
    </row>
    <row r="37" spans="32:60" x14ac:dyDescent="0.45">
      <c r="AF37" s="152" t="str">
        <f>IF(Attendance!$D7="","",Attendance!$D7)</f>
        <v>Zara Power</v>
      </c>
      <c r="AG37" s="164" t="str" cm="1">
        <f t="array" ref="AG37">IF($AF37="","",_xlfn.TEXTJOIN("",TRUE,IF(Attendance!$E$4:$CN$4="WR",IFERROR(CHOOSE(Attendance!$E7:$CN7,"▁","▃","▅","▆","█"),"·"),"")))</f>
        <v>············································</v>
      </c>
      <c r="AH37" s="164" t="str" cm="1">
        <f t="array" ref="AH37">IF($AF37="","",_xlfn.TEXTJOIN("",TRUE,IF(Attendance!$CP$4:$FY$4="Rating",IFERROR(CHOOSE(ROUNDUP(Attendance!$CP7:$FY7/2,0),"▁","▃","▅","▆","█"),"·"),"")))</f>
        <v>······················</v>
      </c>
      <c r="AI37" s="165" t="str">
        <f ca="1">IF($AF37="","",IFERROR(AVERAGE(OFFSET(Attendance!$A$1,6,5+(1-1)*4),OFFSET(Attendance!$A$1,6,7+(1-1)*4)),""))</f>
        <v/>
      </c>
      <c r="AJ37" s="165" t="str">
        <f ca="1">IF($AF37="","",IFERROR(AVERAGE(OFFSET(Attendance!$A$1,6,5+(2-1)*4),OFFSET(Attendance!$A$1,6,7+(2-1)*4)),""))</f>
        <v/>
      </c>
      <c r="AK37" s="165" t="str">
        <f ca="1">IF($AF37="","",IFERROR(AVERAGE(OFFSET(Attendance!$A$1,6,5+(3-1)*4),OFFSET(Attendance!$A$1,6,7+(3-1)*4)),""))</f>
        <v/>
      </c>
      <c r="AL37" s="165" t="str">
        <f ca="1">IF($AF37="","",IFERROR(AVERAGE(OFFSET(Attendance!$A$1,6,5+(4-1)*4),OFFSET(Attendance!$A$1,6,7+(4-1)*4)),""))</f>
        <v/>
      </c>
      <c r="AM37" s="165" t="str">
        <f ca="1">IF($AF37="","",IFERROR(AVERAGE(OFFSET(Attendance!$A$1,6,5+(5-1)*4),OFFSET(Attendance!$A$1,6,7+(5-1)*4)),""))</f>
        <v/>
      </c>
      <c r="AN37" s="165" t="str">
        <f ca="1">IF($AF37="","",IFERROR(AVERAGE(OFFSET(Attendance!$A$1,6,5+(6-1)*4),OFFSET(Attendance!$A$1,6,7+(6-1)*4)),""))</f>
        <v/>
      </c>
      <c r="AO37" s="165" t="str">
        <f ca="1">IF($AF37="","",IFERROR(AVERAGE(OFFSET(Attendance!$A$1,6,5+(7-1)*4),OFFSET(Attendance!$A$1,6,7+(7-1)*4)),""))</f>
        <v/>
      </c>
      <c r="AP37" s="165" t="str">
        <f ca="1">IF($AF37="","",IFERROR(AVERAGE(OFFSET(Attendance!$A$1,6,5+(8-1)*4),OFFSET(Attendance!$A$1,6,7+(8-1)*4)),""))</f>
        <v/>
      </c>
      <c r="AQ37" s="165" t="str">
        <f ca="1">IF($AF37="","",IFERROR(AVERAGE(OFFSET(Attendance!$A$1,6,5+(9-1)*4),OFFSET(Attendance!$A$1,6,7+(9-1)*4)),""))</f>
        <v/>
      </c>
      <c r="AR37" s="165" t="str">
        <f ca="1">IF($AF37="","",IFERROR(AVERAGE(OFFSET(Attendance!$A$1,6,5+(10-1)*4),OFFSET(Attendance!$A$1,6,7+(10-1)*4)),""))</f>
        <v/>
      </c>
      <c r="AS37" s="165" t="str">
        <f ca="1">IF($AF37="","",IFERROR(AVERAGE(OFFSET(Attendance!$A$1,6,5+(11-1)*4),OFFSET(Attendance!$A$1,6,7+(11-1)*4)),""))</f>
        <v/>
      </c>
      <c r="AT37" s="165" t="str">
        <f ca="1">IF($AF37="","",IFERROR(AVERAGE(OFFSET(Attendance!$A$1,6,5+(12-1)*4),OFFSET(Attendance!$A$1,6,7+(12-1)*4)),""))</f>
        <v/>
      </c>
      <c r="AU37" s="165" t="str">
        <f ca="1">IF($AF37="","",IFERROR(AVERAGE(OFFSET(Attendance!$A$1,6,5+(13-1)*4),OFFSET(Attendance!$A$1,6,7+(13-1)*4)),""))</f>
        <v/>
      </c>
      <c r="AV37" s="165" t="str">
        <f ca="1">IF($AF37="","",IFERROR(AVERAGE(OFFSET(Attendance!$A$1,6,5+(14-1)*4),OFFSET(Attendance!$A$1,6,7+(14-1)*4)),""))</f>
        <v/>
      </c>
      <c r="AW37" s="165" t="str">
        <f ca="1">IF($AF37="","",IFERROR(AVERAGE(OFFSET(Attendance!$A$1,6,5+(15-1)*4),OFFSET(Attendance!$A$1,6,7+(15-1)*4)),""))</f>
        <v/>
      </c>
      <c r="AX37" s="165" t="str">
        <f ca="1">IF($AF37="","",IFERROR(AVERAGE(OFFSET(Attendance!$A$1,6,5+(16-1)*4),OFFSET(Attendance!$A$1,6,7+(16-1)*4)),""))</f>
        <v/>
      </c>
      <c r="AY37" s="165" t="str">
        <f ca="1">IF($AF37="","",IFERROR(AVERAGE(OFFSET(Attendance!$A$1,6,5+(17-1)*4),OFFSET(Attendance!$A$1,6,7+(17-1)*4)),""))</f>
        <v/>
      </c>
      <c r="AZ37" s="165" t="str">
        <f ca="1">IF($AF37="","",IFERROR(AVERAGE(OFFSET(Attendance!$A$1,6,5+(18-1)*4),OFFSET(Attendance!$A$1,6,7+(18-1)*4)),""))</f>
        <v/>
      </c>
      <c r="BA37" s="165" t="str">
        <f ca="1">IF($AF37="","",IFERROR(AVERAGE(OFFSET(Attendance!$A$1,6,5+(19-1)*4),OFFSET(Attendance!$A$1,6,7+(19-1)*4)),""))</f>
        <v/>
      </c>
      <c r="BB37" s="165" t="str">
        <f ca="1">IF($AF37="","",IFERROR(AVERAGE(OFFSET(Attendance!$A$1,6,5+(20-1)*4),OFFSET(Attendance!$A$1,6,7+(20-1)*4)),""))</f>
        <v/>
      </c>
      <c r="BC37" s="165" t="str">
        <f ca="1">IF($AF37="","",IFERROR(AVERAGE(OFFSET(Attendance!$A$1,6,5+(21-1)*4),OFFSET(Attendance!$A$1,6,7+(21-1)*4)),""))</f>
        <v/>
      </c>
      <c r="BD37" s="165" t="str">
        <f ca="1">IF($AF37="","",IFERROR(AVERAGE(OFFSET(Attendance!$A$1,6,5+(22-1)*4),OFFSET(Attendance!$A$1,6,7+(22-1)*4)),""))</f>
        <v/>
      </c>
      <c r="BE37" s="166" t="str">
        <f>IF($AF37="","",IFERROR(Workings!$D8,""))</f>
        <v/>
      </c>
      <c r="BF37" s="167" t="str">
        <f>IF($AF37="","",IFERROR(Workings!$E8,""))</f>
        <v/>
      </c>
      <c r="BG37" s="167" t="str">
        <f>IF($AF37="","",IFERROR(Workings!$G8,""))</f>
        <v/>
      </c>
      <c r="BH37" s="168">
        <f>IF($AF37="","",IFERROR(Workings!$H8,""))</f>
        <v>0</v>
      </c>
    </row>
    <row r="38" spans="32:60" x14ac:dyDescent="0.45">
      <c r="AF38" s="152" t="str">
        <f>IF(Attendance!$D8="","",Attendance!$D8)</f>
        <v>Heidi Cerubini Dunne</v>
      </c>
      <c r="AG38" s="164" t="str" cm="1">
        <f t="array" ref="AG38">IF($AF38="","",_xlfn.TEXTJOIN("",TRUE,IF(Attendance!$E$4:$CN$4="WR",IFERROR(CHOOSE(Attendance!$E8:$CN8,"▁","▃","▅","▆","█"),"·"),"")))</f>
        <v>············································</v>
      </c>
      <c r="AH38" s="164" t="str" cm="1">
        <f t="array" ref="AH38">IF($AF38="","",_xlfn.TEXTJOIN("",TRUE,IF(Attendance!$CP$4:$FY$4="Rating",IFERROR(CHOOSE(ROUNDUP(Attendance!$CP8:$FY8/2,0),"▁","▃","▅","▆","█"),"·"),"")))</f>
        <v>······················</v>
      </c>
      <c r="AI38" s="165" t="str">
        <f ca="1">IF($AF38="","",IFERROR(AVERAGE(OFFSET(Attendance!$A$1,7,5+(1-1)*4),OFFSET(Attendance!$A$1,7,7+(1-1)*4)),""))</f>
        <v/>
      </c>
      <c r="AJ38" s="165" t="str">
        <f ca="1">IF($AF38="","",IFERROR(AVERAGE(OFFSET(Attendance!$A$1,7,5+(2-1)*4),OFFSET(Attendance!$A$1,7,7+(2-1)*4)),""))</f>
        <v/>
      </c>
      <c r="AK38" s="165" t="str">
        <f ca="1">IF($AF38="","",IFERROR(AVERAGE(OFFSET(Attendance!$A$1,7,5+(3-1)*4),OFFSET(Attendance!$A$1,7,7+(3-1)*4)),""))</f>
        <v/>
      </c>
      <c r="AL38" s="165" t="str">
        <f ca="1">IF($AF38="","",IFERROR(AVERAGE(OFFSET(Attendance!$A$1,7,5+(4-1)*4),OFFSET(Attendance!$A$1,7,7+(4-1)*4)),""))</f>
        <v/>
      </c>
      <c r="AM38" s="165" t="str">
        <f ca="1">IF($AF38="","",IFERROR(AVERAGE(OFFSET(Attendance!$A$1,7,5+(5-1)*4),OFFSET(Attendance!$A$1,7,7+(5-1)*4)),""))</f>
        <v/>
      </c>
      <c r="AN38" s="165" t="str">
        <f ca="1">IF($AF38="","",IFERROR(AVERAGE(OFFSET(Attendance!$A$1,7,5+(6-1)*4),OFFSET(Attendance!$A$1,7,7+(6-1)*4)),""))</f>
        <v/>
      </c>
      <c r="AO38" s="165" t="str">
        <f ca="1">IF($AF38="","",IFERROR(AVERAGE(OFFSET(Attendance!$A$1,7,5+(7-1)*4),OFFSET(Attendance!$A$1,7,7+(7-1)*4)),""))</f>
        <v/>
      </c>
      <c r="AP38" s="165" t="str">
        <f ca="1">IF($AF38="","",IFERROR(AVERAGE(OFFSET(Attendance!$A$1,7,5+(8-1)*4),OFFSET(Attendance!$A$1,7,7+(8-1)*4)),""))</f>
        <v/>
      </c>
      <c r="AQ38" s="165" t="str">
        <f ca="1">IF($AF38="","",IFERROR(AVERAGE(OFFSET(Attendance!$A$1,7,5+(9-1)*4),OFFSET(Attendance!$A$1,7,7+(9-1)*4)),""))</f>
        <v/>
      </c>
      <c r="AR38" s="165" t="str">
        <f ca="1">IF($AF38="","",IFERROR(AVERAGE(OFFSET(Attendance!$A$1,7,5+(10-1)*4),OFFSET(Attendance!$A$1,7,7+(10-1)*4)),""))</f>
        <v/>
      </c>
      <c r="AS38" s="165" t="str">
        <f ca="1">IF($AF38="","",IFERROR(AVERAGE(OFFSET(Attendance!$A$1,7,5+(11-1)*4),OFFSET(Attendance!$A$1,7,7+(11-1)*4)),""))</f>
        <v/>
      </c>
      <c r="AT38" s="165" t="str">
        <f ca="1">IF($AF38="","",IFERROR(AVERAGE(OFFSET(Attendance!$A$1,7,5+(12-1)*4),OFFSET(Attendance!$A$1,7,7+(12-1)*4)),""))</f>
        <v/>
      </c>
      <c r="AU38" s="165" t="str">
        <f ca="1">IF($AF38="","",IFERROR(AVERAGE(OFFSET(Attendance!$A$1,7,5+(13-1)*4),OFFSET(Attendance!$A$1,7,7+(13-1)*4)),""))</f>
        <v/>
      </c>
      <c r="AV38" s="165" t="str">
        <f ca="1">IF($AF38="","",IFERROR(AVERAGE(OFFSET(Attendance!$A$1,7,5+(14-1)*4),OFFSET(Attendance!$A$1,7,7+(14-1)*4)),""))</f>
        <v/>
      </c>
      <c r="AW38" s="165" t="str">
        <f ca="1">IF($AF38="","",IFERROR(AVERAGE(OFFSET(Attendance!$A$1,7,5+(15-1)*4),OFFSET(Attendance!$A$1,7,7+(15-1)*4)),""))</f>
        <v/>
      </c>
      <c r="AX38" s="165" t="str">
        <f ca="1">IF($AF38="","",IFERROR(AVERAGE(OFFSET(Attendance!$A$1,7,5+(16-1)*4),OFFSET(Attendance!$A$1,7,7+(16-1)*4)),""))</f>
        <v/>
      </c>
      <c r="AY38" s="165" t="str">
        <f ca="1">IF($AF38="","",IFERROR(AVERAGE(OFFSET(Attendance!$A$1,7,5+(17-1)*4),OFFSET(Attendance!$A$1,7,7+(17-1)*4)),""))</f>
        <v/>
      </c>
      <c r="AZ38" s="165" t="str">
        <f ca="1">IF($AF38="","",IFERROR(AVERAGE(OFFSET(Attendance!$A$1,7,5+(18-1)*4),OFFSET(Attendance!$A$1,7,7+(18-1)*4)),""))</f>
        <v/>
      </c>
      <c r="BA38" s="165" t="str">
        <f ca="1">IF($AF38="","",IFERROR(AVERAGE(OFFSET(Attendance!$A$1,7,5+(19-1)*4),OFFSET(Attendance!$A$1,7,7+(19-1)*4)),""))</f>
        <v/>
      </c>
      <c r="BB38" s="165" t="str">
        <f ca="1">IF($AF38="","",IFERROR(AVERAGE(OFFSET(Attendance!$A$1,7,5+(20-1)*4),OFFSET(Attendance!$A$1,7,7+(20-1)*4)),""))</f>
        <v/>
      </c>
      <c r="BC38" s="165" t="str">
        <f ca="1">IF($AF38="","",IFERROR(AVERAGE(OFFSET(Attendance!$A$1,7,5+(21-1)*4),OFFSET(Attendance!$A$1,7,7+(21-1)*4)),""))</f>
        <v/>
      </c>
      <c r="BD38" s="165" t="str">
        <f ca="1">IF($AF38="","",IFERROR(AVERAGE(OFFSET(Attendance!$A$1,7,5+(22-1)*4),OFFSET(Attendance!$A$1,7,7+(22-1)*4)),""))</f>
        <v/>
      </c>
      <c r="BE38" s="166" t="str">
        <f>IF($AF38="","",IFERROR(Workings!$D9,""))</f>
        <v/>
      </c>
      <c r="BF38" s="167" t="str">
        <f>IF($AF38="","",IFERROR(Workings!$E9,""))</f>
        <v/>
      </c>
      <c r="BG38" s="167" t="str">
        <f>IF($AF38="","",IFERROR(Workings!$G9,""))</f>
        <v/>
      </c>
      <c r="BH38" s="168">
        <f>IF($AF38="","",IFERROR(Workings!$H9,""))</f>
        <v>0</v>
      </c>
    </row>
    <row r="39" spans="32:60" x14ac:dyDescent="0.45">
      <c r="AF39" s="152" t="str">
        <f>IF(Attendance!$D9="","",Attendance!$D9)</f>
        <v>Roisin Offenhausen</v>
      </c>
      <c r="AG39" s="164" t="str" cm="1">
        <f t="array" ref="AG39">IF($AF39="","",_xlfn.TEXTJOIN("",TRUE,IF(Attendance!$E$4:$CN$4="WR",IFERROR(CHOOSE(Attendance!$E9:$CN9,"▁","▃","▅","▆","█"),"·"),"")))</f>
        <v>············································</v>
      </c>
      <c r="AH39" s="164" t="str" cm="1">
        <f t="array" ref="AH39">IF($AF39="","",_xlfn.TEXTJOIN("",TRUE,IF(Attendance!$CP$4:$FY$4="Rating",IFERROR(CHOOSE(ROUNDUP(Attendance!$CP9:$FY9/2,0),"▁","▃","▅","▆","█"),"·"),"")))</f>
        <v>······················</v>
      </c>
      <c r="AI39" s="165" t="str">
        <f ca="1">IF($AF39="","",IFERROR(AVERAGE(OFFSET(Attendance!$A$1,8,5+(1-1)*4),OFFSET(Attendance!$A$1,8,7+(1-1)*4)),""))</f>
        <v/>
      </c>
      <c r="AJ39" s="165" t="str">
        <f ca="1">IF($AF39="","",IFERROR(AVERAGE(OFFSET(Attendance!$A$1,8,5+(2-1)*4),OFFSET(Attendance!$A$1,8,7+(2-1)*4)),""))</f>
        <v/>
      </c>
      <c r="AK39" s="165" t="str">
        <f ca="1">IF($AF39="","",IFERROR(AVERAGE(OFFSET(Attendance!$A$1,8,5+(3-1)*4),OFFSET(Attendance!$A$1,8,7+(3-1)*4)),""))</f>
        <v/>
      </c>
      <c r="AL39" s="165" t="str">
        <f ca="1">IF($AF39="","",IFERROR(AVERAGE(OFFSET(Attendance!$A$1,8,5+(4-1)*4),OFFSET(Attendance!$A$1,8,7+(4-1)*4)),""))</f>
        <v/>
      </c>
      <c r="AM39" s="165" t="str">
        <f ca="1">IF($AF39="","",IFERROR(AVERAGE(OFFSET(Attendance!$A$1,8,5+(5-1)*4),OFFSET(Attendance!$A$1,8,7+(5-1)*4)),""))</f>
        <v/>
      </c>
      <c r="AN39" s="165" t="str">
        <f ca="1">IF($AF39="","",IFERROR(AVERAGE(OFFSET(Attendance!$A$1,8,5+(6-1)*4),OFFSET(Attendance!$A$1,8,7+(6-1)*4)),""))</f>
        <v/>
      </c>
      <c r="AO39" s="165" t="str">
        <f ca="1">IF($AF39="","",IFERROR(AVERAGE(OFFSET(Attendance!$A$1,8,5+(7-1)*4),OFFSET(Attendance!$A$1,8,7+(7-1)*4)),""))</f>
        <v/>
      </c>
      <c r="AP39" s="165" t="str">
        <f ca="1">IF($AF39="","",IFERROR(AVERAGE(OFFSET(Attendance!$A$1,8,5+(8-1)*4),OFFSET(Attendance!$A$1,8,7+(8-1)*4)),""))</f>
        <v/>
      </c>
      <c r="AQ39" s="165" t="str">
        <f ca="1">IF($AF39="","",IFERROR(AVERAGE(OFFSET(Attendance!$A$1,8,5+(9-1)*4),OFFSET(Attendance!$A$1,8,7+(9-1)*4)),""))</f>
        <v/>
      </c>
      <c r="AR39" s="165" t="str">
        <f ca="1">IF($AF39="","",IFERROR(AVERAGE(OFFSET(Attendance!$A$1,8,5+(10-1)*4),OFFSET(Attendance!$A$1,8,7+(10-1)*4)),""))</f>
        <v/>
      </c>
      <c r="AS39" s="165" t="str">
        <f ca="1">IF($AF39="","",IFERROR(AVERAGE(OFFSET(Attendance!$A$1,8,5+(11-1)*4),OFFSET(Attendance!$A$1,8,7+(11-1)*4)),""))</f>
        <v/>
      </c>
      <c r="AT39" s="165" t="str">
        <f ca="1">IF($AF39="","",IFERROR(AVERAGE(OFFSET(Attendance!$A$1,8,5+(12-1)*4),OFFSET(Attendance!$A$1,8,7+(12-1)*4)),""))</f>
        <v/>
      </c>
      <c r="AU39" s="165" t="str">
        <f ca="1">IF($AF39="","",IFERROR(AVERAGE(OFFSET(Attendance!$A$1,8,5+(13-1)*4),OFFSET(Attendance!$A$1,8,7+(13-1)*4)),""))</f>
        <v/>
      </c>
      <c r="AV39" s="165" t="str">
        <f ca="1">IF($AF39="","",IFERROR(AVERAGE(OFFSET(Attendance!$A$1,8,5+(14-1)*4),OFFSET(Attendance!$A$1,8,7+(14-1)*4)),""))</f>
        <v/>
      </c>
      <c r="AW39" s="165" t="str">
        <f ca="1">IF($AF39="","",IFERROR(AVERAGE(OFFSET(Attendance!$A$1,8,5+(15-1)*4),OFFSET(Attendance!$A$1,8,7+(15-1)*4)),""))</f>
        <v/>
      </c>
      <c r="AX39" s="165" t="str">
        <f ca="1">IF($AF39="","",IFERROR(AVERAGE(OFFSET(Attendance!$A$1,8,5+(16-1)*4),OFFSET(Attendance!$A$1,8,7+(16-1)*4)),""))</f>
        <v/>
      </c>
      <c r="AY39" s="165" t="str">
        <f ca="1">IF($AF39="","",IFERROR(AVERAGE(OFFSET(Attendance!$A$1,8,5+(17-1)*4),OFFSET(Attendance!$A$1,8,7+(17-1)*4)),""))</f>
        <v/>
      </c>
      <c r="AZ39" s="165" t="str">
        <f ca="1">IF($AF39="","",IFERROR(AVERAGE(OFFSET(Attendance!$A$1,8,5+(18-1)*4),OFFSET(Attendance!$A$1,8,7+(18-1)*4)),""))</f>
        <v/>
      </c>
      <c r="BA39" s="165" t="str">
        <f ca="1">IF($AF39="","",IFERROR(AVERAGE(OFFSET(Attendance!$A$1,8,5+(19-1)*4),OFFSET(Attendance!$A$1,8,7+(19-1)*4)),""))</f>
        <v/>
      </c>
      <c r="BB39" s="165" t="str">
        <f ca="1">IF($AF39="","",IFERROR(AVERAGE(OFFSET(Attendance!$A$1,8,5+(20-1)*4),OFFSET(Attendance!$A$1,8,7+(20-1)*4)),""))</f>
        <v/>
      </c>
      <c r="BC39" s="165" t="str">
        <f ca="1">IF($AF39="","",IFERROR(AVERAGE(OFFSET(Attendance!$A$1,8,5+(21-1)*4),OFFSET(Attendance!$A$1,8,7+(21-1)*4)),""))</f>
        <v/>
      </c>
      <c r="BD39" s="165" t="str">
        <f ca="1">IF($AF39="","",IFERROR(AVERAGE(OFFSET(Attendance!$A$1,8,5+(22-1)*4),OFFSET(Attendance!$A$1,8,7+(22-1)*4)),""))</f>
        <v/>
      </c>
      <c r="BE39" s="166" t="str">
        <f>IF($AF39="","",IFERROR(Workings!$D10,""))</f>
        <v/>
      </c>
      <c r="BF39" s="167" t="str">
        <f>IF($AF39="","",IFERROR(Workings!$E10,""))</f>
        <v/>
      </c>
      <c r="BG39" s="167" t="str">
        <f>IF($AF39="","",IFERROR(Workings!$G10,""))</f>
        <v/>
      </c>
      <c r="BH39" s="168">
        <f>IF($AF39="","",IFERROR(Workings!$H10,""))</f>
        <v>0</v>
      </c>
    </row>
    <row r="40" spans="32:60" x14ac:dyDescent="0.45">
      <c r="AF40" s="152" t="str">
        <f>IF(Attendance!$D10="","",Attendance!$D10)</f>
        <v>Naomi Adewoyin</v>
      </c>
      <c r="AG40" s="164" t="str" cm="1">
        <f t="array" ref="AG40">IF($AF40="","",_xlfn.TEXTJOIN("",TRUE,IF(Attendance!$E$4:$CN$4="WR",IFERROR(CHOOSE(Attendance!$E10:$CN10,"▁","▃","▅","▆","█"),"·"),"")))</f>
        <v>············································</v>
      </c>
      <c r="AH40" s="164" t="str" cm="1">
        <f t="array" ref="AH40">IF($AF40="","",_xlfn.TEXTJOIN("",TRUE,IF(Attendance!$CP$4:$FY$4="Rating",IFERROR(CHOOSE(ROUNDUP(Attendance!$CP10:$FY10/2,0),"▁","▃","▅","▆","█"),"·"),"")))</f>
        <v>······················</v>
      </c>
      <c r="AI40" s="165" t="str">
        <f ca="1">IF($AF40="","",IFERROR(AVERAGE(OFFSET(Attendance!$A$1,9,5+(1-1)*4),OFFSET(Attendance!$A$1,9,7+(1-1)*4)),""))</f>
        <v/>
      </c>
      <c r="AJ40" s="165" t="str">
        <f ca="1">IF($AF40="","",IFERROR(AVERAGE(OFFSET(Attendance!$A$1,9,5+(2-1)*4),OFFSET(Attendance!$A$1,9,7+(2-1)*4)),""))</f>
        <v/>
      </c>
      <c r="AK40" s="165" t="str">
        <f ca="1">IF($AF40="","",IFERROR(AVERAGE(OFFSET(Attendance!$A$1,9,5+(3-1)*4),OFFSET(Attendance!$A$1,9,7+(3-1)*4)),""))</f>
        <v/>
      </c>
      <c r="AL40" s="165" t="str">
        <f ca="1">IF($AF40="","",IFERROR(AVERAGE(OFFSET(Attendance!$A$1,9,5+(4-1)*4),OFFSET(Attendance!$A$1,9,7+(4-1)*4)),""))</f>
        <v/>
      </c>
      <c r="AM40" s="165" t="str">
        <f ca="1">IF($AF40="","",IFERROR(AVERAGE(OFFSET(Attendance!$A$1,9,5+(5-1)*4),OFFSET(Attendance!$A$1,9,7+(5-1)*4)),""))</f>
        <v/>
      </c>
      <c r="AN40" s="165" t="str">
        <f ca="1">IF($AF40="","",IFERROR(AVERAGE(OFFSET(Attendance!$A$1,9,5+(6-1)*4),OFFSET(Attendance!$A$1,9,7+(6-1)*4)),""))</f>
        <v/>
      </c>
      <c r="AO40" s="165" t="str">
        <f ca="1">IF($AF40="","",IFERROR(AVERAGE(OFFSET(Attendance!$A$1,9,5+(7-1)*4),OFFSET(Attendance!$A$1,9,7+(7-1)*4)),""))</f>
        <v/>
      </c>
      <c r="AP40" s="165" t="str">
        <f ca="1">IF($AF40="","",IFERROR(AVERAGE(OFFSET(Attendance!$A$1,9,5+(8-1)*4),OFFSET(Attendance!$A$1,9,7+(8-1)*4)),""))</f>
        <v/>
      </c>
      <c r="AQ40" s="165" t="str">
        <f ca="1">IF($AF40="","",IFERROR(AVERAGE(OFFSET(Attendance!$A$1,9,5+(9-1)*4),OFFSET(Attendance!$A$1,9,7+(9-1)*4)),""))</f>
        <v/>
      </c>
      <c r="AR40" s="165" t="str">
        <f ca="1">IF($AF40="","",IFERROR(AVERAGE(OFFSET(Attendance!$A$1,9,5+(10-1)*4),OFFSET(Attendance!$A$1,9,7+(10-1)*4)),""))</f>
        <v/>
      </c>
      <c r="AS40" s="165" t="str">
        <f ca="1">IF($AF40="","",IFERROR(AVERAGE(OFFSET(Attendance!$A$1,9,5+(11-1)*4),OFFSET(Attendance!$A$1,9,7+(11-1)*4)),""))</f>
        <v/>
      </c>
      <c r="AT40" s="165" t="str">
        <f ca="1">IF($AF40="","",IFERROR(AVERAGE(OFFSET(Attendance!$A$1,9,5+(12-1)*4),OFFSET(Attendance!$A$1,9,7+(12-1)*4)),""))</f>
        <v/>
      </c>
      <c r="AU40" s="165" t="str">
        <f ca="1">IF($AF40="","",IFERROR(AVERAGE(OFFSET(Attendance!$A$1,9,5+(13-1)*4),OFFSET(Attendance!$A$1,9,7+(13-1)*4)),""))</f>
        <v/>
      </c>
      <c r="AV40" s="165" t="str">
        <f ca="1">IF($AF40="","",IFERROR(AVERAGE(OFFSET(Attendance!$A$1,9,5+(14-1)*4),OFFSET(Attendance!$A$1,9,7+(14-1)*4)),""))</f>
        <v/>
      </c>
      <c r="AW40" s="165" t="str">
        <f ca="1">IF($AF40="","",IFERROR(AVERAGE(OFFSET(Attendance!$A$1,9,5+(15-1)*4),OFFSET(Attendance!$A$1,9,7+(15-1)*4)),""))</f>
        <v/>
      </c>
      <c r="AX40" s="165" t="str">
        <f ca="1">IF($AF40="","",IFERROR(AVERAGE(OFFSET(Attendance!$A$1,9,5+(16-1)*4),OFFSET(Attendance!$A$1,9,7+(16-1)*4)),""))</f>
        <v/>
      </c>
      <c r="AY40" s="165" t="str">
        <f ca="1">IF($AF40="","",IFERROR(AVERAGE(OFFSET(Attendance!$A$1,9,5+(17-1)*4),OFFSET(Attendance!$A$1,9,7+(17-1)*4)),""))</f>
        <v/>
      </c>
      <c r="AZ40" s="165" t="str">
        <f ca="1">IF($AF40="","",IFERROR(AVERAGE(OFFSET(Attendance!$A$1,9,5+(18-1)*4),OFFSET(Attendance!$A$1,9,7+(18-1)*4)),""))</f>
        <v/>
      </c>
      <c r="BA40" s="165" t="str">
        <f ca="1">IF($AF40="","",IFERROR(AVERAGE(OFFSET(Attendance!$A$1,9,5+(19-1)*4),OFFSET(Attendance!$A$1,9,7+(19-1)*4)),""))</f>
        <v/>
      </c>
      <c r="BB40" s="165" t="str">
        <f ca="1">IF($AF40="","",IFERROR(AVERAGE(OFFSET(Attendance!$A$1,9,5+(20-1)*4),OFFSET(Attendance!$A$1,9,7+(20-1)*4)),""))</f>
        <v/>
      </c>
      <c r="BC40" s="165" t="str">
        <f ca="1">IF($AF40="","",IFERROR(AVERAGE(OFFSET(Attendance!$A$1,9,5+(21-1)*4),OFFSET(Attendance!$A$1,9,7+(21-1)*4)),""))</f>
        <v/>
      </c>
      <c r="BD40" s="165" t="str">
        <f ca="1">IF($AF40="","",IFERROR(AVERAGE(OFFSET(Attendance!$A$1,9,5+(22-1)*4),OFFSET(Attendance!$A$1,9,7+(22-1)*4)),""))</f>
        <v/>
      </c>
      <c r="BE40" s="166" t="str">
        <f>IF($AF40="","",IFERROR(Workings!$D11,""))</f>
        <v/>
      </c>
      <c r="BF40" s="167" t="str">
        <f>IF($AF40="","",IFERROR(Workings!$E11,""))</f>
        <v/>
      </c>
      <c r="BG40" s="167" t="str">
        <f>IF($AF40="","",IFERROR(Workings!$G11,""))</f>
        <v/>
      </c>
      <c r="BH40" s="168">
        <f>IF($AF40="","",IFERROR(Workings!$H11,""))</f>
        <v>0</v>
      </c>
    </row>
    <row r="41" spans="32:60" x14ac:dyDescent="0.45">
      <c r="AF41" s="152" t="str">
        <f>IF(Attendance!$D11="","",Attendance!$D11)</f>
        <v>Amber Kilalee</v>
      </c>
      <c r="AG41" s="164" t="str" cm="1">
        <f t="array" ref="AG41">IF($AF41="","",_xlfn.TEXTJOIN("",TRUE,IF(Attendance!$E$4:$CN$4="WR",IFERROR(CHOOSE(Attendance!$E11:$CN11,"▁","▃","▅","▆","█"),"·"),"")))</f>
        <v>············································</v>
      </c>
      <c r="AH41" s="164" t="str" cm="1">
        <f t="array" ref="AH41">IF($AF41="","",_xlfn.TEXTJOIN("",TRUE,IF(Attendance!$CP$4:$FY$4="Rating",IFERROR(CHOOSE(ROUNDUP(Attendance!$CP11:$FY11/2,0),"▁","▃","▅","▆","█"),"·"),"")))</f>
        <v>······················</v>
      </c>
      <c r="AI41" s="165" t="str">
        <f ca="1">IF($AF41="","",IFERROR(AVERAGE(OFFSET(Attendance!$A$1,10,5+(1-1)*4),OFFSET(Attendance!$A$1,10,7+(1-1)*4)),""))</f>
        <v/>
      </c>
      <c r="AJ41" s="165" t="str">
        <f ca="1">IF($AF41="","",IFERROR(AVERAGE(OFFSET(Attendance!$A$1,10,5+(2-1)*4),OFFSET(Attendance!$A$1,10,7+(2-1)*4)),""))</f>
        <v/>
      </c>
      <c r="AK41" s="165" t="str">
        <f ca="1">IF($AF41="","",IFERROR(AVERAGE(OFFSET(Attendance!$A$1,10,5+(3-1)*4),OFFSET(Attendance!$A$1,10,7+(3-1)*4)),""))</f>
        <v/>
      </c>
      <c r="AL41" s="165" t="str">
        <f ca="1">IF($AF41="","",IFERROR(AVERAGE(OFFSET(Attendance!$A$1,10,5+(4-1)*4),OFFSET(Attendance!$A$1,10,7+(4-1)*4)),""))</f>
        <v/>
      </c>
      <c r="AM41" s="165" t="str">
        <f ca="1">IF($AF41="","",IFERROR(AVERAGE(OFFSET(Attendance!$A$1,10,5+(5-1)*4),OFFSET(Attendance!$A$1,10,7+(5-1)*4)),""))</f>
        <v/>
      </c>
      <c r="AN41" s="165" t="str">
        <f ca="1">IF($AF41="","",IFERROR(AVERAGE(OFFSET(Attendance!$A$1,10,5+(6-1)*4),OFFSET(Attendance!$A$1,10,7+(6-1)*4)),""))</f>
        <v/>
      </c>
      <c r="AO41" s="165" t="str">
        <f ca="1">IF($AF41="","",IFERROR(AVERAGE(OFFSET(Attendance!$A$1,10,5+(7-1)*4),OFFSET(Attendance!$A$1,10,7+(7-1)*4)),""))</f>
        <v/>
      </c>
      <c r="AP41" s="165" t="str">
        <f ca="1">IF($AF41="","",IFERROR(AVERAGE(OFFSET(Attendance!$A$1,10,5+(8-1)*4),OFFSET(Attendance!$A$1,10,7+(8-1)*4)),""))</f>
        <v/>
      </c>
      <c r="AQ41" s="165" t="str">
        <f ca="1">IF($AF41="","",IFERROR(AVERAGE(OFFSET(Attendance!$A$1,10,5+(9-1)*4),OFFSET(Attendance!$A$1,10,7+(9-1)*4)),""))</f>
        <v/>
      </c>
      <c r="AR41" s="165" t="str">
        <f ca="1">IF($AF41="","",IFERROR(AVERAGE(OFFSET(Attendance!$A$1,10,5+(10-1)*4),OFFSET(Attendance!$A$1,10,7+(10-1)*4)),""))</f>
        <v/>
      </c>
      <c r="AS41" s="165" t="str">
        <f ca="1">IF($AF41="","",IFERROR(AVERAGE(OFFSET(Attendance!$A$1,10,5+(11-1)*4),OFFSET(Attendance!$A$1,10,7+(11-1)*4)),""))</f>
        <v/>
      </c>
      <c r="AT41" s="165" t="str">
        <f ca="1">IF($AF41="","",IFERROR(AVERAGE(OFFSET(Attendance!$A$1,10,5+(12-1)*4),OFFSET(Attendance!$A$1,10,7+(12-1)*4)),""))</f>
        <v/>
      </c>
      <c r="AU41" s="165" t="str">
        <f ca="1">IF($AF41="","",IFERROR(AVERAGE(OFFSET(Attendance!$A$1,10,5+(13-1)*4),OFFSET(Attendance!$A$1,10,7+(13-1)*4)),""))</f>
        <v/>
      </c>
      <c r="AV41" s="165" t="str">
        <f ca="1">IF($AF41="","",IFERROR(AVERAGE(OFFSET(Attendance!$A$1,10,5+(14-1)*4),OFFSET(Attendance!$A$1,10,7+(14-1)*4)),""))</f>
        <v/>
      </c>
      <c r="AW41" s="165" t="str">
        <f ca="1">IF($AF41="","",IFERROR(AVERAGE(OFFSET(Attendance!$A$1,10,5+(15-1)*4),OFFSET(Attendance!$A$1,10,7+(15-1)*4)),""))</f>
        <v/>
      </c>
      <c r="AX41" s="165" t="str">
        <f ca="1">IF($AF41="","",IFERROR(AVERAGE(OFFSET(Attendance!$A$1,10,5+(16-1)*4),OFFSET(Attendance!$A$1,10,7+(16-1)*4)),""))</f>
        <v/>
      </c>
      <c r="AY41" s="165" t="str">
        <f ca="1">IF($AF41="","",IFERROR(AVERAGE(OFFSET(Attendance!$A$1,10,5+(17-1)*4),OFFSET(Attendance!$A$1,10,7+(17-1)*4)),""))</f>
        <v/>
      </c>
      <c r="AZ41" s="165" t="str">
        <f ca="1">IF($AF41="","",IFERROR(AVERAGE(OFFSET(Attendance!$A$1,10,5+(18-1)*4),OFFSET(Attendance!$A$1,10,7+(18-1)*4)),""))</f>
        <v/>
      </c>
      <c r="BA41" s="165" t="str">
        <f ca="1">IF($AF41="","",IFERROR(AVERAGE(OFFSET(Attendance!$A$1,10,5+(19-1)*4),OFFSET(Attendance!$A$1,10,7+(19-1)*4)),""))</f>
        <v/>
      </c>
      <c r="BB41" s="165" t="str">
        <f ca="1">IF($AF41="","",IFERROR(AVERAGE(OFFSET(Attendance!$A$1,10,5+(20-1)*4),OFFSET(Attendance!$A$1,10,7+(20-1)*4)),""))</f>
        <v/>
      </c>
      <c r="BC41" s="165" t="str">
        <f ca="1">IF($AF41="","",IFERROR(AVERAGE(OFFSET(Attendance!$A$1,10,5+(21-1)*4),OFFSET(Attendance!$A$1,10,7+(21-1)*4)),""))</f>
        <v/>
      </c>
      <c r="BD41" s="165" t="str">
        <f ca="1">IF($AF41="","",IFERROR(AVERAGE(OFFSET(Attendance!$A$1,10,5+(22-1)*4),OFFSET(Attendance!$A$1,10,7+(22-1)*4)),""))</f>
        <v/>
      </c>
      <c r="BE41" s="166" t="str">
        <f>IF($AF41="","",IFERROR(Workings!$D12,""))</f>
        <v/>
      </c>
      <c r="BF41" s="167" t="str">
        <f>IF($AF41="","",IFERROR(Workings!$E12,""))</f>
        <v/>
      </c>
      <c r="BG41" s="167" t="str">
        <f>IF($AF41="","",IFERROR(Workings!$G12,""))</f>
        <v/>
      </c>
      <c r="BH41" s="168">
        <f>IF($AF41="","",IFERROR(Workings!$H12,""))</f>
        <v>0</v>
      </c>
    </row>
    <row r="42" spans="32:60" x14ac:dyDescent="0.45">
      <c r="AF42" s="152" t="str">
        <f>IF(Attendance!$D12="","",Attendance!$D12)</f>
        <v>Shauna Kavanagh</v>
      </c>
      <c r="AG42" s="164" t="str" cm="1">
        <f t="array" ref="AG42">IF($AF42="","",_xlfn.TEXTJOIN("",TRUE,IF(Attendance!$E$4:$CN$4="WR",IFERROR(CHOOSE(Attendance!$E12:$CN12,"▁","▃","▅","▆","█"),"·"),"")))</f>
        <v>············································</v>
      </c>
      <c r="AH42" s="164" t="str" cm="1">
        <f t="array" ref="AH42">IF($AF42="","",_xlfn.TEXTJOIN("",TRUE,IF(Attendance!$CP$4:$FY$4="Rating",IFERROR(CHOOSE(ROUNDUP(Attendance!$CP12:$FY12/2,0),"▁","▃","▅","▆","█"),"·"),"")))</f>
        <v>······················</v>
      </c>
      <c r="AI42" s="165" t="str">
        <f ca="1">IF($AF42="","",IFERROR(AVERAGE(OFFSET(Attendance!$A$1,11,5+(1-1)*4),OFFSET(Attendance!$A$1,11,7+(1-1)*4)),""))</f>
        <v/>
      </c>
      <c r="AJ42" s="165" t="str">
        <f ca="1">IF($AF42="","",IFERROR(AVERAGE(OFFSET(Attendance!$A$1,11,5+(2-1)*4),OFFSET(Attendance!$A$1,11,7+(2-1)*4)),""))</f>
        <v/>
      </c>
      <c r="AK42" s="165" t="str">
        <f ca="1">IF($AF42="","",IFERROR(AVERAGE(OFFSET(Attendance!$A$1,11,5+(3-1)*4),OFFSET(Attendance!$A$1,11,7+(3-1)*4)),""))</f>
        <v/>
      </c>
      <c r="AL42" s="165" t="str">
        <f ca="1">IF($AF42="","",IFERROR(AVERAGE(OFFSET(Attendance!$A$1,11,5+(4-1)*4),OFFSET(Attendance!$A$1,11,7+(4-1)*4)),""))</f>
        <v/>
      </c>
      <c r="AM42" s="165" t="str">
        <f ca="1">IF($AF42="","",IFERROR(AVERAGE(OFFSET(Attendance!$A$1,11,5+(5-1)*4),OFFSET(Attendance!$A$1,11,7+(5-1)*4)),""))</f>
        <v/>
      </c>
      <c r="AN42" s="165" t="str">
        <f ca="1">IF($AF42="","",IFERROR(AVERAGE(OFFSET(Attendance!$A$1,11,5+(6-1)*4),OFFSET(Attendance!$A$1,11,7+(6-1)*4)),""))</f>
        <v/>
      </c>
      <c r="AO42" s="165" t="str">
        <f ca="1">IF($AF42="","",IFERROR(AVERAGE(OFFSET(Attendance!$A$1,11,5+(7-1)*4),OFFSET(Attendance!$A$1,11,7+(7-1)*4)),""))</f>
        <v/>
      </c>
      <c r="AP42" s="165" t="str">
        <f ca="1">IF($AF42="","",IFERROR(AVERAGE(OFFSET(Attendance!$A$1,11,5+(8-1)*4),OFFSET(Attendance!$A$1,11,7+(8-1)*4)),""))</f>
        <v/>
      </c>
      <c r="AQ42" s="165" t="str">
        <f ca="1">IF($AF42="","",IFERROR(AVERAGE(OFFSET(Attendance!$A$1,11,5+(9-1)*4),OFFSET(Attendance!$A$1,11,7+(9-1)*4)),""))</f>
        <v/>
      </c>
      <c r="AR42" s="165" t="str">
        <f ca="1">IF($AF42="","",IFERROR(AVERAGE(OFFSET(Attendance!$A$1,11,5+(10-1)*4),OFFSET(Attendance!$A$1,11,7+(10-1)*4)),""))</f>
        <v/>
      </c>
      <c r="AS42" s="165" t="str">
        <f ca="1">IF($AF42="","",IFERROR(AVERAGE(OFFSET(Attendance!$A$1,11,5+(11-1)*4),OFFSET(Attendance!$A$1,11,7+(11-1)*4)),""))</f>
        <v/>
      </c>
      <c r="AT42" s="165" t="str">
        <f ca="1">IF($AF42="","",IFERROR(AVERAGE(OFFSET(Attendance!$A$1,11,5+(12-1)*4),OFFSET(Attendance!$A$1,11,7+(12-1)*4)),""))</f>
        <v/>
      </c>
      <c r="AU42" s="165" t="str">
        <f ca="1">IF($AF42="","",IFERROR(AVERAGE(OFFSET(Attendance!$A$1,11,5+(13-1)*4),OFFSET(Attendance!$A$1,11,7+(13-1)*4)),""))</f>
        <v/>
      </c>
      <c r="AV42" s="165" t="str">
        <f ca="1">IF($AF42="","",IFERROR(AVERAGE(OFFSET(Attendance!$A$1,11,5+(14-1)*4),OFFSET(Attendance!$A$1,11,7+(14-1)*4)),""))</f>
        <v/>
      </c>
      <c r="AW42" s="165" t="str">
        <f ca="1">IF($AF42="","",IFERROR(AVERAGE(OFFSET(Attendance!$A$1,11,5+(15-1)*4),OFFSET(Attendance!$A$1,11,7+(15-1)*4)),""))</f>
        <v/>
      </c>
      <c r="AX42" s="165" t="str">
        <f ca="1">IF($AF42="","",IFERROR(AVERAGE(OFFSET(Attendance!$A$1,11,5+(16-1)*4),OFFSET(Attendance!$A$1,11,7+(16-1)*4)),""))</f>
        <v/>
      </c>
      <c r="AY42" s="165" t="str">
        <f ca="1">IF($AF42="","",IFERROR(AVERAGE(OFFSET(Attendance!$A$1,11,5+(17-1)*4),OFFSET(Attendance!$A$1,11,7+(17-1)*4)),""))</f>
        <v/>
      </c>
      <c r="AZ42" s="165" t="str">
        <f ca="1">IF($AF42="","",IFERROR(AVERAGE(OFFSET(Attendance!$A$1,11,5+(18-1)*4),OFFSET(Attendance!$A$1,11,7+(18-1)*4)),""))</f>
        <v/>
      </c>
      <c r="BA42" s="165" t="str">
        <f ca="1">IF($AF42="","",IFERROR(AVERAGE(OFFSET(Attendance!$A$1,11,5+(19-1)*4),OFFSET(Attendance!$A$1,11,7+(19-1)*4)),""))</f>
        <v/>
      </c>
      <c r="BB42" s="165" t="str">
        <f ca="1">IF($AF42="","",IFERROR(AVERAGE(OFFSET(Attendance!$A$1,11,5+(20-1)*4),OFFSET(Attendance!$A$1,11,7+(20-1)*4)),""))</f>
        <v/>
      </c>
      <c r="BC42" s="165" t="str">
        <f ca="1">IF($AF42="","",IFERROR(AVERAGE(OFFSET(Attendance!$A$1,11,5+(21-1)*4),OFFSET(Attendance!$A$1,11,7+(21-1)*4)),""))</f>
        <v/>
      </c>
      <c r="BD42" s="165" t="str">
        <f ca="1">IF($AF42="","",IFERROR(AVERAGE(OFFSET(Attendance!$A$1,11,5+(22-1)*4),OFFSET(Attendance!$A$1,11,7+(22-1)*4)),""))</f>
        <v/>
      </c>
      <c r="BE42" s="166" t="str">
        <f>IF($AF42="","",IFERROR(Workings!$D13,""))</f>
        <v/>
      </c>
      <c r="BF42" s="167" t="str">
        <f>IF($AF42="","",IFERROR(Workings!$E13,""))</f>
        <v/>
      </c>
      <c r="BG42" s="167" t="str">
        <f>IF($AF42="","",IFERROR(Workings!$G13,""))</f>
        <v/>
      </c>
      <c r="BH42" s="168">
        <f>IF($AF42="","",IFERROR(Workings!$H13,""))</f>
        <v>0</v>
      </c>
    </row>
    <row r="43" spans="32:60" x14ac:dyDescent="0.45">
      <c r="AF43" s="152" t="str">
        <f>IF(Attendance!$D13="","",Attendance!$D13)</f>
        <v>Tara Brannigan</v>
      </c>
      <c r="AG43" s="164" t="str" cm="1">
        <f t="array" ref="AG43">IF($AF43="","",_xlfn.TEXTJOIN("",TRUE,IF(Attendance!$E$4:$CN$4="WR",IFERROR(CHOOSE(Attendance!$E13:$CN13,"▁","▃","▅","▆","█"),"·"),"")))</f>
        <v>············································</v>
      </c>
      <c r="AH43" s="164" t="str" cm="1">
        <f t="array" ref="AH43">IF($AF43="","",_xlfn.TEXTJOIN("",TRUE,IF(Attendance!$CP$4:$FY$4="Rating",IFERROR(CHOOSE(ROUNDUP(Attendance!$CP13:$FY13/2,0),"▁","▃","▅","▆","█"),"·"),"")))</f>
        <v>······················</v>
      </c>
      <c r="AI43" s="165" t="str">
        <f ca="1">IF($AF43="","",IFERROR(AVERAGE(OFFSET(Attendance!$A$1,12,5+(1-1)*4),OFFSET(Attendance!$A$1,12,7+(1-1)*4)),""))</f>
        <v/>
      </c>
      <c r="AJ43" s="165" t="str">
        <f ca="1">IF($AF43="","",IFERROR(AVERAGE(OFFSET(Attendance!$A$1,12,5+(2-1)*4),OFFSET(Attendance!$A$1,12,7+(2-1)*4)),""))</f>
        <v/>
      </c>
      <c r="AK43" s="165" t="str">
        <f ca="1">IF($AF43="","",IFERROR(AVERAGE(OFFSET(Attendance!$A$1,12,5+(3-1)*4),OFFSET(Attendance!$A$1,12,7+(3-1)*4)),""))</f>
        <v/>
      </c>
      <c r="AL43" s="165" t="str">
        <f ca="1">IF($AF43="","",IFERROR(AVERAGE(OFFSET(Attendance!$A$1,12,5+(4-1)*4),OFFSET(Attendance!$A$1,12,7+(4-1)*4)),""))</f>
        <v/>
      </c>
      <c r="AM43" s="165" t="str">
        <f ca="1">IF($AF43="","",IFERROR(AVERAGE(OFFSET(Attendance!$A$1,12,5+(5-1)*4),OFFSET(Attendance!$A$1,12,7+(5-1)*4)),""))</f>
        <v/>
      </c>
      <c r="AN43" s="165" t="str">
        <f ca="1">IF($AF43="","",IFERROR(AVERAGE(OFFSET(Attendance!$A$1,12,5+(6-1)*4),OFFSET(Attendance!$A$1,12,7+(6-1)*4)),""))</f>
        <v/>
      </c>
      <c r="AO43" s="165" t="str">
        <f ca="1">IF($AF43="","",IFERROR(AVERAGE(OFFSET(Attendance!$A$1,12,5+(7-1)*4),OFFSET(Attendance!$A$1,12,7+(7-1)*4)),""))</f>
        <v/>
      </c>
      <c r="AP43" s="165" t="str">
        <f ca="1">IF($AF43="","",IFERROR(AVERAGE(OFFSET(Attendance!$A$1,12,5+(8-1)*4),OFFSET(Attendance!$A$1,12,7+(8-1)*4)),""))</f>
        <v/>
      </c>
      <c r="AQ43" s="165" t="str">
        <f ca="1">IF($AF43="","",IFERROR(AVERAGE(OFFSET(Attendance!$A$1,12,5+(9-1)*4),OFFSET(Attendance!$A$1,12,7+(9-1)*4)),""))</f>
        <v/>
      </c>
      <c r="AR43" s="165" t="str">
        <f ca="1">IF($AF43="","",IFERROR(AVERAGE(OFFSET(Attendance!$A$1,12,5+(10-1)*4),OFFSET(Attendance!$A$1,12,7+(10-1)*4)),""))</f>
        <v/>
      </c>
      <c r="AS43" s="165" t="str">
        <f ca="1">IF($AF43="","",IFERROR(AVERAGE(OFFSET(Attendance!$A$1,12,5+(11-1)*4),OFFSET(Attendance!$A$1,12,7+(11-1)*4)),""))</f>
        <v/>
      </c>
      <c r="AT43" s="165" t="str">
        <f ca="1">IF($AF43="","",IFERROR(AVERAGE(OFFSET(Attendance!$A$1,12,5+(12-1)*4),OFFSET(Attendance!$A$1,12,7+(12-1)*4)),""))</f>
        <v/>
      </c>
      <c r="AU43" s="165" t="str">
        <f ca="1">IF($AF43="","",IFERROR(AVERAGE(OFFSET(Attendance!$A$1,12,5+(13-1)*4),OFFSET(Attendance!$A$1,12,7+(13-1)*4)),""))</f>
        <v/>
      </c>
      <c r="AV43" s="165" t="str">
        <f ca="1">IF($AF43="","",IFERROR(AVERAGE(OFFSET(Attendance!$A$1,12,5+(14-1)*4),OFFSET(Attendance!$A$1,12,7+(14-1)*4)),""))</f>
        <v/>
      </c>
      <c r="AW43" s="165" t="str">
        <f ca="1">IF($AF43="","",IFERROR(AVERAGE(OFFSET(Attendance!$A$1,12,5+(15-1)*4),OFFSET(Attendance!$A$1,12,7+(15-1)*4)),""))</f>
        <v/>
      </c>
      <c r="AX43" s="165" t="str">
        <f ca="1">IF($AF43="","",IFERROR(AVERAGE(OFFSET(Attendance!$A$1,12,5+(16-1)*4),OFFSET(Attendance!$A$1,12,7+(16-1)*4)),""))</f>
        <v/>
      </c>
      <c r="AY43" s="165" t="str">
        <f ca="1">IF($AF43="","",IFERROR(AVERAGE(OFFSET(Attendance!$A$1,12,5+(17-1)*4),OFFSET(Attendance!$A$1,12,7+(17-1)*4)),""))</f>
        <v/>
      </c>
      <c r="AZ43" s="165" t="str">
        <f ca="1">IF($AF43="","",IFERROR(AVERAGE(OFFSET(Attendance!$A$1,12,5+(18-1)*4),OFFSET(Attendance!$A$1,12,7+(18-1)*4)),""))</f>
        <v/>
      </c>
      <c r="BA43" s="165" t="str">
        <f ca="1">IF($AF43="","",IFERROR(AVERAGE(OFFSET(Attendance!$A$1,12,5+(19-1)*4),OFFSET(Attendance!$A$1,12,7+(19-1)*4)),""))</f>
        <v/>
      </c>
      <c r="BB43" s="165" t="str">
        <f ca="1">IF($AF43="","",IFERROR(AVERAGE(OFFSET(Attendance!$A$1,12,5+(20-1)*4),OFFSET(Attendance!$A$1,12,7+(20-1)*4)),""))</f>
        <v/>
      </c>
      <c r="BC43" s="165" t="str">
        <f ca="1">IF($AF43="","",IFERROR(AVERAGE(OFFSET(Attendance!$A$1,12,5+(21-1)*4),OFFSET(Attendance!$A$1,12,7+(21-1)*4)),""))</f>
        <v/>
      </c>
      <c r="BD43" s="165" t="str">
        <f ca="1">IF($AF43="","",IFERROR(AVERAGE(OFFSET(Attendance!$A$1,12,5+(22-1)*4),OFFSET(Attendance!$A$1,12,7+(22-1)*4)),""))</f>
        <v/>
      </c>
      <c r="BE43" s="166" t="str">
        <f>IF($AF43="","",IFERROR(Workings!$D14,""))</f>
        <v/>
      </c>
      <c r="BF43" s="167" t="str">
        <f>IF($AF43="","",IFERROR(Workings!$E14,""))</f>
        <v/>
      </c>
      <c r="BG43" s="167" t="str">
        <f>IF($AF43="","",IFERROR(Workings!$G14,""))</f>
        <v/>
      </c>
      <c r="BH43" s="168">
        <f>IF($AF43="","",IFERROR(Workings!$H14,""))</f>
        <v>0</v>
      </c>
    </row>
    <row r="44" spans="32:60" x14ac:dyDescent="0.45">
      <c r="AF44" s="152" t="str">
        <f>IF(Attendance!$D14="","",Attendance!$D14)</f>
        <v>Semilore Adesanya</v>
      </c>
      <c r="AG44" s="164" t="str" cm="1">
        <f t="array" ref="AG44">IF($AF44="","",_xlfn.TEXTJOIN("",TRUE,IF(Attendance!$E$4:$CN$4="WR",IFERROR(CHOOSE(Attendance!$E14:$CN14,"▁","▃","▅","▆","█"),"·"),"")))</f>
        <v>············································</v>
      </c>
      <c r="AH44" s="164" t="str" cm="1">
        <f t="array" ref="AH44">IF($AF44="","",_xlfn.TEXTJOIN("",TRUE,IF(Attendance!$CP$4:$FY$4="Rating",IFERROR(CHOOSE(ROUNDUP(Attendance!$CP14:$FY14/2,0),"▁","▃","▅","▆","█"),"·"),"")))</f>
        <v>······················</v>
      </c>
      <c r="AI44" s="165" t="str">
        <f ca="1">IF($AF44="","",IFERROR(AVERAGE(OFFSET(Attendance!$A$1,13,5+(1-1)*4),OFFSET(Attendance!$A$1,13,7+(1-1)*4)),""))</f>
        <v/>
      </c>
      <c r="AJ44" s="165" t="str">
        <f ca="1">IF($AF44="","",IFERROR(AVERAGE(OFFSET(Attendance!$A$1,13,5+(2-1)*4),OFFSET(Attendance!$A$1,13,7+(2-1)*4)),""))</f>
        <v/>
      </c>
      <c r="AK44" s="165" t="str">
        <f ca="1">IF($AF44="","",IFERROR(AVERAGE(OFFSET(Attendance!$A$1,13,5+(3-1)*4),OFFSET(Attendance!$A$1,13,7+(3-1)*4)),""))</f>
        <v/>
      </c>
      <c r="AL44" s="165" t="str">
        <f ca="1">IF($AF44="","",IFERROR(AVERAGE(OFFSET(Attendance!$A$1,13,5+(4-1)*4),OFFSET(Attendance!$A$1,13,7+(4-1)*4)),""))</f>
        <v/>
      </c>
      <c r="AM44" s="165" t="str">
        <f ca="1">IF($AF44="","",IFERROR(AVERAGE(OFFSET(Attendance!$A$1,13,5+(5-1)*4),OFFSET(Attendance!$A$1,13,7+(5-1)*4)),""))</f>
        <v/>
      </c>
      <c r="AN44" s="165" t="str">
        <f ca="1">IF($AF44="","",IFERROR(AVERAGE(OFFSET(Attendance!$A$1,13,5+(6-1)*4),OFFSET(Attendance!$A$1,13,7+(6-1)*4)),""))</f>
        <v/>
      </c>
      <c r="AO44" s="165" t="str">
        <f ca="1">IF($AF44="","",IFERROR(AVERAGE(OFFSET(Attendance!$A$1,13,5+(7-1)*4),OFFSET(Attendance!$A$1,13,7+(7-1)*4)),""))</f>
        <v/>
      </c>
      <c r="AP44" s="165" t="str">
        <f ca="1">IF($AF44="","",IFERROR(AVERAGE(OFFSET(Attendance!$A$1,13,5+(8-1)*4),OFFSET(Attendance!$A$1,13,7+(8-1)*4)),""))</f>
        <v/>
      </c>
      <c r="AQ44" s="165" t="str">
        <f ca="1">IF($AF44="","",IFERROR(AVERAGE(OFFSET(Attendance!$A$1,13,5+(9-1)*4),OFFSET(Attendance!$A$1,13,7+(9-1)*4)),""))</f>
        <v/>
      </c>
      <c r="AR44" s="165" t="str">
        <f ca="1">IF($AF44="","",IFERROR(AVERAGE(OFFSET(Attendance!$A$1,13,5+(10-1)*4),OFFSET(Attendance!$A$1,13,7+(10-1)*4)),""))</f>
        <v/>
      </c>
      <c r="AS44" s="165" t="str">
        <f ca="1">IF($AF44="","",IFERROR(AVERAGE(OFFSET(Attendance!$A$1,13,5+(11-1)*4),OFFSET(Attendance!$A$1,13,7+(11-1)*4)),""))</f>
        <v/>
      </c>
      <c r="AT44" s="165" t="str">
        <f ca="1">IF($AF44="","",IFERROR(AVERAGE(OFFSET(Attendance!$A$1,13,5+(12-1)*4),OFFSET(Attendance!$A$1,13,7+(12-1)*4)),""))</f>
        <v/>
      </c>
      <c r="AU44" s="165" t="str">
        <f ca="1">IF($AF44="","",IFERROR(AVERAGE(OFFSET(Attendance!$A$1,13,5+(13-1)*4),OFFSET(Attendance!$A$1,13,7+(13-1)*4)),""))</f>
        <v/>
      </c>
      <c r="AV44" s="165" t="str">
        <f ca="1">IF($AF44="","",IFERROR(AVERAGE(OFFSET(Attendance!$A$1,13,5+(14-1)*4),OFFSET(Attendance!$A$1,13,7+(14-1)*4)),""))</f>
        <v/>
      </c>
      <c r="AW44" s="165" t="str">
        <f ca="1">IF($AF44="","",IFERROR(AVERAGE(OFFSET(Attendance!$A$1,13,5+(15-1)*4),OFFSET(Attendance!$A$1,13,7+(15-1)*4)),""))</f>
        <v/>
      </c>
      <c r="AX44" s="165" t="str">
        <f ca="1">IF($AF44="","",IFERROR(AVERAGE(OFFSET(Attendance!$A$1,13,5+(16-1)*4),OFFSET(Attendance!$A$1,13,7+(16-1)*4)),""))</f>
        <v/>
      </c>
      <c r="AY44" s="165" t="str">
        <f ca="1">IF($AF44="","",IFERROR(AVERAGE(OFFSET(Attendance!$A$1,13,5+(17-1)*4),OFFSET(Attendance!$A$1,13,7+(17-1)*4)),""))</f>
        <v/>
      </c>
      <c r="AZ44" s="165" t="str">
        <f ca="1">IF($AF44="","",IFERROR(AVERAGE(OFFSET(Attendance!$A$1,13,5+(18-1)*4),OFFSET(Attendance!$A$1,13,7+(18-1)*4)),""))</f>
        <v/>
      </c>
      <c r="BA44" s="165" t="str">
        <f ca="1">IF($AF44="","",IFERROR(AVERAGE(OFFSET(Attendance!$A$1,13,5+(19-1)*4),OFFSET(Attendance!$A$1,13,7+(19-1)*4)),""))</f>
        <v/>
      </c>
      <c r="BB44" s="165" t="str">
        <f ca="1">IF($AF44="","",IFERROR(AVERAGE(OFFSET(Attendance!$A$1,13,5+(20-1)*4),OFFSET(Attendance!$A$1,13,7+(20-1)*4)),""))</f>
        <v/>
      </c>
      <c r="BC44" s="165" t="str">
        <f ca="1">IF($AF44="","",IFERROR(AVERAGE(OFFSET(Attendance!$A$1,13,5+(21-1)*4),OFFSET(Attendance!$A$1,13,7+(21-1)*4)),""))</f>
        <v/>
      </c>
      <c r="BD44" s="165" t="str">
        <f ca="1">IF($AF44="","",IFERROR(AVERAGE(OFFSET(Attendance!$A$1,13,5+(22-1)*4),OFFSET(Attendance!$A$1,13,7+(22-1)*4)),""))</f>
        <v/>
      </c>
      <c r="BE44" s="166" t="str">
        <f>IF($AF44="","",IFERROR(Workings!$D15,""))</f>
        <v/>
      </c>
      <c r="BF44" s="167" t="str">
        <f>IF($AF44="","",IFERROR(Workings!$E15,""))</f>
        <v/>
      </c>
      <c r="BG44" s="167" t="str">
        <f>IF($AF44="","",IFERROR(Workings!$G15,""))</f>
        <v/>
      </c>
      <c r="BH44" s="168">
        <f>IF($AF44="","",IFERROR(Workings!$H15,""))</f>
        <v>0</v>
      </c>
    </row>
    <row r="45" spans="32:60" x14ac:dyDescent="0.45">
      <c r="AF45" s="152" t="str">
        <f>IF(Attendance!$D15="","",Attendance!$D15)</f>
        <v>Hannah Fleming</v>
      </c>
      <c r="AG45" s="164" t="str" cm="1">
        <f t="array" ref="AG45">IF($AF45="","",_xlfn.TEXTJOIN("",TRUE,IF(Attendance!$E$4:$CN$4="WR",IFERROR(CHOOSE(Attendance!$E15:$CN15,"▁","▃","▅","▆","█"),"·"),"")))</f>
        <v>············································</v>
      </c>
      <c r="AH45" s="164" t="str" cm="1">
        <f t="array" ref="AH45">IF($AF45="","",_xlfn.TEXTJOIN("",TRUE,IF(Attendance!$CP$4:$FY$4="Rating",IFERROR(CHOOSE(ROUNDUP(Attendance!$CP15:$FY15/2,0),"▁","▃","▅","▆","█"),"·"),"")))</f>
        <v>······················</v>
      </c>
      <c r="AI45" s="165" t="str">
        <f ca="1">IF($AF45="","",IFERROR(AVERAGE(OFFSET(Attendance!$A$1,14,5+(1-1)*4),OFFSET(Attendance!$A$1,14,7+(1-1)*4)),""))</f>
        <v/>
      </c>
      <c r="AJ45" s="165" t="str">
        <f ca="1">IF($AF45="","",IFERROR(AVERAGE(OFFSET(Attendance!$A$1,14,5+(2-1)*4),OFFSET(Attendance!$A$1,14,7+(2-1)*4)),""))</f>
        <v/>
      </c>
      <c r="AK45" s="165" t="str">
        <f ca="1">IF($AF45="","",IFERROR(AVERAGE(OFFSET(Attendance!$A$1,14,5+(3-1)*4),OFFSET(Attendance!$A$1,14,7+(3-1)*4)),""))</f>
        <v/>
      </c>
      <c r="AL45" s="165" t="str">
        <f ca="1">IF($AF45="","",IFERROR(AVERAGE(OFFSET(Attendance!$A$1,14,5+(4-1)*4),OFFSET(Attendance!$A$1,14,7+(4-1)*4)),""))</f>
        <v/>
      </c>
      <c r="AM45" s="165" t="str">
        <f ca="1">IF($AF45="","",IFERROR(AVERAGE(OFFSET(Attendance!$A$1,14,5+(5-1)*4),OFFSET(Attendance!$A$1,14,7+(5-1)*4)),""))</f>
        <v/>
      </c>
      <c r="AN45" s="165" t="str">
        <f ca="1">IF($AF45="","",IFERROR(AVERAGE(OFFSET(Attendance!$A$1,14,5+(6-1)*4),OFFSET(Attendance!$A$1,14,7+(6-1)*4)),""))</f>
        <v/>
      </c>
      <c r="AO45" s="165" t="str">
        <f ca="1">IF($AF45="","",IFERROR(AVERAGE(OFFSET(Attendance!$A$1,14,5+(7-1)*4),OFFSET(Attendance!$A$1,14,7+(7-1)*4)),""))</f>
        <v/>
      </c>
      <c r="AP45" s="165" t="str">
        <f ca="1">IF($AF45="","",IFERROR(AVERAGE(OFFSET(Attendance!$A$1,14,5+(8-1)*4),OFFSET(Attendance!$A$1,14,7+(8-1)*4)),""))</f>
        <v/>
      </c>
      <c r="AQ45" s="165" t="str">
        <f ca="1">IF($AF45="","",IFERROR(AVERAGE(OFFSET(Attendance!$A$1,14,5+(9-1)*4),OFFSET(Attendance!$A$1,14,7+(9-1)*4)),""))</f>
        <v/>
      </c>
      <c r="AR45" s="165" t="str">
        <f ca="1">IF($AF45="","",IFERROR(AVERAGE(OFFSET(Attendance!$A$1,14,5+(10-1)*4),OFFSET(Attendance!$A$1,14,7+(10-1)*4)),""))</f>
        <v/>
      </c>
      <c r="AS45" s="165" t="str">
        <f ca="1">IF($AF45="","",IFERROR(AVERAGE(OFFSET(Attendance!$A$1,14,5+(11-1)*4),OFFSET(Attendance!$A$1,14,7+(11-1)*4)),""))</f>
        <v/>
      </c>
      <c r="AT45" s="165" t="str">
        <f ca="1">IF($AF45="","",IFERROR(AVERAGE(OFFSET(Attendance!$A$1,14,5+(12-1)*4),OFFSET(Attendance!$A$1,14,7+(12-1)*4)),""))</f>
        <v/>
      </c>
      <c r="AU45" s="165" t="str">
        <f ca="1">IF($AF45="","",IFERROR(AVERAGE(OFFSET(Attendance!$A$1,14,5+(13-1)*4),OFFSET(Attendance!$A$1,14,7+(13-1)*4)),""))</f>
        <v/>
      </c>
      <c r="AV45" s="165" t="str">
        <f ca="1">IF($AF45="","",IFERROR(AVERAGE(OFFSET(Attendance!$A$1,14,5+(14-1)*4),OFFSET(Attendance!$A$1,14,7+(14-1)*4)),""))</f>
        <v/>
      </c>
      <c r="AW45" s="165" t="str">
        <f ca="1">IF($AF45="","",IFERROR(AVERAGE(OFFSET(Attendance!$A$1,14,5+(15-1)*4),OFFSET(Attendance!$A$1,14,7+(15-1)*4)),""))</f>
        <v/>
      </c>
      <c r="AX45" s="165" t="str">
        <f ca="1">IF($AF45="","",IFERROR(AVERAGE(OFFSET(Attendance!$A$1,14,5+(16-1)*4),OFFSET(Attendance!$A$1,14,7+(16-1)*4)),""))</f>
        <v/>
      </c>
      <c r="AY45" s="165" t="str">
        <f ca="1">IF($AF45="","",IFERROR(AVERAGE(OFFSET(Attendance!$A$1,14,5+(17-1)*4),OFFSET(Attendance!$A$1,14,7+(17-1)*4)),""))</f>
        <v/>
      </c>
      <c r="AZ45" s="165" t="str">
        <f ca="1">IF($AF45="","",IFERROR(AVERAGE(OFFSET(Attendance!$A$1,14,5+(18-1)*4),OFFSET(Attendance!$A$1,14,7+(18-1)*4)),""))</f>
        <v/>
      </c>
      <c r="BA45" s="165" t="str">
        <f ca="1">IF($AF45="","",IFERROR(AVERAGE(OFFSET(Attendance!$A$1,14,5+(19-1)*4),OFFSET(Attendance!$A$1,14,7+(19-1)*4)),""))</f>
        <v/>
      </c>
      <c r="BB45" s="165" t="str">
        <f ca="1">IF($AF45="","",IFERROR(AVERAGE(OFFSET(Attendance!$A$1,14,5+(20-1)*4),OFFSET(Attendance!$A$1,14,7+(20-1)*4)),""))</f>
        <v/>
      </c>
      <c r="BC45" s="165" t="str">
        <f ca="1">IF($AF45="","",IFERROR(AVERAGE(OFFSET(Attendance!$A$1,14,5+(21-1)*4),OFFSET(Attendance!$A$1,14,7+(21-1)*4)),""))</f>
        <v/>
      </c>
      <c r="BD45" s="165" t="str">
        <f ca="1">IF($AF45="","",IFERROR(AVERAGE(OFFSET(Attendance!$A$1,14,5+(22-1)*4),OFFSET(Attendance!$A$1,14,7+(22-1)*4)),""))</f>
        <v/>
      </c>
      <c r="BE45" s="166" t="str">
        <f>IF($AF45="","",IFERROR(Workings!$D16,""))</f>
        <v/>
      </c>
      <c r="BF45" s="167" t="str">
        <f>IF($AF45="","",IFERROR(Workings!$E16,""))</f>
        <v/>
      </c>
      <c r="BG45" s="167" t="str">
        <f>IF($AF45="","",IFERROR(Workings!$G16,""))</f>
        <v/>
      </c>
      <c r="BH45" s="168">
        <f>IF($AF45="","",IFERROR(Workings!$H16,""))</f>
        <v>0</v>
      </c>
    </row>
    <row r="46" spans="32:60" x14ac:dyDescent="0.45">
      <c r="AF46" s="152" t="str">
        <f>IF(Attendance!$D16="","",Attendance!$D16)</f>
        <v>Emma Kelly</v>
      </c>
      <c r="AG46" s="164" t="str" cm="1">
        <f t="array" ref="AG46">IF($AF46="","",_xlfn.TEXTJOIN("",TRUE,IF(Attendance!$E$4:$CN$4="WR",IFERROR(CHOOSE(Attendance!$E16:$CN16,"▁","▃","▅","▆","█"),"·"),"")))</f>
        <v>············································</v>
      </c>
      <c r="AH46" s="164" t="str" cm="1">
        <f t="array" ref="AH46">IF($AF46="","",_xlfn.TEXTJOIN("",TRUE,IF(Attendance!$CP$4:$FY$4="Rating",IFERROR(CHOOSE(ROUNDUP(Attendance!$CP16:$FY16/2,0),"▁","▃","▅","▆","█"),"·"),"")))</f>
        <v>······················</v>
      </c>
      <c r="AI46" s="165" t="str">
        <f ca="1">IF($AF46="","",IFERROR(AVERAGE(OFFSET(Attendance!$A$1,15,5+(1-1)*4),OFFSET(Attendance!$A$1,15,7+(1-1)*4)),""))</f>
        <v/>
      </c>
      <c r="AJ46" s="165" t="str">
        <f ca="1">IF($AF46="","",IFERROR(AVERAGE(OFFSET(Attendance!$A$1,15,5+(2-1)*4),OFFSET(Attendance!$A$1,15,7+(2-1)*4)),""))</f>
        <v/>
      </c>
      <c r="AK46" s="165" t="str">
        <f ca="1">IF($AF46="","",IFERROR(AVERAGE(OFFSET(Attendance!$A$1,15,5+(3-1)*4),OFFSET(Attendance!$A$1,15,7+(3-1)*4)),""))</f>
        <v/>
      </c>
      <c r="AL46" s="165" t="str">
        <f ca="1">IF($AF46="","",IFERROR(AVERAGE(OFFSET(Attendance!$A$1,15,5+(4-1)*4),OFFSET(Attendance!$A$1,15,7+(4-1)*4)),""))</f>
        <v/>
      </c>
      <c r="AM46" s="165" t="str">
        <f ca="1">IF($AF46="","",IFERROR(AVERAGE(OFFSET(Attendance!$A$1,15,5+(5-1)*4),OFFSET(Attendance!$A$1,15,7+(5-1)*4)),""))</f>
        <v/>
      </c>
      <c r="AN46" s="165" t="str">
        <f ca="1">IF($AF46="","",IFERROR(AVERAGE(OFFSET(Attendance!$A$1,15,5+(6-1)*4),OFFSET(Attendance!$A$1,15,7+(6-1)*4)),""))</f>
        <v/>
      </c>
      <c r="AO46" s="165" t="str">
        <f ca="1">IF($AF46="","",IFERROR(AVERAGE(OFFSET(Attendance!$A$1,15,5+(7-1)*4),OFFSET(Attendance!$A$1,15,7+(7-1)*4)),""))</f>
        <v/>
      </c>
      <c r="AP46" s="165" t="str">
        <f ca="1">IF($AF46="","",IFERROR(AVERAGE(OFFSET(Attendance!$A$1,15,5+(8-1)*4),OFFSET(Attendance!$A$1,15,7+(8-1)*4)),""))</f>
        <v/>
      </c>
      <c r="AQ46" s="165" t="str">
        <f ca="1">IF($AF46="","",IFERROR(AVERAGE(OFFSET(Attendance!$A$1,15,5+(9-1)*4),OFFSET(Attendance!$A$1,15,7+(9-1)*4)),""))</f>
        <v/>
      </c>
      <c r="AR46" s="165" t="str">
        <f ca="1">IF($AF46="","",IFERROR(AVERAGE(OFFSET(Attendance!$A$1,15,5+(10-1)*4),OFFSET(Attendance!$A$1,15,7+(10-1)*4)),""))</f>
        <v/>
      </c>
      <c r="AS46" s="165" t="str">
        <f ca="1">IF($AF46="","",IFERROR(AVERAGE(OFFSET(Attendance!$A$1,15,5+(11-1)*4),OFFSET(Attendance!$A$1,15,7+(11-1)*4)),""))</f>
        <v/>
      </c>
      <c r="AT46" s="165" t="str">
        <f ca="1">IF($AF46="","",IFERROR(AVERAGE(OFFSET(Attendance!$A$1,15,5+(12-1)*4),OFFSET(Attendance!$A$1,15,7+(12-1)*4)),""))</f>
        <v/>
      </c>
      <c r="AU46" s="165" t="str">
        <f ca="1">IF($AF46="","",IFERROR(AVERAGE(OFFSET(Attendance!$A$1,15,5+(13-1)*4),OFFSET(Attendance!$A$1,15,7+(13-1)*4)),""))</f>
        <v/>
      </c>
      <c r="AV46" s="165" t="str">
        <f ca="1">IF($AF46="","",IFERROR(AVERAGE(OFFSET(Attendance!$A$1,15,5+(14-1)*4),OFFSET(Attendance!$A$1,15,7+(14-1)*4)),""))</f>
        <v/>
      </c>
      <c r="AW46" s="165" t="str">
        <f ca="1">IF($AF46="","",IFERROR(AVERAGE(OFFSET(Attendance!$A$1,15,5+(15-1)*4),OFFSET(Attendance!$A$1,15,7+(15-1)*4)),""))</f>
        <v/>
      </c>
      <c r="AX46" s="165" t="str">
        <f ca="1">IF($AF46="","",IFERROR(AVERAGE(OFFSET(Attendance!$A$1,15,5+(16-1)*4),OFFSET(Attendance!$A$1,15,7+(16-1)*4)),""))</f>
        <v/>
      </c>
      <c r="AY46" s="165" t="str">
        <f ca="1">IF($AF46="","",IFERROR(AVERAGE(OFFSET(Attendance!$A$1,15,5+(17-1)*4),OFFSET(Attendance!$A$1,15,7+(17-1)*4)),""))</f>
        <v/>
      </c>
      <c r="AZ46" s="165" t="str">
        <f ca="1">IF($AF46="","",IFERROR(AVERAGE(OFFSET(Attendance!$A$1,15,5+(18-1)*4),OFFSET(Attendance!$A$1,15,7+(18-1)*4)),""))</f>
        <v/>
      </c>
      <c r="BA46" s="165" t="str">
        <f ca="1">IF($AF46="","",IFERROR(AVERAGE(OFFSET(Attendance!$A$1,15,5+(19-1)*4),OFFSET(Attendance!$A$1,15,7+(19-1)*4)),""))</f>
        <v/>
      </c>
      <c r="BB46" s="165" t="str">
        <f ca="1">IF($AF46="","",IFERROR(AVERAGE(OFFSET(Attendance!$A$1,15,5+(20-1)*4),OFFSET(Attendance!$A$1,15,7+(20-1)*4)),""))</f>
        <v/>
      </c>
      <c r="BC46" s="165" t="str">
        <f ca="1">IF($AF46="","",IFERROR(AVERAGE(OFFSET(Attendance!$A$1,15,5+(21-1)*4),OFFSET(Attendance!$A$1,15,7+(21-1)*4)),""))</f>
        <v/>
      </c>
      <c r="BD46" s="165" t="str">
        <f ca="1">IF($AF46="","",IFERROR(AVERAGE(OFFSET(Attendance!$A$1,15,5+(22-1)*4),OFFSET(Attendance!$A$1,15,7+(22-1)*4)),""))</f>
        <v/>
      </c>
      <c r="BE46" s="166" t="str">
        <f>IF($AF46="","",IFERROR(Workings!$D17,""))</f>
        <v/>
      </c>
      <c r="BF46" s="167" t="str">
        <f>IF($AF46="","",IFERROR(Workings!$E17,""))</f>
        <v/>
      </c>
      <c r="BG46" s="167" t="str">
        <f>IF($AF46="","",IFERROR(Workings!$G17,""))</f>
        <v/>
      </c>
      <c r="BH46" s="168">
        <f>IF($AF46="","",IFERROR(Workings!$H17,""))</f>
        <v>0</v>
      </c>
    </row>
    <row r="47" spans="32:60" x14ac:dyDescent="0.45">
      <c r="AF47" s="152" t="str">
        <f>IF(Attendance!$D17="","",Attendance!$D17)</f>
        <v>Roma Memon</v>
      </c>
      <c r="AG47" s="164" t="str" cm="1">
        <f t="array" ref="AG47">IF($AF47="","",_xlfn.TEXTJOIN("",TRUE,IF(Attendance!$E$4:$CN$4="WR",IFERROR(CHOOSE(Attendance!$E17:$CN17,"▁","▃","▅","▆","█"),"·"),"")))</f>
        <v>············································</v>
      </c>
      <c r="AH47" s="164" t="str" cm="1">
        <f t="array" ref="AH47">IF($AF47="","",_xlfn.TEXTJOIN("",TRUE,IF(Attendance!$CP$4:$FY$4="Rating",IFERROR(CHOOSE(ROUNDUP(Attendance!$CP17:$FY17/2,0),"▁","▃","▅","▆","█"),"·"),"")))</f>
        <v>······················</v>
      </c>
      <c r="AI47" s="165" t="str">
        <f ca="1">IF($AF47="","",IFERROR(AVERAGE(OFFSET(Attendance!$A$1,16,5+(1-1)*4),OFFSET(Attendance!$A$1,16,7+(1-1)*4)),""))</f>
        <v/>
      </c>
      <c r="AJ47" s="165" t="str">
        <f ca="1">IF($AF47="","",IFERROR(AVERAGE(OFFSET(Attendance!$A$1,16,5+(2-1)*4),OFFSET(Attendance!$A$1,16,7+(2-1)*4)),""))</f>
        <v/>
      </c>
      <c r="AK47" s="165" t="str">
        <f ca="1">IF($AF47="","",IFERROR(AVERAGE(OFFSET(Attendance!$A$1,16,5+(3-1)*4),OFFSET(Attendance!$A$1,16,7+(3-1)*4)),""))</f>
        <v/>
      </c>
      <c r="AL47" s="165" t="str">
        <f ca="1">IF($AF47="","",IFERROR(AVERAGE(OFFSET(Attendance!$A$1,16,5+(4-1)*4),OFFSET(Attendance!$A$1,16,7+(4-1)*4)),""))</f>
        <v/>
      </c>
      <c r="AM47" s="165" t="str">
        <f ca="1">IF($AF47="","",IFERROR(AVERAGE(OFFSET(Attendance!$A$1,16,5+(5-1)*4),OFFSET(Attendance!$A$1,16,7+(5-1)*4)),""))</f>
        <v/>
      </c>
      <c r="AN47" s="165" t="str">
        <f ca="1">IF($AF47="","",IFERROR(AVERAGE(OFFSET(Attendance!$A$1,16,5+(6-1)*4),OFFSET(Attendance!$A$1,16,7+(6-1)*4)),""))</f>
        <v/>
      </c>
      <c r="AO47" s="165" t="str">
        <f ca="1">IF($AF47="","",IFERROR(AVERAGE(OFFSET(Attendance!$A$1,16,5+(7-1)*4),OFFSET(Attendance!$A$1,16,7+(7-1)*4)),""))</f>
        <v/>
      </c>
      <c r="AP47" s="165" t="str">
        <f ca="1">IF($AF47="","",IFERROR(AVERAGE(OFFSET(Attendance!$A$1,16,5+(8-1)*4),OFFSET(Attendance!$A$1,16,7+(8-1)*4)),""))</f>
        <v/>
      </c>
      <c r="AQ47" s="165" t="str">
        <f ca="1">IF($AF47="","",IFERROR(AVERAGE(OFFSET(Attendance!$A$1,16,5+(9-1)*4),OFFSET(Attendance!$A$1,16,7+(9-1)*4)),""))</f>
        <v/>
      </c>
      <c r="AR47" s="165" t="str">
        <f ca="1">IF($AF47="","",IFERROR(AVERAGE(OFFSET(Attendance!$A$1,16,5+(10-1)*4),OFFSET(Attendance!$A$1,16,7+(10-1)*4)),""))</f>
        <v/>
      </c>
      <c r="AS47" s="165" t="str">
        <f ca="1">IF($AF47="","",IFERROR(AVERAGE(OFFSET(Attendance!$A$1,16,5+(11-1)*4),OFFSET(Attendance!$A$1,16,7+(11-1)*4)),""))</f>
        <v/>
      </c>
      <c r="AT47" s="165" t="str">
        <f ca="1">IF($AF47="","",IFERROR(AVERAGE(OFFSET(Attendance!$A$1,16,5+(12-1)*4),OFFSET(Attendance!$A$1,16,7+(12-1)*4)),""))</f>
        <v/>
      </c>
      <c r="AU47" s="165" t="str">
        <f ca="1">IF($AF47="","",IFERROR(AVERAGE(OFFSET(Attendance!$A$1,16,5+(13-1)*4),OFFSET(Attendance!$A$1,16,7+(13-1)*4)),""))</f>
        <v/>
      </c>
      <c r="AV47" s="165" t="str">
        <f ca="1">IF($AF47="","",IFERROR(AVERAGE(OFFSET(Attendance!$A$1,16,5+(14-1)*4),OFFSET(Attendance!$A$1,16,7+(14-1)*4)),""))</f>
        <v/>
      </c>
      <c r="AW47" s="165" t="str">
        <f ca="1">IF($AF47="","",IFERROR(AVERAGE(OFFSET(Attendance!$A$1,16,5+(15-1)*4),OFFSET(Attendance!$A$1,16,7+(15-1)*4)),""))</f>
        <v/>
      </c>
      <c r="AX47" s="165" t="str">
        <f ca="1">IF($AF47="","",IFERROR(AVERAGE(OFFSET(Attendance!$A$1,16,5+(16-1)*4),OFFSET(Attendance!$A$1,16,7+(16-1)*4)),""))</f>
        <v/>
      </c>
      <c r="AY47" s="165" t="str">
        <f ca="1">IF($AF47="","",IFERROR(AVERAGE(OFFSET(Attendance!$A$1,16,5+(17-1)*4),OFFSET(Attendance!$A$1,16,7+(17-1)*4)),""))</f>
        <v/>
      </c>
      <c r="AZ47" s="165" t="str">
        <f ca="1">IF($AF47="","",IFERROR(AVERAGE(OFFSET(Attendance!$A$1,16,5+(18-1)*4),OFFSET(Attendance!$A$1,16,7+(18-1)*4)),""))</f>
        <v/>
      </c>
      <c r="BA47" s="165" t="str">
        <f ca="1">IF($AF47="","",IFERROR(AVERAGE(OFFSET(Attendance!$A$1,16,5+(19-1)*4),OFFSET(Attendance!$A$1,16,7+(19-1)*4)),""))</f>
        <v/>
      </c>
      <c r="BB47" s="165" t="str">
        <f ca="1">IF($AF47="","",IFERROR(AVERAGE(OFFSET(Attendance!$A$1,16,5+(20-1)*4),OFFSET(Attendance!$A$1,16,7+(20-1)*4)),""))</f>
        <v/>
      </c>
      <c r="BC47" s="165" t="str">
        <f ca="1">IF($AF47="","",IFERROR(AVERAGE(OFFSET(Attendance!$A$1,16,5+(21-1)*4),OFFSET(Attendance!$A$1,16,7+(21-1)*4)),""))</f>
        <v/>
      </c>
      <c r="BD47" s="165" t="str">
        <f ca="1">IF($AF47="","",IFERROR(AVERAGE(OFFSET(Attendance!$A$1,16,5+(22-1)*4),OFFSET(Attendance!$A$1,16,7+(22-1)*4)),""))</f>
        <v/>
      </c>
      <c r="BE47" s="166" t="str">
        <f>IF($AF47="","",IFERROR(Workings!$D18,""))</f>
        <v/>
      </c>
      <c r="BF47" s="167" t="str">
        <f>IF($AF47="","",IFERROR(Workings!$E18,""))</f>
        <v/>
      </c>
      <c r="BG47" s="167" t="str">
        <f>IF($AF47="","",IFERROR(Workings!$G18,""))</f>
        <v/>
      </c>
      <c r="BH47" s="168">
        <f>IF($AF47="","",IFERROR(Workings!$H18,""))</f>
        <v>0</v>
      </c>
    </row>
    <row r="48" spans="32:60" x14ac:dyDescent="0.45">
      <c r="AF48" s="152" t="str">
        <f>IF(Attendance!$D18="","",Attendance!$D18)</f>
        <v>Emma Dromgoole</v>
      </c>
      <c r="AG48" s="164" t="str" cm="1">
        <f t="array" ref="AG48">IF($AF48="","",_xlfn.TEXTJOIN("",TRUE,IF(Attendance!$E$4:$CN$4="WR",IFERROR(CHOOSE(Attendance!$E18:$CN18,"▁","▃","▅","▆","█"),"·"),"")))</f>
        <v>············································</v>
      </c>
      <c r="AH48" s="164" t="str" cm="1">
        <f t="array" ref="AH48">IF($AF48="","",_xlfn.TEXTJOIN("",TRUE,IF(Attendance!$CP$4:$FY$4="Rating",IFERROR(CHOOSE(ROUNDUP(Attendance!$CP18:$FY18/2,0),"▁","▃","▅","▆","█"),"·"),"")))</f>
        <v>······················</v>
      </c>
      <c r="AI48" s="165" t="str">
        <f ca="1">IF($AF48="","",IFERROR(AVERAGE(OFFSET(Attendance!$A$1,17,5+(1-1)*4),OFFSET(Attendance!$A$1,17,7+(1-1)*4)),""))</f>
        <v/>
      </c>
      <c r="AJ48" s="165" t="str">
        <f ca="1">IF($AF48="","",IFERROR(AVERAGE(OFFSET(Attendance!$A$1,17,5+(2-1)*4),OFFSET(Attendance!$A$1,17,7+(2-1)*4)),""))</f>
        <v/>
      </c>
      <c r="AK48" s="165" t="str">
        <f ca="1">IF($AF48="","",IFERROR(AVERAGE(OFFSET(Attendance!$A$1,17,5+(3-1)*4),OFFSET(Attendance!$A$1,17,7+(3-1)*4)),""))</f>
        <v/>
      </c>
      <c r="AL48" s="165" t="str">
        <f ca="1">IF($AF48="","",IFERROR(AVERAGE(OFFSET(Attendance!$A$1,17,5+(4-1)*4),OFFSET(Attendance!$A$1,17,7+(4-1)*4)),""))</f>
        <v/>
      </c>
      <c r="AM48" s="165" t="str">
        <f ca="1">IF($AF48="","",IFERROR(AVERAGE(OFFSET(Attendance!$A$1,17,5+(5-1)*4),OFFSET(Attendance!$A$1,17,7+(5-1)*4)),""))</f>
        <v/>
      </c>
      <c r="AN48" s="165" t="str">
        <f ca="1">IF($AF48="","",IFERROR(AVERAGE(OFFSET(Attendance!$A$1,17,5+(6-1)*4),OFFSET(Attendance!$A$1,17,7+(6-1)*4)),""))</f>
        <v/>
      </c>
      <c r="AO48" s="165" t="str">
        <f ca="1">IF($AF48="","",IFERROR(AVERAGE(OFFSET(Attendance!$A$1,17,5+(7-1)*4),OFFSET(Attendance!$A$1,17,7+(7-1)*4)),""))</f>
        <v/>
      </c>
      <c r="AP48" s="165" t="str">
        <f ca="1">IF($AF48="","",IFERROR(AVERAGE(OFFSET(Attendance!$A$1,17,5+(8-1)*4),OFFSET(Attendance!$A$1,17,7+(8-1)*4)),""))</f>
        <v/>
      </c>
      <c r="AQ48" s="165" t="str">
        <f ca="1">IF($AF48="","",IFERROR(AVERAGE(OFFSET(Attendance!$A$1,17,5+(9-1)*4),OFFSET(Attendance!$A$1,17,7+(9-1)*4)),""))</f>
        <v/>
      </c>
      <c r="AR48" s="165" t="str">
        <f ca="1">IF($AF48="","",IFERROR(AVERAGE(OFFSET(Attendance!$A$1,17,5+(10-1)*4),OFFSET(Attendance!$A$1,17,7+(10-1)*4)),""))</f>
        <v/>
      </c>
      <c r="AS48" s="165" t="str">
        <f ca="1">IF($AF48="","",IFERROR(AVERAGE(OFFSET(Attendance!$A$1,17,5+(11-1)*4),OFFSET(Attendance!$A$1,17,7+(11-1)*4)),""))</f>
        <v/>
      </c>
      <c r="AT48" s="165" t="str">
        <f ca="1">IF($AF48="","",IFERROR(AVERAGE(OFFSET(Attendance!$A$1,17,5+(12-1)*4),OFFSET(Attendance!$A$1,17,7+(12-1)*4)),""))</f>
        <v/>
      </c>
      <c r="AU48" s="165" t="str">
        <f ca="1">IF($AF48="","",IFERROR(AVERAGE(OFFSET(Attendance!$A$1,17,5+(13-1)*4),OFFSET(Attendance!$A$1,17,7+(13-1)*4)),""))</f>
        <v/>
      </c>
      <c r="AV48" s="165" t="str">
        <f ca="1">IF($AF48="","",IFERROR(AVERAGE(OFFSET(Attendance!$A$1,17,5+(14-1)*4),OFFSET(Attendance!$A$1,17,7+(14-1)*4)),""))</f>
        <v/>
      </c>
      <c r="AW48" s="165" t="str">
        <f ca="1">IF($AF48="","",IFERROR(AVERAGE(OFFSET(Attendance!$A$1,17,5+(15-1)*4),OFFSET(Attendance!$A$1,17,7+(15-1)*4)),""))</f>
        <v/>
      </c>
      <c r="AX48" s="165" t="str">
        <f ca="1">IF($AF48="","",IFERROR(AVERAGE(OFFSET(Attendance!$A$1,17,5+(16-1)*4),OFFSET(Attendance!$A$1,17,7+(16-1)*4)),""))</f>
        <v/>
      </c>
      <c r="AY48" s="165" t="str">
        <f ca="1">IF($AF48="","",IFERROR(AVERAGE(OFFSET(Attendance!$A$1,17,5+(17-1)*4),OFFSET(Attendance!$A$1,17,7+(17-1)*4)),""))</f>
        <v/>
      </c>
      <c r="AZ48" s="165" t="str">
        <f ca="1">IF($AF48="","",IFERROR(AVERAGE(OFFSET(Attendance!$A$1,17,5+(18-1)*4),OFFSET(Attendance!$A$1,17,7+(18-1)*4)),""))</f>
        <v/>
      </c>
      <c r="BA48" s="165" t="str">
        <f ca="1">IF($AF48="","",IFERROR(AVERAGE(OFFSET(Attendance!$A$1,17,5+(19-1)*4),OFFSET(Attendance!$A$1,17,7+(19-1)*4)),""))</f>
        <v/>
      </c>
      <c r="BB48" s="165" t="str">
        <f ca="1">IF($AF48="","",IFERROR(AVERAGE(OFFSET(Attendance!$A$1,17,5+(20-1)*4),OFFSET(Attendance!$A$1,17,7+(20-1)*4)),""))</f>
        <v/>
      </c>
      <c r="BC48" s="165" t="str">
        <f ca="1">IF($AF48="","",IFERROR(AVERAGE(OFFSET(Attendance!$A$1,17,5+(21-1)*4),OFFSET(Attendance!$A$1,17,7+(21-1)*4)),""))</f>
        <v/>
      </c>
      <c r="BD48" s="165" t="str">
        <f ca="1">IF($AF48="","",IFERROR(AVERAGE(OFFSET(Attendance!$A$1,17,5+(22-1)*4),OFFSET(Attendance!$A$1,17,7+(22-1)*4)),""))</f>
        <v/>
      </c>
      <c r="BE48" s="166" t="str">
        <f>IF($AF48="","",IFERROR(Workings!$D19,""))</f>
        <v/>
      </c>
      <c r="BF48" s="167" t="str">
        <f>IF($AF48="","",IFERROR(Workings!$E19,""))</f>
        <v/>
      </c>
      <c r="BG48" s="167" t="str">
        <f>IF($AF48="","",IFERROR(Workings!$G19,""))</f>
        <v/>
      </c>
      <c r="BH48" s="168">
        <f>IF($AF48="","",IFERROR(Workings!$H19,""))</f>
        <v>0</v>
      </c>
    </row>
    <row r="49" spans="2:60" x14ac:dyDescent="0.45">
      <c r="AF49" s="152" t="str">
        <f>IF(Attendance!$D19="","",Attendance!$D19)</f>
        <v>Elsie Morrison</v>
      </c>
      <c r="AG49" s="164" t="str" cm="1">
        <f t="array" ref="AG49">IF($AF49="","",_xlfn.TEXTJOIN("",TRUE,IF(Attendance!$E$4:$CN$4="WR",IFERROR(CHOOSE(Attendance!$E19:$CN19,"▁","▃","▅","▆","█"),"·"),"")))</f>
        <v>············································</v>
      </c>
      <c r="AH49" s="164" t="str" cm="1">
        <f t="array" ref="AH49">IF($AF49="","",_xlfn.TEXTJOIN("",TRUE,IF(Attendance!$CP$4:$FY$4="Rating",IFERROR(CHOOSE(ROUNDUP(Attendance!$CP19:$FY19/2,0),"▁","▃","▅","▆","█"),"·"),"")))</f>
        <v>······················</v>
      </c>
      <c r="AI49" s="165" t="str">
        <f ca="1">IF($AF49="","",IFERROR(AVERAGE(OFFSET(Attendance!$A$1,18,5+(1-1)*4),OFFSET(Attendance!$A$1,18,7+(1-1)*4)),""))</f>
        <v/>
      </c>
      <c r="AJ49" s="165" t="str">
        <f ca="1">IF($AF49="","",IFERROR(AVERAGE(OFFSET(Attendance!$A$1,18,5+(2-1)*4),OFFSET(Attendance!$A$1,18,7+(2-1)*4)),""))</f>
        <v/>
      </c>
      <c r="AK49" s="165" t="str">
        <f ca="1">IF($AF49="","",IFERROR(AVERAGE(OFFSET(Attendance!$A$1,18,5+(3-1)*4),OFFSET(Attendance!$A$1,18,7+(3-1)*4)),""))</f>
        <v/>
      </c>
      <c r="AL49" s="165" t="str">
        <f ca="1">IF($AF49="","",IFERROR(AVERAGE(OFFSET(Attendance!$A$1,18,5+(4-1)*4),OFFSET(Attendance!$A$1,18,7+(4-1)*4)),""))</f>
        <v/>
      </c>
      <c r="AM49" s="165" t="str">
        <f ca="1">IF($AF49="","",IFERROR(AVERAGE(OFFSET(Attendance!$A$1,18,5+(5-1)*4),OFFSET(Attendance!$A$1,18,7+(5-1)*4)),""))</f>
        <v/>
      </c>
      <c r="AN49" s="165" t="str">
        <f ca="1">IF($AF49="","",IFERROR(AVERAGE(OFFSET(Attendance!$A$1,18,5+(6-1)*4),OFFSET(Attendance!$A$1,18,7+(6-1)*4)),""))</f>
        <v/>
      </c>
      <c r="AO49" s="165" t="str">
        <f ca="1">IF($AF49="","",IFERROR(AVERAGE(OFFSET(Attendance!$A$1,18,5+(7-1)*4),OFFSET(Attendance!$A$1,18,7+(7-1)*4)),""))</f>
        <v/>
      </c>
      <c r="AP49" s="165" t="str">
        <f ca="1">IF($AF49="","",IFERROR(AVERAGE(OFFSET(Attendance!$A$1,18,5+(8-1)*4),OFFSET(Attendance!$A$1,18,7+(8-1)*4)),""))</f>
        <v/>
      </c>
      <c r="AQ49" s="165" t="str">
        <f ca="1">IF($AF49="","",IFERROR(AVERAGE(OFFSET(Attendance!$A$1,18,5+(9-1)*4),OFFSET(Attendance!$A$1,18,7+(9-1)*4)),""))</f>
        <v/>
      </c>
      <c r="AR49" s="165" t="str">
        <f ca="1">IF($AF49="","",IFERROR(AVERAGE(OFFSET(Attendance!$A$1,18,5+(10-1)*4),OFFSET(Attendance!$A$1,18,7+(10-1)*4)),""))</f>
        <v/>
      </c>
      <c r="AS49" s="165" t="str">
        <f ca="1">IF($AF49="","",IFERROR(AVERAGE(OFFSET(Attendance!$A$1,18,5+(11-1)*4),OFFSET(Attendance!$A$1,18,7+(11-1)*4)),""))</f>
        <v/>
      </c>
      <c r="AT49" s="165" t="str">
        <f ca="1">IF($AF49="","",IFERROR(AVERAGE(OFFSET(Attendance!$A$1,18,5+(12-1)*4),OFFSET(Attendance!$A$1,18,7+(12-1)*4)),""))</f>
        <v/>
      </c>
      <c r="AU49" s="165" t="str">
        <f ca="1">IF($AF49="","",IFERROR(AVERAGE(OFFSET(Attendance!$A$1,18,5+(13-1)*4),OFFSET(Attendance!$A$1,18,7+(13-1)*4)),""))</f>
        <v/>
      </c>
      <c r="AV49" s="165" t="str">
        <f ca="1">IF($AF49="","",IFERROR(AVERAGE(OFFSET(Attendance!$A$1,18,5+(14-1)*4),OFFSET(Attendance!$A$1,18,7+(14-1)*4)),""))</f>
        <v/>
      </c>
      <c r="AW49" s="165" t="str">
        <f ca="1">IF($AF49="","",IFERROR(AVERAGE(OFFSET(Attendance!$A$1,18,5+(15-1)*4),OFFSET(Attendance!$A$1,18,7+(15-1)*4)),""))</f>
        <v/>
      </c>
      <c r="AX49" s="165" t="str">
        <f ca="1">IF($AF49="","",IFERROR(AVERAGE(OFFSET(Attendance!$A$1,18,5+(16-1)*4),OFFSET(Attendance!$A$1,18,7+(16-1)*4)),""))</f>
        <v/>
      </c>
      <c r="AY49" s="165" t="str">
        <f ca="1">IF($AF49="","",IFERROR(AVERAGE(OFFSET(Attendance!$A$1,18,5+(17-1)*4),OFFSET(Attendance!$A$1,18,7+(17-1)*4)),""))</f>
        <v/>
      </c>
      <c r="AZ49" s="165" t="str">
        <f ca="1">IF($AF49="","",IFERROR(AVERAGE(OFFSET(Attendance!$A$1,18,5+(18-1)*4),OFFSET(Attendance!$A$1,18,7+(18-1)*4)),""))</f>
        <v/>
      </c>
      <c r="BA49" s="165" t="str">
        <f ca="1">IF($AF49="","",IFERROR(AVERAGE(OFFSET(Attendance!$A$1,18,5+(19-1)*4),OFFSET(Attendance!$A$1,18,7+(19-1)*4)),""))</f>
        <v/>
      </c>
      <c r="BB49" s="165" t="str">
        <f ca="1">IF($AF49="","",IFERROR(AVERAGE(OFFSET(Attendance!$A$1,18,5+(20-1)*4),OFFSET(Attendance!$A$1,18,7+(20-1)*4)),""))</f>
        <v/>
      </c>
      <c r="BC49" s="165" t="str">
        <f ca="1">IF($AF49="","",IFERROR(AVERAGE(OFFSET(Attendance!$A$1,18,5+(21-1)*4),OFFSET(Attendance!$A$1,18,7+(21-1)*4)),""))</f>
        <v/>
      </c>
      <c r="BD49" s="165" t="str">
        <f ca="1">IF($AF49="","",IFERROR(AVERAGE(OFFSET(Attendance!$A$1,18,5+(22-1)*4),OFFSET(Attendance!$A$1,18,7+(22-1)*4)),""))</f>
        <v/>
      </c>
      <c r="BE49" s="166" t="str">
        <f>IF($AF49="","",IFERROR(Workings!$D20,""))</f>
        <v/>
      </c>
      <c r="BF49" s="167" t="str">
        <f>IF($AF49="","",IFERROR(Workings!$E20,""))</f>
        <v/>
      </c>
      <c r="BG49" s="167" t="str">
        <f>IF($AF49="","",IFERROR(Workings!$G20,""))</f>
        <v/>
      </c>
      <c r="BH49" s="168">
        <f>IF($AF49="","",IFERROR(Workings!$H20,""))</f>
        <v>0</v>
      </c>
    </row>
    <row r="50" spans="2:60" x14ac:dyDescent="0.45">
      <c r="AF50" s="152" t="str">
        <f>IF(Attendance!$D20="","",Attendance!$D20)</f>
        <v>Zara Freeman</v>
      </c>
      <c r="AG50" s="164" t="str" cm="1">
        <f t="array" ref="AG50">IF($AF50="","",_xlfn.TEXTJOIN("",TRUE,IF(Attendance!$E$4:$CN$4="WR",IFERROR(CHOOSE(Attendance!$E20:$CN20,"▁","▃","▅","▆","█"),"·"),"")))</f>
        <v>············································</v>
      </c>
      <c r="AH50" s="164" t="str" cm="1">
        <f t="array" ref="AH50">IF($AF50="","",_xlfn.TEXTJOIN("",TRUE,IF(Attendance!$CP$4:$FY$4="Rating",IFERROR(CHOOSE(ROUNDUP(Attendance!$CP20:$FY20/2,0),"▁","▃","▅","▆","█"),"·"),"")))</f>
        <v>······················</v>
      </c>
      <c r="AI50" s="165" t="str">
        <f ca="1">IF($AF50="","",IFERROR(AVERAGE(OFFSET(Attendance!$A$1,19,5+(1-1)*4),OFFSET(Attendance!$A$1,19,7+(1-1)*4)),""))</f>
        <v/>
      </c>
      <c r="AJ50" s="165" t="str">
        <f ca="1">IF($AF50="","",IFERROR(AVERAGE(OFFSET(Attendance!$A$1,19,5+(2-1)*4),OFFSET(Attendance!$A$1,19,7+(2-1)*4)),""))</f>
        <v/>
      </c>
      <c r="AK50" s="165" t="str">
        <f ca="1">IF($AF50="","",IFERROR(AVERAGE(OFFSET(Attendance!$A$1,19,5+(3-1)*4),OFFSET(Attendance!$A$1,19,7+(3-1)*4)),""))</f>
        <v/>
      </c>
      <c r="AL50" s="165" t="str">
        <f ca="1">IF($AF50="","",IFERROR(AVERAGE(OFFSET(Attendance!$A$1,19,5+(4-1)*4),OFFSET(Attendance!$A$1,19,7+(4-1)*4)),""))</f>
        <v/>
      </c>
      <c r="AM50" s="165" t="str">
        <f ca="1">IF($AF50="","",IFERROR(AVERAGE(OFFSET(Attendance!$A$1,19,5+(5-1)*4),OFFSET(Attendance!$A$1,19,7+(5-1)*4)),""))</f>
        <v/>
      </c>
      <c r="AN50" s="165" t="str">
        <f ca="1">IF($AF50="","",IFERROR(AVERAGE(OFFSET(Attendance!$A$1,19,5+(6-1)*4),OFFSET(Attendance!$A$1,19,7+(6-1)*4)),""))</f>
        <v/>
      </c>
      <c r="AO50" s="165" t="str">
        <f ca="1">IF($AF50="","",IFERROR(AVERAGE(OFFSET(Attendance!$A$1,19,5+(7-1)*4),OFFSET(Attendance!$A$1,19,7+(7-1)*4)),""))</f>
        <v/>
      </c>
      <c r="AP50" s="165" t="str">
        <f ca="1">IF($AF50="","",IFERROR(AVERAGE(OFFSET(Attendance!$A$1,19,5+(8-1)*4),OFFSET(Attendance!$A$1,19,7+(8-1)*4)),""))</f>
        <v/>
      </c>
      <c r="AQ50" s="165" t="str">
        <f ca="1">IF($AF50="","",IFERROR(AVERAGE(OFFSET(Attendance!$A$1,19,5+(9-1)*4),OFFSET(Attendance!$A$1,19,7+(9-1)*4)),""))</f>
        <v/>
      </c>
      <c r="AR50" s="165" t="str">
        <f ca="1">IF($AF50="","",IFERROR(AVERAGE(OFFSET(Attendance!$A$1,19,5+(10-1)*4),OFFSET(Attendance!$A$1,19,7+(10-1)*4)),""))</f>
        <v/>
      </c>
      <c r="AS50" s="165" t="str">
        <f ca="1">IF($AF50="","",IFERROR(AVERAGE(OFFSET(Attendance!$A$1,19,5+(11-1)*4),OFFSET(Attendance!$A$1,19,7+(11-1)*4)),""))</f>
        <v/>
      </c>
      <c r="AT50" s="165" t="str">
        <f ca="1">IF($AF50="","",IFERROR(AVERAGE(OFFSET(Attendance!$A$1,19,5+(12-1)*4),OFFSET(Attendance!$A$1,19,7+(12-1)*4)),""))</f>
        <v/>
      </c>
      <c r="AU50" s="165" t="str">
        <f ca="1">IF($AF50="","",IFERROR(AVERAGE(OFFSET(Attendance!$A$1,19,5+(13-1)*4),OFFSET(Attendance!$A$1,19,7+(13-1)*4)),""))</f>
        <v/>
      </c>
      <c r="AV50" s="165" t="str">
        <f ca="1">IF($AF50="","",IFERROR(AVERAGE(OFFSET(Attendance!$A$1,19,5+(14-1)*4),OFFSET(Attendance!$A$1,19,7+(14-1)*4)),""))</f>
        <v/>
      </c>
      <c r="AW50" s="165" t="str">
        <f ca="1">IF($AF50="","",IFERROR(AVERAGE(OFFSET(Attendance!$A$1,19,5+(15-1)*4),OFFSET(Attendance!$A$1,19,7+(15-1)*4)),""))</f>
        <v/>
      </c>
      <c r="AX50" s="165" t="str">
        <f ca="1">IF($AF50="","",IFERROR(AVERAGE(OFFSET(Attendance!$A$1,19,5+(16-1)*4),OFFSET(Attendance!$A$1,19,7+(16-1)*4)),""))</f>
        <v/>
      </c>
      <c r="AY50" s="165" t="str">
        <f ca="1">IF($AF50="","",IFERROR(AVERAGE(OFFSET(Attendance!$A$1,19,5+(17-1)*4),OFFSET(Attendance!$A$1,19,7+(17-1)*4)),""))</f>
        <v/>
      </c>
      <c r="AZ50" s="165" t="str">
        <f ca="1">IF($AF50="","",IFERROR(AVERAGE(OFFSET(Attendance!$A$1,19,5+(18-1)*4),OFFSET(Attendance!$A$1,19,7+(18-1)*4)),""))</f>
        <v/>
      </c>
      <c r="BA50" s="165" t="str">
        <f ca="1">IF($AF50="","",IFERROR(AVERAGE(OFFSET(Attendance!$A$1,19,5+(19-1)*4),OFFSET(Attendance!$A$1,19,7+(19-1)*4)),""))</f>
        <v/>
      </c>
      <c r="BB50" s="165" t="str">
        <f ca="1">IF($AF50="","",IFERROR(AVERAGE(OFFSET(Attendance!$A$1,19,5+(20-1)*4),OFFSET(Attendance!$A$1,19,7+(20-1)*4)),""))</f>
        <v/>
      </c>
      <c r="BC50" s="165" t="str">
        <f ca="1">IF($AF50="","",IFERROR(AVERAGE(OFFSET(Attendance!$A$1,19,5+(21-1)*4),OFFSET(Attendance!$A$1,19,7+(21-1)*4)),""))</f>
        <v/>
      </c>
      <c r="BD50" s="165" t="str">
        <f ca="1">IF($AF50="","",IFERROR(AVERAGE(OFFSET(Attendance!$A$1,19,5+(22-1)*4),OFFSET(Attendance!$A$1,19,7+(22-1)*4)),""))</f>
        <v/>
      </c>
      <c r="BE50" s="166" t="str">
        <f>IF($AF50="","",IFERROR(Workings!$D21,""))</f>
        <v/>
      </c>
      <c r="BF50" s="167" t="str">
        <f>IF($AF50="","",IFERROR(Workings!$E21,""))</f>
        <v/>
      </c>
      <c r="BG50" s="167" t="str">
        <f>IF($AF50="","",IFERROR(Workings!$G21,""))</f>
        <v/>
      </c>
      <c r="BH50" s="168">
        <f>IF($AF50="","",IFERROR(Workings!$H21,""))</f>
        <v>0</v>
      </c>
    </row>
    <row r="51" spans="2:60" x14ac:dyDescent="0.45">
      <c r="AF51" s="152" t="str">
        <f>IF(Attendance!$D21="","",Attendance!$D21)</f>
        <v>Marianna</v>
      </c>
      <c r="AG51" s="164" t="str" cm="1">
        <f t="array" ref="AG51">IF($AF51="","",_xlfn.TEXTJOIN("",TRUE,IF(Attendance!$E$4:$CN$4="WR",IFERROR(CHOOSE(Attendance!$E21:$CN21,"▁","▃","▅","▆","█"),"·"),"")))</f>
        <v>············································</v>
      </c>
      <c r="AH51" s="164" t="str" cm="1">
        <f t="array" ref="AH51">IF($AF51="","",_xlfn.TEXTJOIN("",TRUE,IF(Attendance!$CP$4:$FY$4="Rating",IFERROR(CHOOSE(ROUNDUP(Attendance!$CP21:$FY21/2,0),"▁","▃","▅","▆","█"),"·"),"")))</f>
        <v>······················</v>
      </c>
      <c r="AI51" s="165" t="str">
        <f ca="1">IF($AF51="","",IFERROR(AVERAGE(OFFSET(Attendance!$A$1,20,5+(1-1)*4),OFFSET(Attendance!$A$1,20,7+(1-1)*4)),""))</f>
        <v/>
      </c>
      <c r="AJ51" s="165" t="str">
        <f ca="1">IF($AF51="","",IFERROR(AVERAGE(OFFSET(Attendance!$A$1,20,5+(2-1)*4),OFFSET(Attendance!$A$1,20,7+(2-1)*4)),""))</f>
        <v/>
      </c>
      <c r="AK51" s="165" t="str">
        <f ca="1">IF($AF51="","",IFERROR(AVERAGE(OFFSET(Attendance!$A$1,20,5+(3-1)*4),OFFSET(Attendance!$A$1,20,7+(3-1)*4)),""))</f>
        <v/>
      </c>
      <c r="AL51" s="165" t="str">
        <f ca="1">IF($AF51="","",IFERROR(AVERAGE(OFFSET(Attendance!$A$1,20,5+(4-1)*4),OFFSET(Attendance!$A$1,20,7+(4-1)*4)),""))</f>
        <v/>
      </c>
      <c r="AM51" s="165" t="str">
        <f ca="1">IF($AF51="","",IFERROR(AVERAGE(OFFSET(Attendance!$A$1,20,5+(5-1)*4),OFFSET(Attendance!$A$1,20,7+(5-1)*4)),""))</f>
        <v/>
      </c>
      <c r="AN51" s="165" t="str">
        <f ca="1">IF($AF51="","",IFERROR(AVERAGE(OFFSET(Attendance!$A$1,20,5+(6-1)*4),OFFSET(Attendance!$A$1,20,7+(6-1)*4)),""))</f>
        <v/>
      </c>
      <c r="AO51" s="165" t="str">
        <f ca="1">IF($AF51="","",IFERROR(AVERAGE(OFFSET(Attendance!$A$1,20,5+(7-1)*4),OFFSET(Attendance!$A$1,20,7+(7-1)*4)),""))</f>
        <v/>
      </c>
      <c r="AP51" s="165" t="str">
        <f ca="1">IF($AF51="","",IFERROR(AVERAGE(OFFSET(Attendance!$A$1,20,5+(8-1)*4),OFFSET(Attendance!$A$1,20,7+(8-1)*4)),""))</f>
        <v/>
      </c>
      <c r="AQ51" s="165" t="str">
        <f ca="1">IF($AF51="","",IFERROR(AVERAGE(OFFSET(Attendance!$A$1,20,5+(9-1)*4),OFFSET(Attendance!$A$1,20,7+(9-1)*4)),""))</f>
        <v/>
      </c>
      <c r="AR51" s="165" t="str">
        <f ca="1">IF($AF51="","",IFERROR(AVERAGE(OFFSET(Attendance!$A$1,20,5+(10-1)*4),OFFSET(Attendance!$A$1,20,7+(10-1)*4)),""))</f>
        <v/>
      </c>
      <c r="AS51" s="165" t="str">
        <f ca="1">IF($AF51="","",IFERROR(AVERAGE(OFFSET(Attendance!$A$1,20,5+(11-1)*4),OFFSET(Attendance!$A$1,20,7+(11-1)*4)),""))</f>
        <v/>
      </c>
      <c r="AT51" s="165" t="str">
        <f ca="1">IF($AF51="","",IFERROR(AVERAGE(OFFSET(Attendance!$A$1,20,5+(12-1)*4),OFFSET(Attendance!$A$1,20,7+(12-1)*4)),""))</f>
        <v/>
      </c>
      <c r="AU51" s="165" t="str">
        <f ca="1">IF($AF51="","",IFERROR(AVERAGE(OFFSET(Attendance!$A$1,20,5+(13-1)*4),OFFSET(Attendance!$A$1,20,7+(13-1)*4)),""))</f>
        <v/>
      </c>
      <c r="AV51" s="165" t="str">
        <f ca="1">IF($AF51="","",IFERROR(AVERAGE(OFFSET(Attendance!$A$1,20,5+(14-1)*4),OFFSET(Attendance!$A$1,20,7+(14-1)*4)),""))</f>
        <v/>
      </c>
      <c r="AW51" s="165" t="str">
        <f ca="1">IF($AF51="","",IFERROR(AVERAGE(OFFSET(Attendance!$A$1,20,5+(15-1)*4),OFFSET(Attendance!$A$1,20,7+(15-1)*4)),""))</f>
        <v/>
      </c>
      <c r="AX51" s="165" t="str">
        <f ca="1">IF($AF51="","",IFERROR(AVERAGE(OFFSET(Attendance!$A$1,20,5+(16-1)*4),OFFSET(Attendance!$A$1,20,7+(16-1)*4)),""))</f>
        <v/>
      </c>
      <c r="AY51" s="165" t="str">
        <f ca="1">IF($AF51="","",IFERROR(AVERAGE(OFFSET(Attendance!$A$1,20,5+(17-1)*4),OFFSET(Attendance!$A$1,20,7+(17-1)*4)),""))</f>
        <v/>
      </c>
      <c r="AZ51" s="165" t="str">
        <f ca="1">IF($AF51="","",IFERROR(AVERAGE(OFFSET(Attendance!$A$1,20,5+(18-1)*4),OFFSET(Attendance!$A$1,20,7+(18-1)*4)),""))</f>
        <v/>
      </c>
      <c r="BA51" s="165" t="str">
        <f ca="1">IF($AF51="","",IFERROR(AVERAGE(OFFSET(Attendance!$A$1,20,5+(19-1)*4),OFFSET(Attendance!$A$1,20,7+(19-1)*4)),""))</f>
        <v/>
      </c>
      <c r="BB51" s="165" t="str">
        <f ca="1">IF($AF51="","",IFERROR(AVERAGE(OFFSET(Attendance!$A$1,20,5+(20-1)*4),OFFSET(Attendance!$A$1,20,7+(20-1)*4)),""))</f>
        <v/>
      </c>
      <c r="BC51" s="165" t="str">
        <f ca="1">IF($AF51="","",IFERROR(AVERAGE(OFFSET(Attendance!$A$1,20,5+(21-1)*4),OFFSET(Attendance!$A$1,20,7+(21-1)*4)),""))</f>
        <v/>
      </c>
      <c r="BD51" s="165" t="str">
        <f ca="1">IF($AF51="","",IFERROR(AVERAGE(OFFSET(Attendance!$A$1,20,5+(22-1)*4),OFFSET(Attendance!$A$1,20,7+(22-1)*4)),""))</f>
        <v/>
      </c>
      <c r="BE51" s="166" t="str">
        <f>IF($AF51="","",IFERROR(Workings!$D22,""))</f>
        <v/>
      </c>
      <c r="BF51" s="167" t="str">
        <f>IF($AF51="","",IFERROR(Workings!$E22,""))</f>
        <v/>
      </c>
      <c r="BG51" s="167" t="str">
        <f>IF($AF51="","",IFERROR(Workings!$G22,""))</f>
        <v/>
      </c>
      <c r="BH51" s="168">
        <f>IF($AF51="","",IFERROR(Workings!$H22,""))</f>
        <v>0</v>
      </c>
    </row>
    <row r="52" spans="2:60" x14ac:dyDescent="0.45">
      <c r="AF52" s="152" t="str">
        <f>IF(Attendance!$D22="","",Attendance!$D22)</f>
        <v/>
      </c>
      <c r="AG52" s="164" t="str" cm="1">
        <f t="array" ref="AG52">IF($AF52="","",_xlfn.TEXTJOIN("",TRUE,IF(Attendance!$E$4:$CN$4="WR",IFERROR(CHOOSE(Attendance!$E22:$CN22,"▁","▃","▅","▆","█"),"·"),"")))</f>
        <v/>
      </c>
      <c r="AH52" s="164" t="str" cm="1">
        <f t="array" ref="AH52">IF($AF52="","",_xlfn.TEXTJOIN("",TRUE,IF(Attendance!$CP$4:$FY$4="Rating",IFERROR(CHOOSE(ROUNDUP(Attendance!$CP22:$FY22/2,0),"▁","▃","▅","▆","█"),"·"),"")))</f>
        <v/>
      </c>
      <c r="AI52" s="165" t="str">
        <f ca="1">IF($AF52="","",IFERROR(AVERAGE(OFFSET(Attendance!$A$1,21,5+(1-1)*4),OFFSET(Attendance!$A$1,21,7+(1-1)*4)),""))</f>
        <v/>
      </c>
      <c r="AJ52" s="165" t="str">
        <f ca="1">IF($AF52="","",IFERROR(AVERAGE(OFFSET(Attendance!$A$1,21,5+(2-1)*4),OFFSET(Attendance!$A$1,21,7+(2-1)*4)),""))</f>
        <v/>
      </c>
      <c r="AK52" s="165" t="str">
        <f ca="1">IF($AF52="","",IFERROR(AVERAGE(OFFSET(Attendance!$A$1,21,5+(3-1)*4),OFFSET(Attendance!$A$1,21,7+(3-1)*4)),""))</f>
        <v/>
      </c>
      <c r="AL52" s="165" t="str">
        <f ca="1">IF($AF52="","",IFERROR(AVERAGE(OFFSET(Attendance!$A$1,21,5+(4-1)*4),OFFSET(Attendance!$A$1,21,7+(4-1)*4)),""))</f>
        <v/>
      </c>
      <c r="AM52" s="165" t="str">
        <f ca="1">IF($AF52="","",IFERROR(AVERAGE(OFFSET(Attendance!$A$1,21,5+(5-1)*4),OFFSET(Attendance!$A$1,21,7+(5-1)*4)),""))</f>
        <v/>
      </c>
      <c r="AN52" s="165" t="str">
        <f ca="1">IF($AF52="","",IFERROR(AVERAGE(OFFSET(Attendance!$A$1,21,5+(6-1)*4),OFFSET(Attendance!$A$1,21,7+(6-1)*4)),""))</f>
        <v/>
      </c>
      <c r="AO52" s="165" t="str">
        <f ca="1">IF($AF52="","",IFERROR(AVERAGE(OFFSET(Attendance!$A$1,21,5+(7-1)*4),OFFSET(Attendance!$A$1,21,7+(7-1)*4)),""))</f>
        <v/>
      </c>
      <c r="AP52" s="165" t="str">
        <f ca="1">IF($AF52="","",IFERROR(AVERAGE(OFFSET(Attendance!$A$1,21,5+(8-1)*4),OFFSET(Attendance!$A$1,21,7+(8-1)*4)),""))</f>
        <v/>
      </c>
      <c r="AQ52" s="165" t="str">
        <f ca="1">IF($AF52="","",IFERROR(AVERAGE(OFFSET(Attendance!$A$1,21,5+(9-1)*4),OFFSET(Attendance!$A$1,21,7+(9-1)*4)),""))</f>
        <v/>
      </c>
      <c r="AR52" s="165" t="str">
        <f ca="1">IF($AF52="","",IFERROR(AVERAGE(OFFSET(Attendance!$A$1,21,5+(10-1)*4),OFFSET(Attendance!$A$1,21,7+(10-1)*4)),""))</f>
        <v/>
      </c>
      <c r="AS52" s="165" t="str">
        <f ca="1">IF($AF52="","",IFERROR(AVERAGE(OFFSET(Attendance!$A$1,21,5+(11-1)*4),OFFSET(Attendance!$A$1,21,7+(11-1)*4)),""))</f>
        <v/>
      </c>
      <c r="AT52" s="165" t="str">
        <f ca="1">IF($AF52="","",IFERROR(AVERAGE(OFFSET(Attendance!$A$1,21,5+(12-1)*4),OFFSET(Attendance!$A$1,21,7+(12-1)*4)),""))</f>
        <v/>
      </c>
      <c r="AU52" s="165" t="str">
        <f ca="1">IF($AF52="","",IFERROR(AVERAGE(OFFSET(Attendance!$A$1,21,5+(13-1)*4),OFFSET(Attendance!$A$1,21,7+(13-1)*4)),""))</f>
        <v/>
      </c>
      <c r="AV52" s="165" t="str">
        <f ca="1">IF($AF52="","",IFERROR(AVERAGE(OFFSET(Attendance!$A$1,21,5+(14-1)*4),OFFSET(Attendance!$A$1,21,7+(14-1)*4)),""))</f>
        <v/>
      </c>
      <c r="AW52" s="165" t="str">
        <f ca="1">IF($AF52="","",IFERROR(AVERAGE(OFFSET(Attendance!$A$1,21,5+(15-1)*4),OFFSET(Attendance!$A$1,21,7+(15-1)*4)),""))</f>
        <v/>
      </c>
      <c r="AX52" s="165" t="str">
        <f ca="1">IF($AF52="","",IFERROR(AVERAGE(OFFSET(Attendance!$A$1,21,5+(16-1)*4),OFFSET(Attendance!$A$1,21,7+(16-1)*4)),""))</f>
        <v/>
      </c>
      <c r="AY52" s="165" t="str">
        <f ca="1">IF($AF52="","",IFERROR(AVERAGE(OFFSET(Attendance!$A$1,21,5+(17-1)*4),OFFSET(Attendance!$A$1,21,7+(17-1)*4)),""))</f>
        <v/>
      </c>
      <c r="AZ52" s="165" t="str">
        <f ca="1">IF($AF52="","",IFERROR(AVERAGE(OFFSET(Attendance!$A$1,21,5+(18-1)*4),OFFSET(Attendance!$A$1,21,7+(18-1)*4)),""))</f>
        <v/>
      </c>
      <c r="BA52" s="165" t="str">
        <f ca="1">IF($AF52="","",IFERROR(AVERAGE(OFFSET(Attendance!$A$1,21,5+(19-1)*4),OFFSET(Attendance!$A$1,21,7+(19-1)*4)),""))</f>
        <v/>
      </c>
      <c r="BB52" s="165" t="str">
        <f ca="1">IF($AF52="","",IFERROR(AVERAGE(OFFSET(Attendance!$A$1,21,5+(20-1)*4),OFFSET(Attendance!$A$1,21,7+(20-1)*4)),""))</f>
        <v/>
      </c>
      <c r="BC52" s="165" t="str">
        <f ca="1">IF($AF52="","",IFERROR(AVERAGE(OFFSET(Attendance!$A$1,21,5+(21-1)*4),OFFSET(Attendance!$A$1,21,7+(21-1)*4)),""))</f>
        <v/>
      </c>
      <c r="BD52" s="165" t="str">
        <f ca="1">IF($AF52="","",IFERROR(AVERAGE(OFFSET(Attendance!$A$1,21,5+(22-1)*4),OFFSET(Attendance!$A$1,21,7+(22-1)*4)),""))</f>
        <v/>
      </c>
      <c r="BE52" s="166" t="str">
        <f>IF($AF52="","",IFERROR(Workings!$D23,""))</f>
        <v/>
      </c>
      <c r="BF52" s="167" t="str">
        <f>IF($AF52="","",IFERROR(Workings!$E23,""))</f>
        <v/>
      </c>
      <c r="BG52" s="167" t="str">
        <f>IF($AF52="","",IFERROR(Workings!$G23,""))</f>
        <v/>
      </c>
      <c r="BH52" s="168" t="str">
        <f>IF($AF52="","",IFERROR(Workings!$H23,""))</f>
        <v/>
      </c>
    </row>
    <row r="53" spans="2:60" x14ac:dyDescent="0.45">
      <c r="AF53" s="152" t="str">
        <f>IF(Attendance!$D23="","",Attendance!$D23)</f>
        <v/>
      </c>
      <c r="AG53" s="164" t="str" cm="1">
        <f t="array" ref="AG53">IF($AF53="","",_xlfn.TEXTJOIN("",TRUE,IF(Attendance!$E$4:$CN$4="WR",IFERROR(CHOOSE(Attendance!$E23:$CN23,"▁","▃","▅","▆","█"),"·"),"")))</f>
        <v/>
      </c>
      <c r="AH53" s="164" t="str" cm="1">
        <f t="array" ref="AH53">IF($AF53="","",_xlfn.TEXTJOIN("",TRUE,IF(Attendance!$CP$4:$FY$4="Rating",IFERROR(CHOOSE(ROUNDUP(Attendance!$CP23:$FY23/2,0),"▁","▃","▅","▆","█"),"·"),"")))</f>
        <v/>
      </c>
      <c r="AI53" s="165" t="str">
        <f ca="1">IF($AF53="","",IFERROR(AVERAGE(OFFSET(Attendance!$A$1,22,5+(1-1)*4),OFFSET(Attendance!$A$1,22,7+(1-1)*4)),""))</f>
        <v/>
      </c>
      <c r="AJ53" s="165" t="str">
        <f ca="1">IF($AF53="","",IFERROR(AVERAGE(OFFSET(Attendance!$A$1,22,5+(2-1)*4),OFFSET(Attendance!$A$1,22,7+(2-1)*4)),""))</f>
        <v/>
      </c>
      <c r="AK53" s="165" t="str">
        <f ca="1">IF($AF53="","",IFERROR(AVERAGE(OFFSET(Attendance!$A$1,22,5+(3-1)*4),OFFSET(Attendance!$A$1,22,7+(3-1)*4)),""))</f>
        <v/>
      </c>
      <c r="AL53" s="165" t="str">
        <f ca="1">IF($AF53="","",IFERROR(AVERAGE(OFFSET(Attendance!$A$1,22,5+(4-1)*4),OFFSET(Attendance!$A$1,22,7+(4-1)*4)),""))</f>
        <v/>
      </c>
      <c r="AM53" s="165" t="str">
        <f ca="1">IF($AF53="","",IFERROR(AVERAGE(OFFSET(Attendance!$A$1,22,5+(5-1)*4),OFFSET(Attendance!$A$1,22,7+(5-1)*4)),""))</f>
        <v/>
      </c>
      <c r="AN53" s="165" t="str">
        <f ca="1">IF($AF53="","",IFERROR(AVERAGE(OFFSET(Attendance!$A$1,22,5+(6-1)*4),OFFSET(Attendance!$A$1,22,7+(6-1)*4)),""))</f>
        <v/>
      </c>
      <c r="AO53" s="165" t="str">
        <f ca="1">IF($AF53="","",IFERROR(AVERAGE(OFFSET(Attendance!$A$1,22,5+(7-1)*4),OFFSET(Attendance!$A$1,22,7+(7-1)*4)),""))</f>
        <v/>
      </c>
      <c r="AP53" s="165" t="str">
        <f ca="1">IF($AF53="","",IFERROR(AVERAGE(OFFSET(Attendance!$A$1,22,5+(8-1)*4),OFFSET(Attendance!$A$1,22,7+(8-1)*4)),""))</f>
        <v/>
      </c>
      <c r="AQ53" s="165" t="str">
        <f ca="1">IF($AF53="","",IFERROR(AVERAGE(OFFSET(Attendance!$A$1,22,5+(9-1)*4),OFFSET(Attendance!$A$1,22,7+(9-1)*4)),""))</f>
        <v/>
      </c>
      <c r="AR53" s="165" t="str">
        <f ca="1">IF($AF53="","",IFERROR(AVERAGE(OFFSET(Attendance!$A$1,22,5+(10-1)*4),OFFSET(Attendance!$A$1,22,7+(10-1)*4)),""))</f>
        <v/>
      </c>
      <c r="AS53" s="165" t="str">
        <f ca="1">IF($AF53="","",IFERROR(AVERAGE(OFFSET(Attendance!$A$1,22,5+(11-1)*4),OFFSET(Attendance!$A$1,22,7+(11-1)*4)),""))</f>
        <v/>
      </c>
      <c r="AT53" s="165" t="str">
        <f ca="1">IF($AF53="","",IFERROR(AVERAGE(OFFSET(Attendance!$A$1,22,5+(12-1)*4),OFFSET(Attendance!$A$1,22,7+(12-1)*4)),""))</f>
        <v/>
      </c>
      <c r="AU53" s="165" t="str">
        <f ca="1">IF($AF53="","",IFERROR(AVERAGE(OFFSET(Attendance!$A$1,22,5+(13-1)*4),OFFSET(Attendance!$A$1,22,7+(13-1)*4)),""))</f>
        <v/>
      </c>
      <c r="AV53" s="165" t="str">
        <f ca="1">IF($AF53="","",IFERROR(AVERAGE(OFFSET(Attendance!$A$1,22,5+(14-1)*4),OFFSET(Attendance!$A$1,22,7+(14-1)*4)),""))</f>
        <v/>
      </c>
      <c r="AW53" s="165" t="str">
        <f ca="1">IF($AF53="","",IFERROR(AVERAGE(OFFSET(Attendance!$A$1,22,5+(15-1)*4),OFFSET(Attendance!$A$1,22,7+(15-1)*4)),""))</f>
        <v/>
      </c>
      <c r="AX53" s="165" t="str">
        <f ca="1">IF($AF53="","",IFERROR(AVERAGE(OFFSET(Attendance!$A$1,22,5+(16-1)*4),OFFSET(Attendance!$A$1,22,7+(16-1)*4)),""))</f>
        <v/>
      </c>
      <c r="AY53" s="165" t="str">
        <f ca="1">IF($AF53="","",IFERROR(AVERAGE(OFFSET(Attendance!$A$1,22,5+(17-1)*4),OFFSET(Attendance!$A$1,22,7+(17-1)*4)),""))</f>
        <v/>
      </c>
      <c r="AZ53" s="165" t="str">
        <f ca="1">IF($AF53="","",IFERROR(AVERAGE(OFFSET(Attendance!$A$1,22,5+(18-1)*4),OFFSET(Attendance!$A$1,22,7+(18-1)*4)),""))</f>
        <v/>
      </c>
      <c r="BA53" s="165" t="str">
        <f ca="1">IF($AF53="","",IFERROR(AVERAGE(OFFSET(Attendance!$A$1,22,5+(19-1)*4),OFFSET(Attendance!$A$1,22,7+(19-1)*4)),""))</f>
        <v/>
      </c>
      <c r="BB53" s="165" t="str">
        <f ca="1">IF($AF53="","",IFERROR(AVERAGE(OFFSET(Attendance!$A$1,22,5+(20-1)*4),OFFSET(Attendance!$A$1,22,7+(20-1)*4)),""))</f>
        <v/>
      </c>
      <c r="BC53" s="165" t="str">
        <f ca="1">IF($AF53="","",IFERROR(AVERAGE(OFFSET(Attendance!$A$1,22,5+(21-1)*4),OFFSET(Attendance!$A$1,22,7+(21-1)*4)),""))</f>
        <v/>
      </c>
      <c r="BD53" s="165" t="str">
        <f ca="1">IF($AF53="","",IFERROR(AVERAGE(OFFSET(Attendance!$A$1,22,5+(22-1)*4),OFFSET(Attendance!$A$1,22,7+(22-1)*4)),""))</f>
        <v/>
      </c>
      <c r="BE53" s="166" t="str">
        <f>IF($AF53="","",IFERROR(Workings!$D24,""))</f>
        <v/>
      </c>
      <c r="BF53" s="167" t="str">
        <f>IF($AF53="","",IFERROR(Workings!$E24,""))</f>
        <v/>
      </c>
      <c r="BG53" s="167" t="str">
        <f>IF($AF53="","",IFERROR(Workings!$G24,""))</f>
        <v/>
      </c>
      <c r="BH53" s="168" t="str">
        <f>IF($AF53="","",IFERROR(Workings!$H24,""))</f>
        <v/>
      </c>
    </row>
    <row r="54" spans="2:60" x14ac:dyDescent="0.45">
      <c r="AF54" s="169" t="str">
        <f>IF(Attendance!$D24="","",Attendance!$D24)</f>
        <v/>
      </c>
      <c r="AG54" s="170" t="str" cm="1">
        <f t="array" ref="AG54">IF($AF54="","",_xlfn.TEXTJOIN("",TRUE,IF(Attendance!$E$4:$CN$4="WR",IFERROR(CHOOSE(Attendance!$E24:$CN24,"▁","▃","▅","▆","█"),"·"),"")))</f>
        <v/>
      </c>
      <c r="AH54" s="170" t="str" cm="1">
        <f t="array" ref="AH54">IF($AF54="","",_xlfn.TEXTJOIN("",TRUE,IF(Attendance!$CP$4:$FY$4="Rating",IFERROR(CHOOSE(ROUNDUP(Attendance!$CP24:$FY24/2,0),"▁","▃","▅","▆","█"),"·"),"")))</f>
        <v/>
      </c>
      <c r="AI54" s="171" t="str">
        <f ca="1">IF($AF54="","",IFERROR(AVERAGE(OFFSET(Attendance!$A$1,23,5+(1-1)*4),OFFSET(Attendance!$A$1,23,7+(1-1)*4)),""))</f>
        <v/>
      </c>
      <c r="AJ54" s="171" t="str">
        <f ca="1">IF($AF54="","",IFERROR(AVERAGE(OFFSET(Attendance!$A$1,23,5+(2-1)*4),OFFSET(Attendance!$A$1,23,7+(2-1)*4)),""))</f>
        <v/>
      </c>
      <c r="AK54" s="171" t="str">
        <f ca="1">IF($AF54="","",IFERROR(AVERAGE(OFFSET(Attendance!$A$1,23,5+(3-1)*4),OFFSET(Attendance!$A$1,23,7+(3-1)*4)),""))</f>
        <v/>
      </c>
      <c r="AL54" s="171" t="str">
        <f ca="1">IF($AF54="","",IFERROR(AVERAGE(OFFSET(Attendance!$A$1,23,5+(4-1)*4),OFFSET(Attendance!$A$1,23,7+(4-1)*4)),""))</f>
        <v/>
      </c>
      <c r="AM54" s="171" t="str">
        <f ca="1">IF($AF54="","",IFERROR(AVERAGE(OFFSET(Attendance!$A$1,23,5+(5-1)*4),OFFSET(Attendance!$A$1,23,7+(5-1)*4)),""))</f>
        <v/>
      </c>
      <c r="AN54" s="171" t="str">
        <f ca="1">IF($AF54="","",IFERROR(AVERAGE(OFFSET(Attendance!$A$1,23,5+(6-1)*4),OFFSET(Attendance!$A$1,23,7+(6-1)*4)),""))</f>
        <v/>
      </c>
      <c r="AO54" s="171" t="str">
        <f ca="1">IF($AF54="","",IFERROR(AVERAGE(OFFSET(Attendance!$A$1,23,5+(7-1)*4),OFFSET(Attendance!$A$1,23,7+(7-1)*4)),""))</f>
        <v/>
      </c>
      <c r="AP54" s="171" t="str">
        <f ca="1">IF($AF54="","",IFERROR(AVERAGE(OFFSET(Attendance!$A$1,23,5+(8-1)*4),OFFSET(Attendance!$A$1,23,7+(8-1)*4)),""))</f>
        <v/>
      </c>
      <c r="AQ54" s="171" t="str">
        <f ca="1">IF($AF54="","",IFERROR(AVERAGE(OFFSET(Attendance!$A$1,23,5+(9-1)*4),OFFSET(Attendance!$A$1,23,7+(9-1)*4)),""))</f>
        <v/>
      </c>
      <c r="AR54" s="171" t="str">
        <f ca="1">IF($AF54="","",IFERROR(AVERAGE(OFFSET(Attendance!$A$1,23,5+(10-1)*4),OFFSET(Attendance!$A$1,23,7+(10-1)*4)),""))</f>
        <v/>
      </c>
      <c r="AS54" s="171" t="str">
        <f ca="1">IF($AF54="","",IFERROR(AVERAGE(OFFSET(Attendance!$A$1,23,5+(11-1)*4),OFFSET(Attendance!$A$1,23,7+(11-1)*4)),""))</f>
        <v/>
      </c>
      <c r="AT54" s="171" t="str">
        <f ca="1">IF($AF54="","",IFERROR(AVERAGE(OFFSET(Attendance!$A$1,23,5+(12-1)*4),OFFSET(Attendance!$A$1,23,7+(12-1)*4)),""))</f>
        <v/>
      </c>
      <c r="AU54" s="171" t="str">
        <f ca="1">IF($AF54="","",IFERROR(AVERAGE(OFFSET(Attendance!$A$1,23,5+(13-1)*4),OFFSET(Attendance!$A$1,23,7+(13-1)*4)),""))</f>
        <v/>
      </c>
      <c r="AV54" s="171" t="str">
        <f ca="1">IF($AF54="","",IFERROR(AVERAGE(OFFSET(Attendance!$A$1,23,5+(14-1)*4),OFFSET(Attendance!$A$1,23,7+(14-1)*4)),""))</f>
        <v/>
      </c>
      <c r="AW54" s="171" t="str">
        <f ca="1">IF($AF54="","",IFERROR(AVERAGE(OFFSET(Attendance!$A$1,23,5+(15-1)*4),OFFSET(Attendance!$A$1,23,7+(15-1)*4)),""))</f>
        <v/>
      </c>
      <c r="AX54" s="171" t="str">
        <f ca="1">IF($AF54="","",IFERROR(AVERAGE(OFFSET(Attendance!$A$1,23,5+(16-1)*4),OFFSET(Attendance!$A$1,23,7+(16-1)*4)),""))</f>
        <v/>
      </c>
      <c r="AY54" s="171" t="str">
        <f ca="1">IF($AF54="","",IFERROR(AVERAGE(OFFSET(Attendance!$A$1,23,5+(17-1)*4),OFFSET(Attendance!$A$1,23,7+(17-1)*4)),""))</f>
        <v/>
      </c>
      <c r="AZ54" s="171" t="str">
        <f ca="1">IF($AF54="","",IFERROR(AVERAGE(OFFSET(Attendance!$A$1,23,5+(18-1)*4),OFFSET(Attendance!$A$1,23,7+(18-1)*4)),""))</f>
        <v/>
      </c>
      <c r="BA54" s="171" t="str">
        <f ca="1">IF($AF54="","",IFERROR(AVERAGE(OFFSET(Attendance!$A$1,23,5+(19-1)*4),OFFSET(Attendance!$A$1,23,7+(19-1)*4)),""))</f>
        <v/>
      </c>
      <c r="BB54" s="171" t="str">
        <f ca="1">IF($AF54="","",IFERROR(AVERAGE(OFFSET(Attendance!$A$1,23,5+(20-1)*4),OFFSET(Attendance!$A$1,23,7+(20-1)*4)),""))</f>
        <v/>
      </c>
      <c r="BC54" s="171" t="str">
        <f ca="1">IF($AF54="","",IFERROR(AVERAGE(OFFSET(Attendance!$A$1,23,5+(21-1)*4),OFFSET(Attendance!$A$1,23,7+(21-1)*4)),""))</f>
        <v/>
      </c>
      <c r="BD54" s="171" t="str">
        <f ca="1">IF($AF54="","",IFERROR(AVERAGE(OFFSET(Attendance!$A$1,23,5+(22-1)*4),OFFSET(Attendance!$A$1,23,7+(22-1)*4)),""))</f>
        <v/>
      </c>
      <c r="BE54" s="172" t="str">
        <f>IF($AF54="","",IFERROR(Workings!$D25,""))</f>
        <v/>
      </c>
      <c r="BF54" s="173" t="str">
        <f>IF($AF54="","",IFERROR(Workings!$E25,""))</f>
        <v/>
      </c>
      <c r="BG54" s="173" t="str">
        <f>IF($AF54="","",IFERROR(Workings!$G25,""))</f>
        <v/>
      </c>
      <c r="BH54" s="174" t="str">
        <f>IF($AF54="","",IFERROR(Workings!$H25,""))</f>
        <v/>
      </c>
    </row>
    <row r="58" spans="2:60" x14ac:dyDescent="0.45">
      <c r="B58" s="246" t="s">
        <v>239</v>
      </c>
      <c r="C58" s="246"/>
      <c r="D58" s="246"/>
      <c r="E58" s="246"/>
      <c r="F58" s="246"/>
      <c r="G58" s="246"/>
      <c r="H58" s="246"/>
      <c r="I58" s="246"/>
      <c r="J58" s="246"/>
      <c r="K58" s="246"/>
      <c r="L58" s="246"/>
      <c r="M58" s="246"/>
      <c r="N58" s="246"/>
      <c r="O58" s="246"/>
      <c r="P58" s="246"/>
    </row>
    <row r="59" spans="2:60" ht="35.65" customHeight="1" x14ac:dyDescent="0.45">
      <c r="B59" s="250" t="s">
        <v>240</v>
      </c>
      <c r="C59" s="251"/>
      <c r="D59" s="25" t="s">
        <v>49</v>
      </c>
      <c r="E59" s="27" t="s">
        <v>215</v>
      </c>
      <c r="F59" s="24" t="s">
        <v>4</v>
      </c>
      <c r="G59" s="25" t="s">
        <v>49</v>
      </c>
      <c r="H59" s="27" t="s">
        <v>240</v>
      </c>
    </row>
    <row r="60" spans="2:60" x14ac:dyDescent="0.45">
      <c r="B60" s="252" t="str">
        <f>Workings!$S6</f>
        <v>Critical</v>
      </c>
      <c r="C60" s="253"/>
      <c r="D60" s="119" t="str">
        <f>TEXT(Workings!$T6,"0.00")&amp;" – "&amp;TEXT(Workings!$U6,"0.00")</f>
        <v>0.00 – 1.50</v>
      </c>
      <c r="E60" s="175">
        <f>Workings!$V6</f>
        <v>0</v>
      </c>
      <c r="F60" s="178" t="str">
        <f>IF(Workings!$C6="","",Workings!$C6)</f>
        <v>Aoife Kennan</v>
      </c>
      <c r="G60" s="31" t="str">
        <f>IF($F60="","",IFERROR(Workings!$E6,""))</f>
        <v/>
      </c>
      <c r="H60" s="179" t="str">
        <f>IF($F60="","",Workings!$I6)</f>
        <v>Not graded</v>
      </c>
    </row>
    <row r="61" spans="2:60" x14ac:dyDescent="0.45">
      <c r="B61" s="254" t="str">
        <f>Workings!$S7</f>
        <v>Not Ready</v>
      </c>
      <c r="C61" s="255"/>
      <c r="D61" s="119" t="str">
        <f>TEXT(Workings!$T7,"0.00")&amp;" – "&amp;TEXT(Workings!$U7,"0.00")</f>
        <v>1.51 – 2.00</v>
      </c>
      <c r="E61" s="175">
        <f>Workings!$V7</f>
        <v>0</v>
      </c>
      <c r="F61" s="178" t="str">
        <f>IF(Workings!$C7="","",Workings!$C7)</f>
        <v>Stella McEvoy</v>
      </c>
      <c r="G61" s="31" t="str">
        <f>IF($F61="","",IFERROR(Workings!$E7,""))</f>
        <v/>
      </c>
      <c r="H61" s="179" t="str">
        <f>IF($F61="","",Workings!$I7)</f>
        <v>Not graded</v>
      </c>
    </row>
    <row r="62" spans="2:60" x14ac:dyDescent="0.45">
      <c r="B62" s="256" t="str">
        <f>Workings!$S8</f>
        <v>Improving</v>
      </c>
      <c r="C62" s="257"/>
      <c r="D62" s="119" t="str">
        <f>TEXT(Workings!$T8,"0.00")&amp;" – "&amp;TEXT(Workings!$U8,"0.00")</f>
        <v>2.01 – 2.50</v>
      </c>
      <c r="E62" s="175">
        <f>Workings!$V8</f>
        <v>0</v>
      </c>
      <c r="F62" s="178" t="str">
        <f>IF(Workings!$C8="","",Workings!$C8)</f>
        <v>Zara Power</v>
      </c>
      <c r="G62" s="31" t="str">
        <f>IF($F62="","",IFERROR(Workings!$E8,""))</f>
        <v/>
      </c>
      <c r="H62" s="179" t="str">
        <f>IF($F62="","",Workings!$I8)</f>
        <v>Not graded</v>
      </c>
    </row>
    <row r="63" spans="2:60" x14ac:dyDescent="0.45">
      <c r="B63" s="258" t="str">
        <f>Workings!$S9</f>
        <v>Nearly Ready</v>
      </c>
      <c r="C63" s="259"/>
      <c r="D63" s="119" t="str">
        <f>TEXT(Workings!$T9,"0.00")&amp;" – "&amp;TEXT(Workings!$U9,"0.00")</f>
        <v>2.51 – 3.00</v>
      </c>
      <c r="E63" s="175">
        <f>Workings!$V9</f>
        <v>0</v>
      </c>
      <c r="F63" s="178" t="str">
        <f>IF(Workings!$C9="","",Workings!$C9)</f>
        <v>Heidi Cerubini Dunne</v>
      </c>
      <c r="G63" s="31" t="str">
        <f>IF($F63="","",IFERROR(Workings!$E9,""))</f>
        <v/>
      </c>
      <c r="H63" s="179" t="str">
        <f>IF($F63="","",Workings!$I9)</f>
        <v>Not graded</v>
      </c>
    </row>
    <row r="64" spans="2:60" x14ac:dyDescent="0.45">
      <c r="B64" s="260" t="str">
        <f>Workings!$S10</f>
        <v>Not Ready for 90 min</v>
      </c>
      <c r="C64" s="261"/>
      <c r="D64" s="119" t="str">
        <f>TEXT(Workings!$T10,"0.00")&amp;" – "&amp;TEXT(Workings!$U10,"0.00")</f>
        <v>3.01 – 3.49</v>
      </c>
      <c r="E64" s="175">
        <f>Workings!$V10</f>
        <v>0</v>
      </c>
      <c r="F64" s="178" t="str">
        <f>IF(Workings!$C10="","",Workings!$C10)</f>
        <v>Roisin Offenhausen</v>
      </c>
      <c r="G64" s="31" t="str">
        <f>IF($F64="","",IFERROR(Workings!$E10,""))</f>
        <v/>
      </c>
      <c r="H64" s="179" t="str">
        <f>IF($F64="","",Workings!$I10)</f>
        <v>Not graded</v>
      </c>
    </row>
    <row r="65" spans="2:8" x14ac:dyDescent="0.45">
      <c r="B65" s="262" t="str">
        <f>Workings!$S11</f>
        <v>Match Ready</v>
      </c>
      <c r="C65" s="263"/>
      <c r="D65" s="119" t="str">
        <f>TEXT(Workings!$T11,"0.00")&amp;" – "&amp;TEXT(Workings!$U11,"0.00")</f>
        <v>3.50 – 5.00</v>
      </c>
      <c r="E65" s="175">
        <f>Workings!$V11</f>
        <v>0</v>
      </c>
      <c r="F65" s="178" t="str">
        <f>IF(Workings!$C11="","",Workings!$C11)</f>
        <v>Naomi Adewoyin</v>
      </c>
      <c r="G65" s="31" t="str">
        <f>IF($F65="","",IFERROR(Workings!$E11,""))</f>
        <v/>
      </c>
      <c r="H65" s="179" t="str">
        <f>IF($F65="","",Workings!$I11)</f>
        <v>Not graded</v>
      </c>
    </row>
    <row r="66" spans="2:8" x14ac:dyDescent="0.45">
      <c r="B66" s="264" t="s">
        <v>241</v>
      </c>
      <c r="C66" s="265"/>
      <c r="D66" s="176"/>
      <c r="E66" s="177">
        <f>SUM(E60:E65)</f>
        <v>0</v>
      </c>
      <c r="F66" s="178" t="str">
        <f>IF(Workings!$C12="","",Workings!$C12)</f>
        <v>Amber Kilalee</v>
      </c>
      <c r="G66" s="31" t="str">
        <f>IF($F66="","",IFERROR(Workings!$E12,""))</f>
        <v/>
      </c>
      <c r="H66" s="179" t="str">
        <f>IF($F66="","",Workings!$I12)</f>
        <v>Not graded</v>
      </c>
    </row>
    <row r="67" spans="2:8" x14ac:dyDescent="0.45">
      <c r="F67" s="178" t="str">
        <f>IF(Workings!$C13="","",Workings!$C13)</f>
        <v>Shauna Kavanagh</v>
      </c>
      <c r="G67" s="31" t="str">
        <f>IF($F67="","",IFERROR(Workings!$E13,""))</f>
        <v/>
      </c>
      <c r="H67" s="179" t="str">
        <f>IF($F67="","",Workings!$I13)</f>
        <v>Not graded</v>
      </c>
    </row>
    <row r="68" spans="2:8" x14ac:dyDescent="0.45">
      <c r="F68" s="178" t="str">
        <f>IF(Workings!$C14="","",Workings!$C14)</f>
        <v>Tara Brannigan</v>
      </c>
      <c r="G68" s="31" t="str">
        <f>IF($F68="","",IFERROR(Workings!$E14,""))</f>
        <v/>
      </c>
      <c r="H68" s="179" t="str">
        <f>IF($F68="","",Workings!$I14)</f>
        <v>Not graded</v>
      </c>
    </row>
    <row r="69" spans="2:8" x14ac:dyDescent="0.45">
      <c r="F69" s="178" t="str">
        <f>IF(Workings!$C15="","",Workings!$C15)</f>
        <v>Semilore Adesanya</v>
      </c>
      <c r="G69" s="31" t="str">
        <f>IF($F69="","",IFERROR(Workings!$E15,""))</f>
        <v/>
      </c>
      <c r="H69" s="179" t="str">
        <f>IF($F69="","",Workings!$I15)</f>
        <v>Not graded</v>
      </c>
    </row>
    <row r="70" spans="2:8" x14ac:dyDescent="0.45">
      <c r="F70" s="178" t="str">
        <f>IF(Workings!$C16="","",Workings!$C16)</f>
        <v>Hannah Fleming</v>
      </c>
      <c r="G70" s="31" t="str">
        <f>IF($F70="","",IFERROR(Workings!$E16,""))</f>
        <v/>
      </c>
      <c r="H70" s="179" t="str">
        <f>IF($F70="","",Workings!$I16)</f>
        <v>Not graded</v>
      </c>
    </row>
    <row r="71" spans="2:8" x14ac:dyDescent="0.45">
      <c r="F71" s="178" t="str">
        <f>IF(Workings!$C17="","",Workings!$C17)</f>
        <v>Emma Kelly</v>
      </c>
      <c r="G71" s="31" t="str">
        <f>IF($F71="","",IFERROR(Workings!$E17,""))</f>
        <v/>
      </c>
      <c r="H71" s="179" t="str">
        <f>IF($F71="","",Workings!$I17)</f>
        <v>Not graded</v>
      </c>
    </row>
    <row r="72" spans="2:8" x14ac:dyDescent="0.45">
      <c r="F72" s="178" t="str">
        <f>IF(Workings!$C18="","",Workings!$C18)</f>
        <v>Roma Memon</v>
      </c>
      <c r="G72" s="31" t="str">
        <f>IF($F72="","",IFERROR(Workings!$E18,""))</f>
        <v/>
      </c>
      <c r="H72" s="179" t="str">
        <f>IF($F72="","",Workings!$I18)</f>
        <v>Not graded</v>
      </c>
    </row>
    <row r="73" spans="2:8" x14ac:dyDescent="0.45">
      <c r="F73" s="178" t="str">
        <f>IF(Workings!$C19="","",Workings!$C19)</f>
        <v>Emma Dromgoole</v>
      </c>
      <c r="G73" s="31" t="str">
        <f>IF($F73="","",IFERROR(Workings!$E19,""))</f>
        <v/>
      </c>
      <c r="H73" s="179" t="str">
        <f>IF($F73="","",Workings!$I19)</f>
        <v>Not graded</v>
      </c>
    </row>
    <row r="74" spans="2:8" x14ac:dyDescent="0.45">
      <c r="F74" s="178" t="str">
        <f>IF(Workings!$C20="","",Workings!$C20)</f>
        <v>Elsie Morrison</v>
      </c>
      <c r="G74" s="31" t="str">
        <f>IF($F74="","",IFERROR(Workings!$E20,""))</f>
        <v/>
      </c>
      <c r="H74" s="179" t="str">
        <f>IF($F74="","",Workings!$I20)</f>
        <v>Not graded</v>
      </c>
    </row>
    <row r="75" spans="2:8" x14ac:dyDescent="0.45">
      <c r="F75" s="178" t="str">
        <f>IF(Workings!$C21="","",Workings!$C21)</f>
        <v>Zara Freeman</v>
      </c>
      <c r="G75" s="31" t="str">
        <f>IF($F75="","",IFERROR(Workings!$E21,""))</f>
        <v/>
      </c>
      <c r="H75" s="179" t="str">
        <f>IF($F75="","",Workings!$I21)</f>
        <v>Not graded</v>
      </c>
    </row>
    <row r="76" spans="2:8" x14ac:dyDescent="0.45">
      <c r="F76" s="178" t="str">
        <f>IF(Workings!$C22="","",Workings!$C22)</f>
        <v>Marianna</v>
      </c>
      <c r="G76" s="31" t="str">
        <f>IF($F76="","",IFERROR(Workings!$E22,""))</f>
        <v/>
      </c>
      <c r="H76" s="179" t="str">
        <f>IF($F76="","",Workings!$I22)</f>
        <v>Not graded</v>
      </c>
    </row>
    <row r="77" spans="2:8" x14ac:dyDescent="0.45">
      <c r="F77" s="178" t="str">
        <f>IF(Workings!$C23="","",Workings!$C23)</f>
        <v/>
      </c>
      <c r="G77" s="31" t="str">
        <f>IF($F77="","",IFERROR(Workings!$E23,""))</f>
        <v/>
      </c>
      <c r="H77" s="179" t="str">
        <f>IF($F77="","",Workings!$I23)</f>
        <v/>
      </c>
    </row>
    <row r="78" spans="2:8" x14ac:dyDescent="0.45">
      <c r="F78" s="178" t="str">
        <f>IF(Workings!$C24="","",Workings!$C24)</f>
        <v/>
      </c>
      <c r="G78" s="31" t="str">
        <f>IF($F78="","",IFERROR(Workings!$E24,""))</f>
        <v/>
      </c>
      <c r="H78" s="179" t="str">
        <f>IF($F78="","",Workings!$I24)</f>
        <v/>
      </c>
    </row>
    <row r="79" spans="2:8" x14ac:dyDescent="0.45">
      <c r="F79" s="180" t="str">
        <f>IF(Workings!$C25="","",Workings!$C25)</f>
        <v/>
      </c>
      <c r="G79" s="181" t="str">
        <f>IF($F79="","",IFERROR(Workings!$E25,""))</f>
        <v/>
      </c>
      <c r="H79" s="182" t="str">
        <f>IF($F79="","",Workings!$I25)</f>
        <v/>
      </c>
    </row>
    <row r="84" spans="2:16" x14ac:dyDescent="0.45">
      <c r="B84" s="246" t="s">
        <v>242</v>
      </c>
      <c r="C84" s="246"/>
      <c r="D84" s="246"/>
      <c r="E84" s="246"/>
      <c r="F84" s="246"/>
      <c r="G84" s="246"/>
      <c r="H84" s="246"/>
      <c r="I84" s="246"/>
      <c r="J84" s="246"/>
      <c r="K84" s="246"/>
      <c r="L84" s="246"/>
      <c r="M84" s="246"/>
      <c r="N84" s="246"/>
      <c r="O84" s="246"/>
      <c r="P84" s="246"/>
    </row>
    <row r="86" spans="2:16" ht="15.75" x14ac:dyDescent="0.5">
      <c r="B86" s="3" t="s">
        <v>4</v>
      </c>
      <c r="C86" s="247"/>
      <c r="D86" s="248"/>
      <c r="F86" s="249" t="str">
        <f>IF($C$86="","Select a player from the dropdown","Season score: "&amp;TEXT(IFERROR(INDEX(Workings!$H$6:$H$25,MATCH($C$86,Workings!$C$6:$C$25,0)),0),"0.0%")&amp;"   |   Avg WR: "&amp;TEXT(IFERROR(INDEX(Workings!$E$6:$E$25,MATCH($C$86,Workings!$C$6:$C$25,0)),0),"0.0")&amp;"   |   Avg rating: "&amp;TEXT(IFERROR(INDEX(Workings!$G$6:$G$25,MATCH($C$86,Workings!$C$6:$C$25,0)),0),"0.0"))</f>
        <v>Select a player from the dropdown</v>
      </c>
      <c r="G86" s="249"/>
      <c r="H86" s="249"/>
    </row>
  </sheetData>
  <mergeCells count="30">
    <mergeCell ref="L8:M9"/>
    <mergeCell ref="B84:P84"/>
    <mergeCell ref="C86:D86"/>
    <mergeCell ref="F86:H86"/>
    <mergeCell ref="AF33:BH33"/>
    <mergeCell ref="B59:C59"/>
    <mergeCell ref="B60:C60"/>
    <mergeCell ref="B61:C61"/>
    <mergeCell ref="B62:C62"/>
    <mergeCell ref="B63:C63"/>
    <mergeCell ref="B64:C64"/>
    <mergeCell ref="B65:C65"/>
    <mergeCell ref="B66:C66"/>
    <mergeCell ref="B58:P58"/>
    <mergeCell ref="N7:O7"/>
    <mergeCell ref="N8:O9"/>
    <mergeCell ref="B2:H2"/>
    <mergeCell ref="B3:N3"/>
    <mergeCell ref="B5:P5"/>
    <mergeCell ref="B7:C7"/>
    <mergeCell ref="B8:C9"/>
    <mergeCell ref="D7:E7"/>
    <mergeCell ref="D8:E9"/>
    <mergeCell ref="F7:G7"/>
    <mergeCell ref="F8:G9"/>
    <mergeCell ref="H7:I7"/>
    <mergeCell ref="H8:I9"/>
    <mergeCell ref="J7:K7"/>
    <mergeCell ref="J8:K9"/>
    <mergeCell ref="L7:M7"/>
  </mergeCells>
  <conditionalFormatting sqref="AI35:BD54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75F6AD-22C9-40B3-8350-C2F576AD1794}">
          <x14:formula1>
            <xm:f>Workings!$AB$6:$AB$25</xm:f>
          </x14:formula1>
          <xm:sqref>C86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839E-4CD0-45B1-85FC-E471E8B75974}">
  <dimension ref="B1:GS79"/>
  <sheetViews>
    <sheetView workbookViewId="0">
      <pane xSplit="4" ySplit="4" topLeftCell="E62" activePane="bottomRight" state="frozen"/>
      <selection pane="topRight" activeCell="E1" sqref="E1"/>
      <selection pane="bottomLeft" activeCell="A5" sqref="A5"/>
      <selection pane="bottomRight" activeCell="D46" sqref="D46:D56"/>
    </sheetView>
  </sheetViews>
  <sheetFormatPr defaultRowHeight="14.25" outlineLevelCol="1" x14ac:dyDescent="0.45"/>
  <cols>
    <col min="1" max="1" width="2.46484375" customWidth="1"/>
    <col min="2" max="2" width="16.86328125" customWidth="1"/>
    <col min="3" max="3" width="5" customWidth="1"/>
    <col min="4" max="4" width="19.1328125" bestFit="1" customWidth="1"/>
    <col min="5" max="92" width="6.06640625" customWidth="1" outlineLevel="1"/>
    <col min="94" max="181" width="6.73046875" customWidth="1" outlineLevel="1"/>
    <col min="183" max="196" width="11" customWidth="1"/>
    <col min="197" max="197" width="23.1328125" customWidth="1"/>
    <col min="198" max="198" width="12.46484375" customWidth="1"/>
    <col min="199" max="201" width="30.19921875" customWidth="1"/>
  </cols>
  <sheetData>
    <row r="1" spans="2:201" x14ac:dyDescent="0.45">
      <c r="CP1" s="266" t="s">
        <v>7</v>
      </c>
      <c r="CQ1" s="266"/>
      <c r="CR1" s="266"/>
      <c r="CS1" s="266"/>
      <c r="CT1" s="266" t="s">
        <v>10</v>
      </c>
      <c r="CU1" s="266"/>
      <c r="CV1" s="266"/>
      <c r="CW1" s="266"/>
      <c r="CX1" s="266" t="s">
        <v>11</v>
      </c>
      <c r="CY1" s="266"/>
      <c r="CZ1" s="266"/>
      <c r="DA1" s="266"/>
      <c r="DB1" s="266" t="s">
        <v>12</v>
      </c>
      <c r="DC1" s="266"/>
      <c r="DD1" s="266"/>
      <c r="DE1" s="266"/>
      <c r="DF1" s="266" t="s">
        <v>13</v>
      </c>
      <c r="DG1" s="266"/>
      <c r="DH1" s="266"/>
      <c r="DI1" s="266"/>
      <c r="DJ1" s="266" t="s">
        <v>14</v>
      </c>
      <c r="DK1" s="266"/>
      <c r="DL1" s="266"/>
      <c r="DM1" s="266"/>
      <c r="DN1" s="266" t="s">
        <v>15</v>
      </c>
      <c r="DO1" s="266"/>
      <c r="DP1" s="266"/>
      <c r="DQ1" s="266"/>
      <c r="DR1" s="266" t="s">
        <v>16</v>
      </c>
      <c r="DS1" s="266"/>
      <c r="DT1" s="266"/>
      <c r="DU1" s="266"/>
      <c r="DV1" s="266" t="s">
        <v>17</v>
      </c>
      <c r="DW1" s="266"/>
      <c r="DX1" s="266"/>
      <c r="DY1" s="266"/>
      <c r="DZ1" s="266" t="s">
        <v>18</v>
      </c>
      <c r="EA1" s="266"/>
      <c r="EB1" s="266"/>
      <c r="EC1" s="266"/>
      <c r="ED1" s="266" t="s">
        <v>19</v>
      </c>
      <c r="EE1" s="266"/>
      <c r="EF1" s="266"/>
      <c r="EG1" s="266"/>
      <c r="EH1" s="266" t="s">
        <v>20</v>
      </c>
      <c r="EI1" s="266"/>
      <c r="EJ1" s="266"/>
      <c r="EK1" s="266"/>
      <c r="EL1" s="266" t="s">
        <v>21</v>
      </c>
      <c r="EM1" s="266"/>
      <c r="EN1" s="266"/>
      <c r="EO1" s="266"/>
      <c r="EP1" s="266" t="s">
        <v>22</v>
      </c>
      <c r="EQ1" s="266"/>
      <c r="ER1" s="266"/>
      <c r="ES1" s="266"/>
      <c r="ET1" s="266" t="s">
        <v>23</v>
      </c>
      <c r="EU1" s="266"/>
      <c r="EV1" s="266"/>
      <c r="EW1" s="266"/>
      <c r="EX1" s="266" t="s">
        <v>24</v>
      </c>
      <c r="EY1" s="266"/>
      <c r="EZ1" s="266"/>
      <c r="FA1" s="266"/>
      <c r="FB1" s="266" t="s">
        <v>25</v>
      </c>
      <c r="FC1" s="266"/>
      <c r="FD1" s="266"/>
      <c r="FE1" s="266"/>
      <c r="FF1" s="266" t="s">
        <v>26</v>
      </c>
      <c r="FG1" s="266"/>
      <c r="FH1" s="266"/>
      <c r="FI1" s="266"/>
      <c r="FJ1" s="266" t="s">
        <v>27</v>
      </c>
      <c r="FK1" s="266"/>
      <c r="FL1" s="266"/>
      <c r="FM1" s="266"/>
      <c r="FN1" s="266" t="s">
        <v>28</v>
      </c>
      <c r="FO1" s="266"/>
      <c r="FP1" s="266"/>
      <c r="FQ1" s="266"/>
      <c r="FR1" s="266" t="s">
        <v>29</v>
      </c>
      <c r="FS1" s="266"/>
      <c r="FT1" s="266"/>
      <c r="FU1" s="266"/>
      <c r="FV1" s="266" t="s">
        <v>30</v>
      </c>
      <c r="FW1" s="266"/>
      <c r="FX1" s="266"/>
      <c r="FY1" s="266"/>
      <c r="GA1" s="21" t="s">
        <v>38</v>
      </c>
      <c r="GB1" s="21" t="s">
        <v>39</v>
      </c>
      <c r="GC1" s="21" t="s">
        <v>40</v>
      </c>
      <c r="GD1" s="21" t="s">
        <v>41</v>
      </c>
      <c r="GE1" s="21" t="s">
        <v>42</v>
      </c>
      <c r="GF1" s="21" t="s">
        <v>43</v>
      </c>
      <c r="GG1" s="21" t="s">
        <v>44</v>
      </c>
      <c r="GH1" s="274" t="s">
        <v>45</v>
      </c>
      <c r="GI1" s="274"/>
      <c r="GJ1" s="274"/>
    </row>
    <row r="2" spans="2:201" ht="18" x14ac:dyDescent="0.55000000000000004">
      <c r="B2" s="239" t="s">
        <v>0</v>
      </c>
      <c r="C2" s="239"/>
      <c r="D2" s="239"/>
      <c r="E2" s="266" t="s">
        <v>7</v>
      </c>
      <c r="F2" s="266"/>
      <c r="G2" s="266"/>
      <c r="H2" s="266"/>
      <c r="I2" s="266" t="s">
        <v>10</v>
      </c>
      <c r="J2" s="266"/>
      <c r="K2" s="266"/>
      <c r="L2" s="266"/>
      <c r="M2" s="266" t="s">
        <v>11</v>
      </c>
      <c r="N2" s="266"/>
      <c r="O2" s="266"/>
      <c r="P2" s="266"/>
      <c r="Q2" s="266" t="s">
        <v>12</v>
      </c>
      <c r="R2" s="266"/>
      <c r="S2" s="266"/>
      <c r="T2" s="266"/>
      <c r="U2" s="266" t="s">
        <v>13</v>
      </c>
      <c r="V2" s="266"/>
      <c r="W2" s="266"/>
      <c r="X2" s="266"/>
      <c r="Y2" s="266" t="s">
        <v>14</v>
      </c>
      <c r="Z2" s="266"/>
      <c r="AA2" s="266"/>
      <c r="AB2" s="266"/>
      <c r="AC2" s="266" t="s">
        <v>15</v>
      </c>
      <c r="AD2" s="266"/>
      <c r="AE2" s="266"/>
      <c r="AF2" s="266"/>
      <c r="AG2" s="266" t="s">
        <v>16</v>
      </c>
      <c r="AH2" s="266"/>
      <c r="AI2" s="266"/>
      <c r="AJ2" s="266"/>
      <c r="AK2" s="266" t="s">
        <v>17</v>
      </c>
      <c r="AL2" s="266"/>
      <c r="AM2" s="266"/>
      <c r="AN2" s="266"/>
      <c r="AO2" s="266" t="s">
        <v>18</v>
      </c>
      <c r="AP2" s="266"/>
      <c r="AQ2" s="266"/>
      <c r="AR2" s="266"/>
      <c r="AS2" s="266" t="s">
        <v>19</v>
      </c>
      <c r="AT2" s="266"/>
      <c r="AU2" s="266"/>
      <c r="AV2" s="266"/>
      <c r="AW2" s="266" t="s">
        <v>20</v>
      </c>
      <c r="AX2" s="266"/>
      <c r="AY2" s="266"/>
      <c r="AZ2" s="266"/>
      <c r="BA2" s="266" t="s">
        <v>21</v>
      </c>
      <c r="BB2" s="266"/>
      <c r="BC2" s="266"/>
      <c r="BD2" s="266"/>
      <c r="BE2" s="266" t="s">
        <v>22</v>
      </c>
      <c r="BF2" s="266"/>
      <c r="BG2" s="266"/>
      <c r="BH2" s="266"/>
      <c r="BI2" s="266" t="s">
        <v>23</v>
      </c>
      <c r="BJ2" s="266"/>
      <c r="BK2" s="266"/>
      <c r="BL2" s="266"/>
      <c r="BM2" s="266" t="s">
        <v>24</v>
      </c>
      <c r="BN2" s="266"/>
      <c r="BO2" s="266"/>
      <c r="BP2" s="266"/>
      <c r="BQ2" s="266" t="s">
        <v>25</v>
      </c>
      <c r="BR2" s="266"/>
      <c r="BS2" s="266"/>
      <c r="BT2" s="266"/>
      <c r="BU2" s="266" t="s">
        <v>26</v>
      </c>
      <c r="BV2" s="266"/>
      <c r="BW2" s="266"/>
      <c r="BX2" s="266"/>
      <c r="BY2" s="266" t="s">
        <v>27</v>
      </c>
      <c r="BZ2" s="266"/>
      <c r="CA2" s="266"/>
      <c r="CB2" s="266"/>
      <c r="CC2" s="266" t="s">
        <v>28</v>
      </c>
      <c r="CD2" s="266"/>
      <c r="CE2" s="266"/>
      <c r="CF2" s="266"/>
      <c r="CG2" s="266" t="s">
        <v>29</v>
      </c>
      <c r="CH2" s="266"/>
      <c r="CI2" s="266"/>
      <c r="CJ2" s="266"/>
      <c r="CK2" s="266" t="s">
        <v>30</v>
      </c>
      <c r="CL2" s="266"/>
      <c r="CM2" s="266"/>
      <c r="CN2" s="266"/>
      <c r="CP2" s="268" t="str">
        <f>IF('Match Day Reports'!$K45="","",'Match Day Reports'!$K45)</f>
        <v/>
      </c>
      <c r="CQ2" s="267"/>
      <c r="CR2" s="267"/>
      <c r="CS2" s="267"/>
      <c r="CT2" s="268" t="str">
        <f>IF('Match Day Reports'!$K46="","",'Match Day Reports'!$K46)</f>
        <v/>
      </c>
      <c r="CU2" s="267"/>
      <c r="CV2" s="267"/>
      <c r="CW2" s="267"/>
      <c r="CX2" s="268" t="str">
        <f>IF('Match Day Reports'!$K47="","",'Match Day Reports'!$K47)</f>
        <v/>
      </c>
      <c r="CY2" s="267"/>
      <c r="CZ2" s="267"/>
      <c r="DA2" s="267"/>
      <c r="DB2" s="268" t="str">
        <f>IF('Match Day Reports'!$K48="","",'Match Day Reports'!$K48)</f>
        <v/>
      </c>
      <c r="DC2" s="267"/>
      <c r="DD2" s="267"/>
      <c r="DE2" s="267"/>
      <c r="DF2" s="268" t="str">
        <f>IF('Match Day Reports'!$K49="","",'Match Day Reports'!$K49)</f>
        <v/>
      </c>
      <c r="DG2" s="267"/>
      <c r="DH2" s="267"/>
      <c r="DI2" s="267"/>
      <c r="DJ2" s="268" t="str">
        <f>IF('Match Day Reports'!$K50="","",'Match Day Reports'!$K50)</f>
        <v/>
      </c>
      <c r="DK2" s="267"/>
      <c r="DL2" s="267"/>
      <c r="DM2" s="267"/>
      <c r="DN2" s="268" t="str">
        <f>IF('Match Day Reports'!$K51="","",'Match Day Reports'!$K51)</f>
        <v/>
      </c>
      <c r="DO2" s="267"/>
      <c r="DP2" s="267"/>
      <c r="DQ2" s="267"/>
      <c r="DR2" s="268" t="str">
        <f>IF('Match Day Reports'!$K52="","",'Match Day Reports'!$K52)</f>
        <v/>
      </c>
      <c r="DS2" s="267"/>
      <c r="DT2" s="267"/>
      <c r="DU2" s="267"/>
      <c r="DV2" s="268" t="str">
        <f>IF('Match Day Reports'!$K53="","",'Match Day Reports'!$K53)</f>
        <v/>
      </c>
      <c r="DW2" s="267"/>
      <c r="DX2" s="267"/>
      <c r="DY2" s="267"/>
      <c r="DZ2" s="268" t="str">
        <f>IF('Match Day Reports'!$K54="","",'Match Day Reports'!$K54)</f>
        <v/>
      </c>
      <c r="EA2" s="267"/>
      <c r="EB2" s="267"/>
      <c r="EC2" s="267"/>
      <c r="ED2" s="268" t="str">
        <f>IF('Match Day Reports'!$K55="","",'Match Day Reports'!$K55)</f>
        <v/>
      </c>
      <c r="EE2" s="267"/>
      <c r="EF2" s="267"/>
      <c r="EG2" s="267"/>
      <c r="EH2" s="268" t="str">
        <f>IF('Match Day Reports'!$K56="","",'Match Day Reports'!$K56)</f>
        <v/>
      </c>
      <c r="EI2" s="267"/>
      <c r="EJ2" s="267"/>
      <c r="EK2" s="267"/>
      <c r="EL2" s="268" t="str">
        <f>IF('Match Day Reports'!$K57="","",'Match Day Reports'!$K57)</f>
        <v/>
      </c>
      <c r="EM2" s="267"/>
      <c r="EN2" s="267"/>
      <c r="EO2" s="267"/>
      <c r="EP2" s="268" t="str">
        <f>IF('Match Day Reports'!$K58="","",'Match Day Reports'!$K58)</f>
        <v/>
      </c>
      <c r="EQ2" s="267"/>
      <c r="ER2" s="267"/>
      <c r="ES2" s="267"/>
      <c r="ET2" s="268" t="str">
        <f>IF('Match Day Reports'!$K59="","",'Match Day Reports'!$K59)</f>
        <v/>
      </c>
      <c r="EU2" s="267"/>
      <c r="EV2" s="267"/>
      <c r="EW2" s="267"/>
      <c r="EX2" s="268" t="str">
        <f>IF('Match Day Reports'!$K60="","",'Match Day Reports'!$K60)</f>
        <v/>
      </c>
      <c r="EY2" s="267"/>
      <c r="EZ2" s="267"/>
      <c r="FA2" s="267"/>
      <c r="FB2" s="268" t="str">
        <f>IF('Match Day Reports'!$K61="","",'Match Day Reports'!$K61)</f>
        <v/>
      </c>
      <c r="FC2" s="267"/>
      <c r="FD2" s="267"/>
      <c r="FE2" s="267"/>
      <c r="FF2" s="268" t="str">
        <f>IF('Match Day Reports'!$K62="","",'Match Day Reports'!$K62)</f>
        <v/>
      </c>
      <c r="FG2" s="267"/>
      <c r="FH2" s="267"/>
      <c r="FI2" s="267"/>
      <c r="FJ2" s="268" t="str">
        <f>IF('Match Day Reports'!$K63="","",'Match Day Reports'!$K63)</f>
        <v/>
      </c>
      <c r="FK2" s="267"/>
      <c r="FL2" s="267"/>
      <c r="FM2" s="267"/>
      <c r="FN2" s="268" t="str">
        <f>IF('Match Day Reports'!$K64="","",'Match Day Reports'!$K64)</f>
        <v/>
      </c>
      <c r="FO2" s="267"/>
      <c r="FP2" s="267"/>
      <c r="FQ2" s="267"/>
      <c r="FR2" s="268" t="str">
        <f>IF('Match Day Reports'!$K65="","",'Match Day Reports'!$K65)</f>
        <v/>
      </c>
      <c r="FS2" s="267"/>
      <c r="FT2" s="267"/>
      <c r="FU2" s="267"/>
      <c r="FV2" s="268" t="str">
        <f>IF('Match Day Reports'!$K66="","",'Match Day Reports'!$K66)</f>
        <v/>
      </c>
      <c r="FW2" s="267"/>
      <c r="FX2" s="267"/>
      <c r="FY2" s="267"/>
      <c r="GA2" s="22">
        <v>0.25</v>
      </c>
      <c r="GB2" s="22">
        <v>0.35</v>
      </c>
      <c r="GC2" s="22">
        <v>0.15</v>
      </c>
      <c r="GD2" s="22">
        <v>0.25</v>
      </c>
      <c r="GE2" s="23">
        <f>SUM(GA2:GD2)</f>
        <v>1</v>
      </c>
      <c r="GF2" s="23">
        <f>GA2+GB2</f>
        <v>0.6</v>
      </c>
      <c r="GG2" s="23">
        <f>GC2+GD2</f>
        <v>0.4</v>
      </c>
      <c r="GH2" s="275" t="str">
        <f>IF(ROUND(GE2,4)&lt;&gt;1,"WARNING: weights total "&amp;TEXT(GE2,"0.0%")&amp;" — must equal 100%","OK — weights total 100%")</f>
        <v>OK — weights total 100%</v>
      </c>
      <c r="GI2" s="248"/>
      <c r="GJ2" s="248"/>
    </row>
    <row r="3" spans="2:201" x14ac:dyDescent="0.45">
      <c r="B3" s="240" t="s">
        <v>1</v>
      </c>
      <c r="C3" s="240"/>
      <c r="D3" s="240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  <c r="AB3" s="267"/>
      <c r="AC3" s="267"/>
      <c r="AD3" s="267"/>
      <c r="AE3" s="267"/>
      <c r="AF3" s="267"/>
      <c r="AG3" s="267"/>
      <c r="AH3" s="267"/>
      <c r="AI3" s="267"/>
      <c r="AJ3" s="267"/>
      <c r="AK3" s="267"/>
      <c r="AL3" s="267"/>
      <c r="AM3" s="267"/>
      <c r="AN3" s="267"/>
      <c r="AO3" s="267"/>
      <c r="AP3" s="267"/>
      <c r="AQ3" s="267"/>
      <c r="AR3" s="267"/>
      <c r="AS3" s="267"/>
      <c r="AT3" s="267"/>
      <c r="AU3" s="267"/>
      <c r="AV3" s="267"/>
      <c r="AW3" s="267"/>
      <c r="AX3" s="267"/>
      <c r="AY3" s="267"/>
      <c r="AZ3" s="267"/>
      <c r="BA3" s="267"/>
      <c r="BB3" s="267"/>
      <c r="BC3" s="267"/>
      <c r="BD3" s="267"/>
      <c r="BE3" s="267"/>
      <c r="BF3" s="267"/>
      <c r="BG3" s="267"/>
      <c r="BH3" s="267"/>
      <c r="BI3" s="267"/>
      <c r="BJ3" s="267"/>
      <c r="BK3" s="267"/>
      <c r="BL3" s="267"/>
      <c r="BM3" s="267"/>
      <c r="BN3" s="267"/>
      <c r="BO3" s="267"/>
      <c r="BP3" s="267"/>
      <c r="BQ3" s="267"/>
      <c r="BR3" s="267"/>
      <c r="BS3" s="267"/>
      <c r="BT3" s="267"/>
      <c r="BU3" s="267"/>
      <c r="BV3" s="267"/>
      <c r="BW3" s="267"/>
      <c r="BX3" s="267"/>
      <c r="BY3" s="267"/>
      <c r="BZ3" s="267"/>
      <c r="CA3" s="267"/>
      <c r="CB3" s="267"/>
      <c r="CC3" s="267"/>
      <c r="CD3" s="267"/>
      <c r="CE3" s="267"/>
      <c r="CF3" s="267"/>
      <c r="CG3" s="267"/>
      <c r="CH3" s="267"/>
      <c r="CI3" s="267"/>
      <c r="CJ3" s="267"/>
      <c r="CK3" s="267"/>
      <c r="CL3" s="267"/>
      <c r="CM3" s="267"/>
      <c r="CN3" s="267"/>
      <c r="CP3" s="269" t="str">
        <f>IF('Match Day Reports'!$L45="","",'Match Day Reports'!$L45)</f>
        <v/>
      </c>
      <c r="CQ3" s="270"/>
      <c r="CR3" s="270"/>
      <c r="CS3" s="231" t="str">
        <f>IF('Match Day Reports'!$M45="","",'Match Day Reports'!$M45)</f>
        <v/>
      </c>
      <c r="CT3" s="269" t="str">
        <f>IF('Match Day Reports'!$L46="","",'Match Day Reports'!$L46)</f>
        <v/>
      </c>
      <c r="CU3" s="270"/>
      <c r="CV3" s="270"/>
      <c r="CW3" s="231" t="str">
        <f>IF('Match Day Reports'!$M46="","",'Match Day Reports'!$M46)</f>
        <v/>
      </c>
      <c r="CX3" s="269" t="str">
        <f>IF('Match Day Reports'!$L47="","",'Match Day Reports'!$L47)</f>
        <v/>
      </c>
      <c r="CY3" s="270"/>
      <c r="CZ3" s="270"/>
      <c r="DA3" s="231" t="str">
        <f>IF('Match Day Reports'!$M47="","",'Match Day Reports'!$M47)</f>
        <v/>
      </c>
      <c r="DB3" s="269" t="str">
        <f>IF('Match Day Reports'!$L48="","",'Match Day Reports'!$L48)</f>
        <v/>
      </c>
      <c r="DC3" s="270"/>
      <c r="DD3" s="270"/>
      <c r="DE3" s="231" t="str">
        <f>IF('Match Day Reports'!$M48="","",'Match Day Reports'!$M48)</f>
        <v/>
      </c>
      <c r="DF3" s="269" t="str">
        <f>IF('Match Day Reports'!$L49="","",'Match Day Reports'!$L49)</f>
        <v/>
      </c>
      <c r="DG3" s="270"/>
      <c r="DH3" s="270"/>
      <c r="DI3" s="231" t="str">
        <f>IF('Match Day Reports'!$M49="","",'Match Day Reports'!$M49)</f>
        <v/>
      </c>
      <c r="DJ3" s="269" t="str">
        <f>IF('Match Day Reports'!$L50="","",'Match Day Reports'!$L50)</f>
        <v/>
      </c>
      <c r="DK3" s="270"/>
      <c r="DL3" s="270"/>
      <c r="DM3" s="231" t="str">
        <f>IF('Match Day Reports'!$M50="","",'Match Day Reports'!$M50)</f>
        <v/>
      </c>
      <c r="DN3" s="269" t="str">
        <f>IF('Match Day Reports'!$L51="","",'Match Day Reports'!$L51)</f>
        <v/>
      </c>
      <c r="DO3" s="270"/>
      <c r="DP3" s="270"/>
      <c r="DQ3" s="231" t="str">
        <f>IF('Match Day Reports'!$M51="","",'Match Day Reports'!$M51)</f>
        <v/>
      </c>
      <c r="DR3" s="269" t="str">
        <f>IF('Match Day Reports'!$L52="","",'Match Day Reports'!$L52)</f>
        <v/>
      </c>
      <c r="DS3" s="270"/>
      <c r="DT3" s="270"/>
      <c r="DU3" s="231" t="str">
        <f>IF('Match Day Reports'!$M52="","",'Match Day Reports'!$M52)</f>
        <v/>
      </c>
      <c r="DV3" s="269" t="str">
        <f>IF('Match Day Reports'!$L53="","",'Match Day Reports'!$L53)</f>
        <v/>
      </c>
      <c r="DW3" s="270"/>
      <c r="DX3" s="270"/>
      <c r="DY3" s="231" t="str">
        <f>IF('Match Day Reports'!$M53="","",'Match Day Reports'!$M53)</f>
        <v/>
      </c>
      <c r="DZ3" s="269" t="str">
        <f>IF('Match Day Reports'!$L54="","",'Match Day Reports'!$L54)</f>
        <v/>
      </c>
      <c r="EA3" s="270"/>
      <c r="EB3" s="270"/>
      <c r="EC3" s="231" t="str">
        <f>IF('Match Day Reports'!$M54="","",'Match Day Reports'!$M54)</f>
        <v/>
      </c>
      <c r="ED3" s="269" t="str">
        <f>IF('Match Day Reports'!$L55="","",'Match Day Reports'!$L55)</f>
        <v/>
      </c>
      <c r="EE3" s="270"/>
      <c r="EF3" s="270"/>
      <c r="EG3" s="231" t="str">
        <f>IF('Match Day Reports'!$M55="","",'Match Day Reports'!$M55)</f>
        <v/>
      </c>
      <c r="EH3" s="269" t="str">
        <f>IF('Match Day Reports'!$L56="","",'Match Day Reports'!$L56)</f>
        <v/>
      </c>
      <c r="EI3" s="270"/>
      <c r="EJ3" s="270"/>
      <c r="EK3" s="231" t="str">
        <f>IF('Match Day Reports'!$M56="","",'Match Day Reports'!$M56)</f>
        <v/>
      </c>
      <c r="EL3" s="269" t="str">
        <f>IF('Match Day Reports'!$L57="","",'Match Day Reports'!$L57)</f>
        <v/>
      </c>
      <c r="EM3" s="270"/>
      <c r="EN3" s="270"/>
      <c r="EO3" s="231" t="str">
        <f>IF('Match Day Reports'!$M57="","",'Match Day Reports'!$M57)</f>
        <v/>
      </c>
      <c r="EP3" s="269" t="str">
        <f>IF('Match Day Reports'!$L58="","",'Match Day Reports'!$L58)</f>
        <v/>
      </c>
      <c r="EQ3" s="270"/>
      <c r="ER3" s="270"/>
      <c r="ES3" s="231" t="str">
        <f>IF('Match Day Reports'!$M58="","",'Match Day Reports'!$M58)</f>
        <v/>
      </c>
      <c r="ET3" s="269" t="str">
        <f>IF('Match Day Reports'!$L59="","",'Match Day Reports'!$L59)</f>
        <v/>
      </c>
      <c r="EU3" s="270"/>
      <c r="EV3" s="270"/>
      <c r="EW3" s="231" t="str">
        <f>IF('Match Day Reports'!$M59="","",'Match Day Reports'!$M59)</f>
        <v/>
      </c>
      <c r="EX3" s="269" t="str">
        <f>IF('Match Day Reports'!$L60="","",'Match Day Reports'!$L60)</f>
        <v/>
      </c>
      <c r="EY3" s="270"/>
      <c r="EZ3" s="270"/>
      <c r="FA3" s="231" t="str">
        <f>IF('Match Day Reports'!$M60="","",'Match Day Reports'!$M60)</f>
        <v/>
      </c>
      <c r="FB3" s="269" t="str">
        <f>IF('Match Day Reports'!$L61="","",'Match Day Reports'!$L61)</f>
        <v/>
      </c>
      <c r="FC3" s="270"/>
      <c r="FD3" s="270"/>
      <c r="FE3" s="231" t="str">
        <f>IF('Match Day Reports'!$M61="","",'Match Day Reports'!$M61)</f>
        <v/>
      </c>
      <c r="FF3" s="269" t="str">
        <f>IF('Match Day Reports'!$L62="","",'Match Day Reports'!$L62)</f>
        <v/>
      </c>
      <c r="FG3" s="270"/>
      <c r="FH3" s="270"/>
      <c r="FI3" s="231" t="str">
        <f>IF('Match Day Reports'!$M62="","",'Match Day Reports'!$M62)</f>
        <v/>
      </c>
      <c r="FJ3" s="269" t="str">
        <f>IF('Match Day Reports'!$L63="","",'Match Day Reports'!$L63)</f>
        <v/>
      </c>
      <c r="FK3" s="270"/>
      <c r="FL3" s="270"/>
      <c r="FM3" s="231" t="str">
        <f>IF('Match Day Reports'!$M63="","",'Match Day Reports'!$M63)</f>
        <v/>
      </c>
      <c r="FN3" s="269" t="str">
        <f>IF('Match Day Reports'!$L64="","",'Match Day Reports'!$L64)</f>
        <v/>
      </c>
      <c r="FO3" s="270"/>
      <c r="FP3" s="270"/>
      <c r="FQ3" s="231" t="str">
        <f>IF('Match Day Reports'!$M64="","",'Match Day Reports'!$M64)</f>
        <v/>
      </c>
      <c r="FR3" s="269" t="str">
        <f>IF('Match Day Reports'!$L65="","",'Match Day Reports'!$L65)</f>
        <v/>
      </c>
      <c r="FS3" s="270"/>
      <c r="FT3" s="270"/>
      <c r="FU3" s="231" t="str">
        <f>IF('Match Day Reports'!$M65="","",'Match Day Reports'!$M65)</f>
        <v/>
      </c>
      <c r="FV3" s="269" t="str">
        <f>IF('Match Day Reports'!$L66="","",'Match Day Reports'!$L66)</f>
        <v/>
      </c>
      <c r="FW3" s="270"/>
      <c r="FX3" s="270"/>
      <c r="FY3" s="231" t="str">
        <f>IF('Match Day Reports'!$M66="","",'Match Day Reports'!$M66)</f>
        <v/>
      </c>
    </row>
    <row r="4" spans="2:201" ht="30" customHeight="1" x14ac:dyDescent="0.45">
      <c r="B4" s="10" t="s">
        <v>2</v>
      </c>
      <c r="C4" s="10" t="s">
        <v>3</v>
      </c>
      <c r="D4" s="10" t="s">
        <v>4</v>
      </c>
      <c r="E4" s="11" t="s">
        <v>8</v>
      </c>
      <c r="F4" s="11" t="s">
        <v>9</v>
      </c>
      <c r="G4" s="11" t="s">
        <v>8</v>
      </c>
      <c r="H4" s="11" t="s">
        <v>9</v>
      </c>
      <c r="I4" s="11" t="s">
        <v>8</v>
      </c>
      <c r="J4" s="11" t="s">
        <v>9</v>
      </c>
      <c r="K4" s="11" t="s">
        <v>8</v>
      </c>
      <c r="L4" s="11" t="s">
        <v>9</v>
      </c>
      <c r="M4" s="11" t="s">
        <v>8</v>
      </c>
      <c r="N4" s="11" t="s">
        <v>9</v>
      </c>
      <c r="O4" s="11" t="s">
        <v>8</v>
      </c>
      <c r="P4" s="11" t="s">
        <v>9</v>
      </c>
      <c r="Q4" s="11" t="s">
        <v>8</v>
      </c>
      <c r="R4" s="11" t="s">
        <v>9</v>
      </c>
      <c r="S4" s="11" t="s">
        <v>8</v>
      </c>
      <c r="T4" s="11" t="s">
        <v>9</v>
      </c>
      <c r="U4" s="11" t="s">
        <v>8</v>
      </c>
      <c r="V4" s="11" t="s">
        <v>9</v>
      </c>
      <c r="W4" s="11" t="s">
        <v>8</v>
      </c>
      <c r="X4" s="11" t="s">
        <v>9</v>
      </c>
      <c r="Y4" s="11" t="s">
        <v>8</v>
      </c>
      <c r="Z4" s="11" t="s">
        <v>9</v>
      </c>
      <c r="AA4" s="11" t="s">
        <v>8</v>
      </c>
      <c r="AB4" s="11" t="s">
        <v>9</v>
      </c>
      <c r="AC4" s="11" t="s">
        <v>8</v>
      </c>
      <c r="AD4" s="11" t="s">
        <v>9</v>
      </c>
      <c r="AE4" s="11" t="s">
        <v>8</v>
      </c>
      <c r="AF4" s="11" t="s">
        <v>9</v>
      </c>
      <c r="AG4" s="11" t="s">
        <v>8</v>
      </c>
      <c r="AH4" s="11" t="s">
        <v>9</v>
      </c>
      <c r="AI4" s="11" t="s">
        <v>8</v>
      </c>
      <c r="AJ4" s="11" t="s">
        <v>9</v>
      </c>
      <c r="AK4" s="11" t="s">
        <v>8</v>
      </c>
      <c r="AL4" s="11" t="s">
        <v>9</v>
      </c>
      <c r="AM4" s="11" t="s">
        <v>8</v>
      </c>
      <c r="AN4" s="11" t="s">
        <v>9</v>
      </c>
      <c r="AO4" s="11" t="s">
        <v>8</v>
      </c>
      <c r="AP4" s="11" t="s">
        <v>9</v>
      </c>
      <c r="AQ4" s="11" t="s">
        <v>8</v>
      </c>
      <c r="AR4" s="11" t="s">
        <v>9</v>
      </c>
      <c r="AS4" s="11" t="s">
        <v>8</v>
      </c>
      <c r="AT4" s="11" t="s">
        <v>9</v>
      </c>
      <c r="AU4" s="11" t="s">
        <v>8</v>
      </c>
      <c r="AV4" s="11" t="s">
        <v>9</v>
      </c>
      <c r="AW4" s="11" t="s">
        <v>8</v>
      </c>
      <c r="AX4" s="11" t="s">
        <v>9</v>
      </c>
      <c r="AY4" s="11" t="s">
        <v>8</v>
      </c>
      <c r="AZ4" s="11" t="s">
        <v>9</v>
      </c>
      <c r="BA4" s="11" t="s">
        <v>8</v>
      </c>
      <c r="BB4" s="11" t="s">
        <v>9</v>
      </c>
      <c r="BC4" s="11" t="s">
        <v>8</v>
      </c>
      <c r="BD4" s="11" t="s">
        <v>9</v>
      </c>
      <c r="BE4" s="11" t="s">
        <v>8</v>
      </c>
      <c r="BF4" s="11" t="s">
        <v>9</v>
      </c>
      <c r="BG4" s="11" t="s">
        <v>8</v>
      </c>
      <c r="BH4" s="11" t="s">
        <v>9</v>
      </c>
      <c r="BI4" s="11" t="s">
        <v>8</v>
      </c>
      <c r="BJ4" s="11" t="s">
        <v>9</v>
      </c>
      <c r="BK4" s="11" t="s">
        <v>8</v>
      </c>
      <c r="BL4" s="11" t="s">
        <v>9</v>
      </c>
      <c r="BM4" s="11" t="s">
        <v>8</v>
      </c>
      <c r="BN4" s="11" t="s">
        <v>9</v>
      </c>
      <c r="BO4" s="11" t="s">
        <v>8</v>
      </c>
      <c r="BP4" s="11" t="s">
        <v>9</v>
      </c>
      <c r="BQ4" s="11" t="s">
        <v>8</v>
      </c>
      <c r="BR4" s="11" t="s">
        <v>9</v>
      </c>
      <c r="BS4" s="11" t="s">
        <v>8</v>
      </c>
      <c r="BT4" s="11" t="s">
        <v>9</v>
      </c>
      <c r="BU4" s="11" t="s">
        <v>8</v>
      </c>
      <c r="BV4" s="11" t="s">
        <v>9</v>
      </c>
      <c r="BW4" s="11" t="s">
        <v>8</v>
      </c>
      <c r="BX4" s="11" t="s">
        <v>9</v>
      </c>
      <c r="BY4" s="11" t="s">
        <v>8</v>
      </c>
      <c r="BZ4" s="11" t="s">
        <v>9</v>
      </c>
      <c r="CA4" s="11" t="s">
        <v>8</v>
      </c>
      <c r="CB4" s="11" t="s">
        <v>9</v>
      </c>
      <c r="CC4" s="11" t="s">
        <v>8</v>
      </c>
      <c r="CD4" s="11" t="s">
        <v>9</v>
      </c>
      <c r="CE4" s="11" t="s">
        <v>8</v>
      </c>
      <c r="CF4" s="11" t="s">
        <v>9</v>
      </c>
      <c r="CG4" s="11" t="s">
        <v>8</v>
      </c>
      <c r="CH4" s="11" t="s">
        <v>9</v>
      </c>
      <c r="CI4" s="11" t="s">
        <v>8</v>
      </c>
      <c r="CJ4" s="11" t="s">
        <v>9</v>
      </c>
      <c r="CK4" s="11" t="s">
        <v>8</v>
      </c>
      <c r="CL4" s="11" t="s">
        <v>9</v>
      </c>
      <c r="CM4" s="11" t="s">
        <v>8</v>
      </c>
      <c r="CN4" s="11" t="s">
        <v>9</v>
      </c>
      <c r="CP4" s="19" t="s">
        <v>8</v>
      </c>
      <c r="CQ4" s="19" t="s">
        <v>32</v>
      </c>
      <c r="CR4" s="19" t="s">
        <v>33</v>
      </c>
      <c r="CS4" s="19" t="s">
        <v>34</v>
      </c>
      <c r="CT4" s="19" t="s">
        <v>8</v>
      </c>
      <c r="CU4" s="19" t="s">
        <v>32</v>
      </c>
      <c r="CV4" s="19" t="s">
        <v>33</v>
      </c>
      <c r="CW4" s="19" t="s">
        <v>34</v>
      </c>
      <c r="CX4" s="19" t="s">
        <v>8</v>
      </c>
      <c r="CY4" s="19" t="s">
        <v>32</v>
      </c>
      <c r="CZ4" s="19" t="s">
        <v>33</v>
      </c>
      <c r="DA4" s="19" t="s">
        <v>34</v>
      </c>
      <c r="DB4" s="19" t="s">
        <v>8</v>
      </c>
      <c r="DC4" s="19" t="s">
        <v>32</v>
      </c>
      <c r="DD4" s="19" t="s">
        <v>33</v>
      </c>
      <c r="DE4" s="19" t="s">
        <v>34</v>
      </c>
      <c r="DF4" s="19" t="s">
        <v>8</v>
      </c>
      <c r="DG4" s="19" t="s">
        <v>32</v>
      </c>
      <c r="DH4" s="19" t="s">
        <v>33</v>
      </c>
      <c r="DI4" s="19" t="s">
        <v>34</v>
      </c>
      <c r="DJ4" s="19" t="s">
        <v>8</v>
      </c>
      <c r="DK4" s="19" t="s">
        <v>32</v>
      </c>
      <c r="DL4" s="19" t="s">
        <v>33</v>
      </c>
      <c r="DM4" s="19" t="s">
        <v>34</v>
      </c>
      <c r="DN4" s="19" t="s">
        <v>8</v>
      </c>
      <c r="DO4" s="19" t="s">
        <v>32</v>
      </c>
      <c r="DP4" s="19" t="s">
        <v>33</v>
      </c>
      <c r="DQ4" s="19" t="s">
        <v>34</v>
      </c>
      <c r="DR4" s="19" t="s">
        <v>8</v>
      </c>
      <c r="DS4" s="19" t="s">
        <v>32</v>
      </c>
      <c r="DT4" s="19" t="s">
        <v>33</v>
      </c>
      <c r="DU4" s="19" t="s">
        <v>34</v>
      </c>
      <c r="DV4" s="19" t="s">
        <v>8</v>
      </c>
      <c r="DW4" s="19" t="s">
        <v>32</v>
      </c>
      <c r="DX4" s="19" t="s">
        <v>33</v>
      </c>
      <c r="DY4" s="19" t="s">
        <v>34</v>
      </c>
      <c r="DZ4" s="19" t="s">
        <v>8</v>
      </c>
      <c r="EA4" s="19" t="s">
        <v>32</v>
      </c>
      <c r="EB4" s="19" t="s">
        <v>33</v>
      </c>
      <c r="EC4" s="19" t="s">
        <v>34</v>
      </c>
      <c r="ED4" s="19" t="s">
        <v>8</v>
      </c>
      <c r="EE4" s="19" t="s">
        <v>32</v>
      </c>
      <c r="EF4" s="19" t="s">
        <v>33</v>
      </c>
      <c r="EG4" s="19" t="s">
        <v>34</v>
      </c>
      <c r="EH4" s="19" t="s">
        <v>8</v>
      </c>
      <c r="EI4" s="19" t="s">
        <v>32</v>
      </c>
      <c r="EJ4" s="19" t="s">
        <v>33</v>
      </c>
      <c r="EK4" s="19" t="s">
        <v>34</v>
      </c>
      <c r="EL4" s="19" t="s">
        <v>8</v>
      </c>
      <c r="EM4" s="19" t="s">
        <v>32</v>
      </c>
      <c r="EN4" s="19" t="s">
        <v>33</v>
      </c>
      <c r="EO4" s="19" t="s">
        <v>34</v>
      </c>
      <c r="EP4" s="19" t="s">
        <v>8</v>
      </c>
      <c r="EQ4" s="19" t="s">
        <v>32</v>
      </c>
      <c r="ER4" s="19" t="s">
        <v>33</v>
      </c>
      <c r="ES4" s="19" t="s">
        <v>34</v>
      </c>
      <c r="ET4" s="19" t="s">
        <v>8</v>
      </c>
      <c r="EU4" s="19" t="s">
        <v>32</v>
      </c>
      <c r="EV4" s="19" t="s">
        <v>33</v>
      </c>
      <c r="EW4" s="19" t="s">
        <v>34</v>
      </c>
      <c r="EX4" s="19" t="s">
        <v>8</v>
      </c>
      <c r="EY4" s="19" t="s">
        <v>32</v>
      </c>
      <c r="EZ4" s="19" t="s">
        <v>33</v>
      </c>
      <c r="FA4" s="19" t="s">
        <v>34</v>
      </c>
      <c r="FB4" s="19" t="s">
        <v>8</v>
      </c>
      <c r="FC4" s="19" t="s">
        <v>32</v>
      </c>
      <c r="FD4" s="19" t="s">
        <v>33</v>
      </c>
      <c r="FE4" s="19" t="s">
        <v>34</v>
      </c>
      <c r="FF4" s="19" t="s">
        <v>8</v>
      </c>
      <c r="FG4" s="19" t="s">
        <v>32</v>
      </c>
      <c r="FH4" s="19" t="s">
        <v>33</v>
      </c>
      <c r="FI4" s="19" t="s">
        <v>34</v>
      </c>
      <c r="FJ4" s="19" t="s">
        <v>8</v>
      </c>
      <c r="FK4" s="19" t="s">
        <v>32</v>
      </c>
      <c r="FL4" s="19" t="s">
        <v>33</v>
      </c>
      <c r="FM4" s="19" t="s">
        <v>34</v>
      </c>
      <c r="FN4" s="19" t="s">
        <v>8</v>
      </c>
      <c r="FO4" s="19" t="s">
        <v>32</v>
      </c>
      <c r="FP4" s="19" t="s">
        <v>33</v>
      </c>
      <c r="FQ4" s="19" t="s">
        <v>34</v>
      </c>
      <c r="FR4" s="19" t="s">
        <v>8</v>
      </c>
      <c r="FS4" s="19" t="s">
        <v>32</v>
      </c>
      <c r="FT4" s="19" t="s">
        <v>33</v>
      </c>
      <c r="FU4" s="19" t="s">
        <v>34</v>
      </c>
      <c r="FV4" s="19" t="s">
        <v>8</v>
      </c>
      <c r="FW4" s="19" t="s">
        <v>32</v>
      </c>
      <c r="FX4" s="19" t="s">
        <v>33</v>
      </c>
      <c r="FY4" s="19" t="s">
        <v>34</v>
      </c>
      <c r="GA4" s="24" t="s">
        <v>46</v>
      </c>
      <c r="GB4" s="25" t="s">
        <v>47</v>
      </c>
      <c r="GC4" s="25" t="s">
        <v>48</v>
      </c>
      <c r="GD4" s="25" t="s">
        <v>49</v>
      </c>
      <c r="GE4" s="25" t="s">
        <v>50</v>
      </c>
      <c r="GF4" s="25" t="s">
        <v>51</v>
      </c>
      <c r="GG4" s="25" t="s">
        <v>52</v>
      </c>
      <c r="GH4" s="25" t="s">
        <v>53</v>
      </c>
      <c r="GI4" s="25" t="s">
        <v>54</v>
      </c>
      <c r="GJ4" s="25" t="s">
        <v>55</v>
      </c>
      <c r="GK4" s="25" t="s">
        <v>56</v>
      </c>
      <c r="GL4" s="25" t="s">
        <v>57</v>
      </c>
      <c r="GM4" s="25" t="s">
        <v>58</v>
      </c>
      <c r="GN4" s="26" t="s">
        <v>59</v>
      </c>
      <c r="GO4" s="25" t="s">
        <v>60</v>
      </c>
      <c r="GP4" s="25" t="s">
        <v>61</v>
      </c>
      <c r="GQ4" s="25" t="s">
        <v>62</v>
      </c>
      <c r="GR4" s="25" t="s">
        <v>63</v>
      </c>
      <c r="GS4" s="27" t="s">
        <v>64</v>
      </c>
    </row>
    <row r="5" spans="2:201" x14ac:dyDescent="0.45">
      <c r="B5" s="287" t="s">
        <v>5</v>
      </c>
      <c r="C5" s="4">
        <v>1</v>
      </c>
      <c r="D5" s="5" t="s">
        <v>258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GA5" s="28">
        <f t="shared" ref="GA5:GA24" si="0">IF($D5="","",COUNTIFS($E$4:$CN$4,"Att",$E5:$CN5,"Yes"))</f>
        <v>0</v>
      </c>
      <c r="GB5" s="29" cm="1">
        <f t="array" ref="GB5">IF($D5="","",SUMPRODUCT(($E$4:$CN$4="Att")*($E$3:$CN$3&lt;&gt;"")))</f>
        <v>0</v>
      </c>
      <c r="GC5" s="30" t="str">
        <f t="shared" ref="GC5:GC24" si="1">IF($D5="","",IF($GB5=0,"",$GA5/$GB5))</f>
        <v/>
      </c>
      <c r="GD5" s="31" t="str">
        <f t="shared" ref="GD5:GD24" si="2">IF($D5="","",IF(COUNTIFS($E$4:$CN$4,"WR",$E5:$CN5,"&gt;0")=0,"",SUMIF($E$4:$CN$4,"WR",$E5:$CN5)/COUNTIFS($E$4:$CN$4,"WR",$E5:$CN5,"&gt;0")))</f>
        <v/>
      </c>
      <c r="GE5" s="30" t="str">
        <f t="shared" ref="GE5:GE24" si="3">IF($D5="","",IF($GD5="","",$GD5/5))</f>
        <v/>
      </c>
      <c r="GF5" s="29" cm="1">
        <f t="array" ref="GF5">IF($D5="","",SUMPRODUCT(($CP$4:$FY$4="Att")*($CP$2:$FY$2&lt;&gt;"")*($CP5:$FY5&lt;&gt;"N-A")*($CP5:$FY5&lt;&gt;"")))</f>
        <v>0</v>
      </c>
      <c r="GG5" s="29">
        <f t="shared" ref="GG5:GG24" si="4">IF($D5="","",COUNTIFS($CP$4:$FY$4,"Att",$CP5:$FY5,"Yes"))</f>
        <v>0</v>
      </c>
      <c r="GH5" s="30" t="str">
        <f t="shared" ref="GH5:GH24" si="5">IF($D5="","",IF($GF5=0,"",$GG5/$GF5))</f>
        <v/>
      </c>
      <c r="GI5" s="29">
        <f t="shared" ref="GI5:GI24" si="6">IF($D5="","",SUMIF($CP$4:$FY$4,"Mins",$CP5:$FY5))</f>
        <v>0</v>
      </c>
      <c r="GJ5" s="31" t="str">
        <f t="shared" ref="GJ5:GJ24" si="7">IF($D5="","",IF($GG5=0,"",$GI5/$GG5))</f>
        <v/>
      </c>
      <c r="GK5" s="31" t="str">
        <f t="shared" ref="GK5:GK24" si="8">IF($D5="","",IF(COUNTIFS($CP$4:$FY$4,"Rating",$CP5:$FY5,"&gt;0")=0,"",SUMIF($CP$4:$FY$4,"Rating",$CP5:$FY5)/COUNTIFS($CP$4:$FY$4,"Rating",$CP5:$FY5,"&gt;0")))</f>
        <v/>
      </c>
      <c r="GL5" s="30" t="str">
        <f t="shared" ref="GL5:GL24" si="9">IF($D5="","",IF($GK5="","",$GK5/10))</f>
        <v/>
      </c>
      <c r="GM5" s="29">
        <f t="shared" ref="GM5:GM24" si="10">IF($D5="","",COUNTIFS($CP$4:$FY$4,"MOTM",$CP5:$FY5,"Yes"))</f>
        <v>0</v>
      </c>
      <c r="GN5" s="32">
        <f t="shared" ref="GN5:GN24" si="11">IF($D5="","",IF($GG5=0,(N($GC5)*$GA$2+N($GE5)*$GB$2)/MAX(0.0001,$GA$2+$GB$2),N($GC5)*$GA$2+N($GE5)*$GB$2+N($GH5)*$GC$2+N($GL5)*$GD$2))</f>
        <v>0</v>
      </c>
      <c r="GO5" s="33" t="str">
        <f t="shared" ref="GO5:GO24" si="12">IF($D5="","",$D5)</f>
        <v>Aoife Kennan</v>
      </c>
      <c r="GP5" s="34"/>
      <c r="GQ5" s="34"/>
      <c r="GR5" s="34"/>
      <c r="GS5" s="35"/>
    </row>
    <row r="6" spans="2:201" x14ac:dyDescent="0.45">
      <c r="B6" s="287"/>
      <c r="C6" s="6">
        <v>2</v>
      </c>
      <c r="D6" s="7" t="s">
        <v>259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GA6" s="36">
        <f t="shared" si="0"/>
        <v>0</v>
      </c>
      <c r="GB6" s="37" cm="1">
        <f t="array" ref="GB6">IF($D6="","",SUMPRODUCT(($E$4:$CN$4="Att")*($E$3:$CN$3&lt;&gt;"")))</f>
        <v>0</v>
      </c>
      <c r="GC6" s="38" t="str">
        <f t="shared" si="1"/>
        <v/>
      </c>
      <c r="GD6" s="39" t="str">
        <f t="shared" si="2"/>
        <v/>
      </c>
      <c r="GE6" s="38" t="str">
        <f t="shared" si="3"/>
        <v/>
      </c>
      <c r="GF6" s="37" cm="1">
        <f t="array" ref="GF6">IF($D6="","",SUMPRODUCT(($CP$4:$FY$4="Att")*($CP$2:$FY$2&lt;&gt;"")*($CP6:$FY6&lt;&gt;"N-A")*($CP6:$FY6&lt;&gt;"")))</f>
        <v>0</v>
      </c>
      <c r="GG6" s="37">
        <f t="shared" si="4"/>
        <v>0</v>
      </c>
      <c r="GH6" s="38" t="str">
        <f t="shared" si="5"/>
        <v/>
      </c>
      <c r="GI6" s="37">
        <f t="shared" si="6"/>
        <v>0</v>
      </c>
      <c r="GJ6" s="39" t="str">
        <f t="shared" si="7"/>
        <v/>
      </c>
      <c r="GK6" s="39" t="str">
        <f t="shared" si="8"/>
        <v/>
      </c>
      <c r="GL6" s="38" t="str">
        <f t="shared" si="9"/>
        <v/>
      </c>
      <c r="GM6" s="37">
        <f t="shared" si="10"/>
        <v>0</v>
      </c>
      <c r="GN6" s="40">
        <f t="shared" si="11"/>
        <v>0</v>
      </c>
      <c r="GO6" s="41" t="str">
        <f t="shared" si="12"/>
        <v>Stella McEvoy</v>
      </c>
      <c r="GP6" s="34"/>
      <c r="GQ6" s="34"/>
      <c r="GR6" s="34"/>
      <c r="GS6" s="35"/>
    </row>
    <row r="7" spans="2:201" x14ac:dyDescent="0.45">
      <c r="B7" s="287"/>
      <c r="C7" s="6">
        <v>3</v>
      </c>
      <c r="D7" s="7" t="s">
        <v>260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GA7" s="28">
        <f t="shared" si="0"/>
        <v>0</v>
      </c>
      <c r="GB7" s="29" cm="1">
        <f t="array" ref="GB7">IF($D7="","",SUMPRODUCT(($E$4:$CN$4="Att")*($E$3:$CN$3&lt;&gt;"")))</f>
        <v>0</v>
      </c>
      <c r="GC7" s="30" t="str">
        <f t="shared" si="1"/>
        <v/>
      </c>
      <c r="GD7" s="31" t="str">
        <f t="shared" si="2"/>
        <v/>
      </c>
      <c r="GE7" s="30" t="str">
        <f t="shared" si="3"/>
        <v/>
      </c>
      <c r="GF7" s="29" cm="1">
        <f t="array" ref="GF7">IF($D7="","",SUMPRODUCT(($CP$4:$FY$4="Att")*($CP$2:$FY$2&lt;&gt;"")*($CP7:$FY7&lt;&gt;"N-A")*($CP7:$FY7&lt;&gt;"")))</f>
        <v>0</v>
      </c>
      <c r="GG7" s="29">
        <f t="shared" si="4"/>
        <v>0</v>
      </c>
      <c r="GH7" s="30" t="str">
        <f t="shared" si="5"/>
        <v/>
      </c>
      <c r="GI7" s="29">
        <f t="shared" si="6"/>
        <v>0</v>
      </c>
      <c r="GJ7" s="31" t="str">
        <f t="shared" si="7"/>
        <v/>
      </c>
      <c r="GK7" s="31" t="str">
        <f t="shared" si="8"/>
        <v/>
      </c>
      <c r="GL7" s="30" t="str">
        <f t="shared" si="9"/>
        <v/>
      </c>
      <c r="GM7" s="29">
        <f t="shared" si="10"/>
        <v>0</v>
      </c>
      <c r="GN7" s="32">
        <f t="shared" si="11"/>
        <v>0</v>
      </c>
      <c r="GO7" s="33" t="str">
        <f t="shared" si="12"/>
        <v>Zara Power</v>
      </c>
      <c r="GP7" s="34"/>
      <c r="GQ7" s="34"/>
      <c r="GR7" s="34"/>
      <c r="GS7" s="35"/>
    </row>
    <row r="8" spans="2:201" x14ac:dyDescent="0.45">
      <c r="B8" s="287"/>
      <c r="C8" s="6">
        <v>4</v>
      </c>
      <c r="D8" s="7" t="s">
        <v>261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GA8" s="36">
        <f t="shared" si="0"/>
        <v>0</v>
      </c>
      <c r="GB8" s="37" cm="1">
        <f t="array" ref="GB8">IF($D8="","",SUMPRODUCT(($E$4:$CN$4="Att")*($E$3:$CN$3&lt;&gt;"")))</f>
        <v>0</v>
      </c>
      <c r="GC8" s="38" t="str">
        <f t="shared" si="1"/>
        <v/>
      </c>
      <c r="GD8" s="39" t="str">
        <f t="shared" si="2"/>
        <v/>
      </c>
      <c r="GE8" s="38" t="str">
        <f t="shared" si="3"/>
        <v/>
      </c>
      <c r="GF8" s="37" cm="1">
        <f t="array" ref="GF8">IF($D8="","",SUMPRODUCT(($CP$4:$FY$4="Att")*($CP$2:$FY$2&lt;&gt;"")*($CP8:$FY8&lt;&gt;"N-A")*($CP8:$FY8&lt;&gt;"")))</f>
        <v>0</v>
      </c>
      <c r="GG8" s="37">
        <f t="shared" si="4"/>
        <v>0</v>
      </c>
      <c r="GH8" s="38" t="str">
        <f t="shared" si="5"/>
        <v/>
      </c>
      <c r="GI8" s="37">
        <f t="shared" si="6"/>
        <v>0</v>
      </c>
      <c r="GJ8" s="39" t="str">
        <f t="shared" si="7"/>
        <v/>
      </c>
      <c r="GK8" s="39" t="str">
        <f t="shared" si="8"/>
        <v/>
      </c>
      <c r="GL8" s="38" t="str">
        <f t="shared" si="9"/>
        <v/>
      </c>
      <c r="GM8" s="37">
        <f t="shared" si="10"/>
        <v>0</v>
      </c>
      <c r="GN8" s="40">
        <f t="shared" si="11"/>
        <v>0</v>
      </c>
      <c r="GO8" s="41" t="str">
        <f t="shared" si="12"/>
        <v>Heidi Cerubini Dunne</v>
      </c>
      <c r="GP8" s="34"/>
      <c r="GQ8" s="34"/>
      <c r="GR8" s="34"/>
      <c r="GS8" s="35"/>
    </row>
    <row r="9" spans="2:201" x14ac:dyDescent="0.45">
      <c r="B9" s="287"/>
      <c r="C9" s="6">
        <v>5</v>
      </c>
      <c r="D9" s="7" t="s">
        <v>262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GA9" s="28">
        <f t="shared" si="0"/>
        <v>0</v>
      </c>
      <c r="GB9" s="29" cm="1">
        <f t="array" ref="GB9">IF($D9="","",SUMPRODUCT(($E$4:$CN$4="Att")*($E$3:$CN$3&lt;&gt;"")))</f>
        <v>0</v>
      </c>
      <c r="GC9" s="30" t="str">
        <f t="shared" si="1"/>
        <v/>
      </c>
      <c r="GD9" s="31" t="str">
        <f t="shared" si="2"/>
        <v/>
      </c>
      <c r="GE9" s="30" t="str">
        <f t="shared" si="3"/>
        <v/>
      </c>
      <c r="GF9" s="29" cm="1">
        <f t="array" ref="GF9">IF($D9="","",SUMPRODUCT(($CP$4:$FY$4="Att")*($CP$2:$FY$2&lt;&gt;"")*($CP9:$FY9&lt;&gt;"N-A")*($CP9:$FY9&lt;&gt;"")))</f>
        <v>0</v>
      </c>
      <c r="GG9" s="29">
        <f t="shared" si="4"/>
        <v>0</v>
      </c>
      <c r="GH9" s="30" t="str">
        <f t="shared" si="5"/>
        <v/>
      </c>
      <c r="GI9" s="29">
        <f t="shared" si="6"/>
        <v>0</v>
      </c>
      <c r="GJ9" s="31" t="str">
        <f t="shared" si="7"/>
        <v/>
      </c>
      <c r="GK9" s="31" t="str">
        <f t="shared" si="8"/>
        <v/>
      </c>
      <c r="GL9" s="30" t="str">
        <f t="shared" si="9"/>
        <v/>
      </c>
      <c r="GM9" s="29">
        <f t="shared" si="10"/>
        <v>0</v>
      </c>
      <c r="GN9" s="32">
        <f t="shared" si="11"/>
        <v>0</v>
      </c>
      <c r="GO9" s="33" t="str">
        <f t="shared" si="12"/>
        <v>Roisin Offenhausen</v>
      </c>
      <c r="GP9" s="34"/>
      <c r="GQ9" s="34"/>
      <c r="GR9" s="34"/>
      <c r="GS9" s="35"/>
    </row>
    <row r="10" spans="2:201" x14ac:dyDescent="0.45">
      <c r="B10" s="287"/>
      <c r="C10" s="6">
        <v>6</v>
      </c>
      <c r="D10" s="7" t="s">
        <v>263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GA10" s="36">
        <f t="shared" si="0"/>
        <v>0</v>
      </c>
      <c r="GB10" s="37" cm="1">
        <f t="array" ref="GB10">IF($D10="","",SUMPRODUCT(($E$4:$CN$4="Att")*($E$3:$CN$3&lt;&gt;"")))</f>
        <v>0</v>
      </c>
      <c r="GC10" s="38" t="str">
        <f t="shared" si="1"/>
        <v/>
      </c>
      <c r="GD10" s="39" t="str">
        <f t="shared" si="2"/>
        <v/>
      </c>
      <c r="GE10" s="38" t="str">
        <f t="shared" si="3"/>
        <v/>
      </c>
      <c r="GF10" s="37" cm="1">
        <f t="array" ref="GF10">IF($D10="","",SUMPRODUCT(($CP$4:$FY$4="Att")*($CP$2:$FY$2&lt;&gt;"")*($CP10:$FY10&lt;&gt;"N-A")*($CP10:$FY10&lt;&gt;"")))</f>
        <v>0</v>
      </c>
      <c r="GG10" s="37">
        <f t="shared" si="4"/>
        <v>0</v>
      </c>
      <c r="GH10" s="38" t="str">
        <f t="shared" si="5"/>
        <v/>
      </c>
      <c r="GI10" s="37">
        <f t="shared" si="6"/>
        <v>0</v>
      </c>
      <c r="GJ10" s="39" t="str">
        <f t="shared" si="7"/>
        <v/>
      </c>
      <c r="GK10" s="39" t="str">
        <f t="shared" si="8"/>
        <v/>
      </c>
      <c r="GL10" s="38" t="str">
        <f t="shared" si="9"/>
        <v/>
      </c>
      <c r="GM10" s="37">
        <f t="shared" si="10"/>
        <v>0</v>
      </c>
      <c r="GN10" s="40">
        <f t="shared" si="11"/>
        <v>0</v>
      </c>
      <c r="GO10" s="41" t="str">
        <f t="shared" si="12"/>
        <v>Naomi Adewoyin</v>
      </c>
      <c r="GP10" s="34"/>
      <c r="GQ10" s="34"/>
      <c r="GR10" s="34"/>
      <c r="GS10" s="35"/>
    </row>
    <row r="11" spans="2:201" x14ac:dyDescent="0.45">
      <c r="B11" s="287"/>
      <c r="C11" s="6">
        <v>7</v>
      </c>
      <c r="D11" s="7" t="s">
        <v>264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GA11" s="28">
        <f t="shared" si="0"/>
        <v>0</v>
      </c>
      <c r="GB11" s="29" cm="1">
        <f t="array" ref="GB11">IF($D11="","",SUMPRODUCT(($E$4:$CN$4="Att")*($E$3:$CN$3&lt;&gt;"")))</f>
        <v>0</v>
      </c>
      <c r="GC11" s="30" t="str">
        <f t="shared" si="1"/>
        <v/>
      </c>
      <c r="GD11" s="31" t="str">
        <f t="shared" si="2"/>
        <v/>
      </c>
      <c r="GE11" s="30" t="str">
        <f t="shared" si="3"/>
        <v/>
      </c>
      <c r="GF11" s="29" cm="1">
        <f t="array" ref="GF11">IF($D11="","",SUMPRODUCT(($CP$4:$FY$4="Att")*($CP$2:$FY$2&lt;&gt;"")*($CP11:$FY11&lt;&gt;"N-A")*($CP11:$FY11&lt;&gt;"")))</f>
        <v>0</v>
      </c>
      <c r="GG11" s="29">
        <f t="shared" si="4"/>
        <v>0</v>
      </c>
      <c r="GH11" s="30" t="str">
        <f t="shared" si="5"/>
        <v/>
      </c>
      <c r="GI11" s="29">
        <f t="shared" si="6"/>
        <v>0</v>
      </c>
      <c r="GJ11" s="31" t="str">
        <f t="shared" si="7"/>
        <v/>
      </c>
      <c r="GK11" s="31" t="str">
        <f t="shared" si="8"/>
        <v/>
      </c>
      <c r="GL11" s="30" t="str">
        <f t="shared" si="9"/>
        <v/>
      </c>
      <c r="GM11" s="29">
        <f t="shared" si="10"/>
        <v>0</v>
      </c>
      <c r="GN11" s="32">
        <f t="shared" si="11"/>
        <v>0</v>
      </c>
      <c r="GO11" s="33" t="str">
        <f t="shared" si="12"/>
        <v>Amber Kilalee</v>
      </c>
      <c r="GP11" s="34"/>
      <c r="GQ11" s="34"/>
      <c r="GR11" s="34"/>
      <c r="GS11" s="35"/>
    </row>
    <row r="12" spans="2:201" x14ac:dyDescent="0.45">
      <c r="B12" s="287"/>
      <c r="C12" s="6">
        <v>8</v>
      </c>
      <c r="D12" s="7" t="s">
        <v>265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GA12" s="36">
        <f t="shared" si="0"/>
        <v>0</v>
      </c>
      <c r="GB12" s="37" cm="1">
        <f t="array" ref="GB12">IF($D12="","",SUMPRODUCT(($E$4:$CN$4="Att")*($E$3:$CN$3&lt;&gt;"")))</f>
        <v>0</v>
      </c>
      <c r="GC12" s="38" t="str">
        <f t="shared" si="1"/>
        <v/>
      </c>
      <c r="GD12" s="39" t="str">
        <f t="shared" si="2"/>
        <v/>
      </c>
      <c r="GE12" s="38" t="str">
        <f t="shared" si="3"/>
        <v/>
      </c>
      <c r="GF12" s="37" cm="1">
        <f t="array" ref="GF12">IF($D12="","",SUMPRODUCT(($CP$4:$FY$4="Att")*($CP$2:$FY$2&lt;&gt;"")*($CP12:$FY12&lt;&gt;"N-A")*($CP12:$FY12&lt;&gt;"")))</f>
        <v>0</v>
      </c>
      <c r="GG12" s="37">
        <f t="shared" si="4"/>
        <v>0</v>
      </c>
      <c r="GH12" s="38" t="str">
        <f t="shared" si="5"/>
        <v/>
      </c>
      <c r="GI12" s="37">
        <f t="shared" si="6"/>
        <v>0</v>
      </c>
      <c r="GJ12" s="39" t="str">
        <f t="shared" si="7"/>
        <v/>
      </c>
      <c r="GK12" s="39" t="str">
        <f t="shared" si="8"/>
        <v/>
      </c>
      <c r="GL12" s="38" t="str">
        <f t="shared" si="9"/>
        <v/>
      </c>
      <c r="GM12" s="37">
        <f t="shared" si="10"/>
        <v>0</v>
      </c>
      <c r="GN12" s="40">
        <f t="shared" si="11"/>
        <v>0</v>
      </c>
      <c r="GO12" s="41" t="str">
        <f t="shared" si="12"/>
        <v>Shauna Kavanagh</v>
      </c>
      <c r="GP12" s="34"/>
      <c r="GQ12" s="34"/>
      <c r="GR12" s="34"/>
      <c r="GS12" s="35"/>
    </row>
    <row r="13" spans="2:201" x14ac:dyDescent="0.45">
      <c r="B13" s="287"/>
      <c r="C13" s="6">
        <v>9</v>
      </c>
      <c r="D13" s="7" t="s">
        <v>266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GA13" s="28">
        <f t="shared" si="0"/>
        <v>0</v>
      </c>
      <c r="GB13" s="29" cm="1">
        <f t="array" ref="GB13">IF($D13="","",SUMPRODUCT(($E$4:$CN$4="Att")*($E$3:$CN$3&lt;&gt;"")))</f>
        <v>0</v>
      </c>
      <c r="GC13" s="30" t="str">
        <f t="shared" si="1"/>
        <v/>
      </c>
      <c r="GD13" s="31" t="str">
        <f t="shared" si="2"/>
        <v/>
      </c>
      <c r="GE13" s="30" t="str">
        <f t="shared" si="3"/>
        <v/>
      </c>
      <c r="GF13" s="29" cm="1">
        <f t="array" ref="GF13">IF($D13="","",SUMPRODUCT(($CP$4:$FY$4="Att")*($CP$2:$FY$2&lt;&gt;"")*($CP13:$FY13&lt;&gt;"N-A")*($CP13:$FY13&lt;&gt;"")))</f>
        <v>0</v>
      </c>
      <c r="GG13" s="29">
        <f t="shared" si="4"/>
        <v>0</v>
      </c>
      <c r="GH13" s="30" t="str">
        <f t="shared" si="5"/>
        <v/>
      </c>
      <c r="GI13" s="29">
        <f t="shared" si="6"/>
        <v>0</v>
      </c>
      <c r="GJ13" s="31" t="str">
        <f t="shared" si="7"/>
        <v/>
      </c>
      <c r="GK13" s="31" t="str">
        <f t="shared" si="8"/>
        <v/>
      </c>
      <c r="GL13" s="30" t="str">
        <f t="shared" si="9"/>
        <v/>
      </c>
      <c r="GM13" s="29">
        <f t="shared" si="10"/>
        <v>0</v>
      </c>
      <c r="GN13" s="32">
        <f t="shared" si="11"/>
        <v>0</v>
      </c>
      <c r="GO13" s="33" t="str">
        <f t="shared" si="12"/>
        <v>Tara Brannigan</v>
      </c>
      <c r="GP13" s="34"/>
      <c r="GQ13" s="34"/>
      <c r="GR13" s="34"/>
      <c r="GS13" s="35"/>
    </row>
    <row r="14" spans="2:201" x14ac:dyDescent="0.45">
      <c r="B14" s="287"/>
      <c r="C14" s="6">
        <v>10</v>
      </c>
      <c r="D14" s="7" t="s">
        <v>267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GA14" s="36">
        <f t="shared" si="0"/>
        <v>0</v>
      </c>
      <c r="GB14" s="37" cm="1">
        <f t="array" ref="GB14">IF($D14="","",SUMPRODUCT(($E$4:$CN$4="Att")*($E$3:$CN$3&lt;&gt;"")))</f>
        <v>0</v>
      </c>
      <c r="GC14" s="38" t="str">
        <f t="shared" si="1"/>
        <v/>
      </c>
      <c r="GD14" s="39" t="str">
        <f t="shared" si="2"/>
        <v/>
      </c>
      <c r="GE14" s="38" t="str">
        <f t="shared" si="3"/>
        <v/>
      </c>
      <c r="GF14" s="37" cm="1">
        <f t="array" ref="GF14">IF($D14="","",SUMPRODUCT(($CP$4:$FY$4="Att")*($CP$2:$FY$2&lt;&gt;"")*($CP14:$FY14&lt;&gt;"N-A")*($CP14:$FY14&lt;&gt;"")))</f>
        <v>0</v>
      </c>
      <c r="GG14" s="37">
        <f t="shared" si="4"/>
        <v>0</v>
      </c>
      <c r="GH14" s="38" t="str">
        <f t="shared" si="5"/>
        <v/>
      </c>
      <c r="GI14" s="37">
        <f t="shared" si="6"/>
        <v>0</v>
      </c>
      <c r="GJ14" s="39" t="str">
        <f t="shared" si="7"/>
        <v/>
      </c>
      <c r="GK14" s="39" t="str">
        <f t="shared" si="8"/>
        <v/>
      </c>
      <c r="GL14" s="38" t="str">
        <f t="shared" si="9"/>
        <v/>
      </c>
      <c r="GM14" s="37">
        <f t="shared" si="10"/>
        <v>0</v>
      </c>
      <c r="GN14" s="40">
        <f t="shared" si="11"/>
        <v>0</v>
      </c>
      <c r="GO14" s="41" t="str">
        <f t="shared" si="12"/>
        <v>Semilore Adesanya</v>
      </c>
      <c r="GP14" s="34"/>
      <c r="GQ14" s="34"/>
      <c r="GR14" s="34"/>
      <c r="GS14" s="35"/>
    </row>
    <row r="15" spans="2:201" x14ac:dyDescent="0.45">
      <c r="B15" s="287"/>
      <c r="C15" s="6">
        <v>11</v>
      </c>
      <c r="D15" s="7" t="s">
        <v>268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GA15" s="28">
        <f t="shared" si="0"/>
        <v>0</v>
      </c>
      <c r="GB15" s="29" cm="1">
        <f t="array" ref="GB15">IF($D15="","",SUMPRODUCT(($E$4:$CN$4="Att")*($E$3:$CN$3&lt;&gt;"")))</f>
        <v>0</v>
      </c>
      <c r="GC15" s="30" t="str">
        <f t="shared" si="1"/>
        <v/>
      </c>
      <c r="GD15" s="31" t="str">
        <f t="shared" si="2"/>
        <v/>
      </c>
      <c r="GE15" s="30" t="str">
        <f t="shared" si="3"/>
        <v/>
      </c>
      <c r="GF15" s="29" cm="1">
        <f t="array" ref="GF15">IF($D15="","",SUMPRODUCT(($CP$4:$FY$4="Att")*($CP$2:$FY$2&lt;&gt;"")*($CP15:$FY15&lt;&gt;"N-A")*($CP15:$FY15&lt;&gt;"")))</f>
        <v>0</v>
      </c>
      <c r="GG15" s="29">
        <f t="shared" si="4"/>
        <v>0</v>
      </c>
      <c r="GH15" s="30" t="str">
        <f t="shared" si="5"/>
        <v/>
      </c>
      <c r="GI15" s="29">
        <f t="shared" si="6"/>
        <v>0</v>
      </c>
      <c r="GJ15" s="31" t="str">
        <f t="shared" si="7"/>
        <v/>
      </c>
      <c r="GK15" s="31" t="str">
        <f t="shared" si="8"/>
        <v/>
      </c>
      <c r="GL15" s="30" t="str">
        <f t="shared" si="9"/>
        <v/>
      </c>
      <c r="GM15" s="29">
        <f t="shared" si="10"/>
        <v>0</v>
      </c>
      <c r="GN15" s="32">
        <f t="shared" si="11"/>
        <v>0</v>
      </c>
      <c r="GO15" s="33" t="str">
        <f t="shared" si="12"/>
        <v>Hannah Fleming</v>
      </c>
      <c r="GP15" s="34"/>
      <c r="GQ15" s="34"/>
      <c r="GR15" s="34"/>
      <c r="GS15" s="35"/>
    </row>
    <row r="16" spans="2:201" x14ac:dyDescent="0.45">
      <c r="B16" s="287"/>
      <c r="C16" s="6">
        <v>12</v>
      </c>
      <c r="D16" s="7" t="s">
        <v>269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GA16" s="36">
        <f t="shared" si="0"/>
        <v>0</v>
      </c>
      <c r="GB16" s="37" cm="1">
        <f t="array" ref="GB16">IF($D16="","",SUMPRODUCT(($E$4:$CN$4="Att")*($E$3:$CN$3&lt;&gt;"")))</f>
        <v>0</v>
      </c>
      <c r="GC16" s="38" t="str">
        <f t="shared" si="1"/>
        <v/>
      </c>
      <c r="GD16" s="39" t="str">
        <f t="shared" si="2"/>
        <v/>
      </c>
      <c r="GE16" s="38" t="str">
        <f t="shared" si="3"/>
        <v/>
      </c>
      <c r="GF16" s="37" cm="1">
        <f t="array" ref="GF16">IF($D16="","",SUMPRODUCT(($CP$4:$FY$4="Att")*($CP$2:$FY$2&lt;&gt;"")*($CP16:$FY16&lt;&gt;"N-A")*($CP16:$FY16&lt;&gt;"")))</f>
        <v>0</v>
      </c>
      <c r="GG16" s="37">
        <f t="shared" si="4"/>
        <v>0</v>
      </c>
      <c r="GH16" s="38" t="str">
        <f t="shared" si="5"/>
        <v/>
      </c>
      <c r="GI16" s="37">
        <f t="shared" si="6"/>
        <v>0</v>
      </c>
      <c r="GJ16" s="39" t="str">
        <f t="shared" si="7"/>
        <v/>
      </c>
      <c r="GK16" s="39" t="str">
        <f t="shared" si="8"/>
        <v/>
      </c>
      <c r="GL16" s="38" t="str">
        <f t="shared" si="9"/>
        <v/>
      </c>
      <c r="GM16" s="37">
        <f t="shared" si="10"/>
        <v>0</v>
      </c>
      <c r="GN16" s="40">
        <f t="shared" si="11"/>
        <v>0</v>
      </c>
      <c r="GO16" s="41" t="str">
        <f t="shared" si="12"/>
        <v>Emma Kelly</v>
      </c>
      <c r="GP16" s="34"/>
      <c r="GQ16" s="34"/>
      <c r="GR16" s="34"/>
      <c r="GS16" s="35"/>
    </row>
    <row r="17" spans="2:201" x14ac:dyDescent="0.45">
      <c r="B17" s="287"/>
      <c r="C17" s="6">
        <v>13</v>
      </c>
      <c r="D17" s="7" t="s">
        <v>270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GA17" s="28">
        <f t="shared" si="0"/>
        <v>0</v>
      </c>
      <c r="GB17" s="29" cm="1">
        <f t="array" ref="GB17">IF($D17="","",SUMPRODUCT(($E$4:$CN$4="Att")*($E$3:$CN$3&lt;&gt;"")))</f>
        <v>0</v>
      </c>
      <c r="GC17" s="30" t="str">
        <f t="shared" si="1"/>
        <v/>
      </c>
      <c r="GD17" s="31" t="str">
        <f t="shared" si="2"/>
        <v/>
      </c>
      <c r="GE17" s="30" t="str">
        <f t="shared" si="3"/>
        <v/>
      </c>
      <c r="GF17" s="29" cm="1">
        <f t="array" ref="GF17">IF($D17="","",SUMPRODUCT(($CP$4:$FY$4="Att")*($CP$2:$FY$2&lt;&gt;"")*($CP17:$FY17&lt;&gt;"N-A")*($CP17:$FY17&lt;&gt;"")))</f>
        <v>0</v>
      </c>
      <c r="GG17" s="29">
        <f t="shared" si="4"/>
        <v>0</v>
      </c>
      <c r="GH17" s="30" t="str">
        <f t="shared" si="5"/>
        <v/>
      </c>
      <c r="GI17" s="29">
        <f t="shared" si="6"/>
        <v>0</v>
      </c>
      <c r="GJ17" s="31" t="str">
        <f t="shared" si="7"/>
        <v/>
      </c>
      <c r="GK17" s="31" t="str">
        <f t="shared" si="8"/>
        <v/>
      </c>
      <c r="GL17" s="30" t="str">
        <f t="shared" si="9"/>
        <v/>
      </c>
      <c r="GM17" s="29">
        <f t="shared" si="10"/>
        <v>0</v>
      </c>
      <c r="GN17" s="32">
        <f t="shared" si="11"/>
        <v>0</v>
      </c>
      <c r="GO17" s="33" t="str">
        <f t="shared" si="12"/>
        <v>Roma Memon</v>
      </c>
      <c r="GP17" s="34"/>
      <c r="GQ17" s="34"/>
      <c r="GR17" s="34"/>
      <c r="GS17" s="35"/>
    </row>
    <row r="18" spans="2:201" x14ac:dyDescent="0.45">
      <c r="B18" s="287"/>
      <c r="C18" s="6">
        <v>14</v>
      </c>
      <c r="D18" s="7" t="s">
        <v>271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GA18" s="36">
        <f t="shared" si="0"/>
        <v>0</v>
      </c>
      <c r="GB18" s="37" cm="1">
        <f t="array" ref="GB18">IF($D18="","",SUMPRODUCT(($E$4:$CN$4="Att")*($E$3:$CN$3&lt;&gt;"")))</f>
        <v>0</v>
      </c>
      <c r="GC18" s="38" t="str">
        <f t="shared" si="1"/>
        <v/>
      </c>
      <c r="GD18" s="39" t="str">
        <f t="shared" si="2"/>
        <v/>
      </c>
      <c r="GE18" s="38" t="str">
        <f t="shared" si="3"/>
        <v/>
      </c>
      <c r="GF18" s="37" cm="1">
        <f t="array" ref="GF18">IF($D18="","",SUMPRODUCT(($CP$4:$FY$4="Att")*($CP$2:$FY$2&lt;&gt;"")*($CP18:$FY18&lt;&gt;"N-A")*($CP18:$FY18&lt;&gt;"")))</f>
        <v>0</v>
      </c>
      <c r="GG18" s="37">
        <f t="shared" si="4"/>
        <v>0</v>
      </c>
      <c r="GH18" s="38" t="str">
        <f t="shared" si="5"/>
        <v/>
      </c>
      <c r="GI18" s="37">
        <f t="shared" si="6"/>
        <v>0</v>
      </c>
      <c r="GJ18" s="39" t="str">
        <f t="shared" si="7"/>
        <v/>
      </c>
      <c r="GK18" s="39" t="str">
        <f t="shared" si="8"/>
        <v/>
      </c>
      <c r="GL18" s="38" t="str">
        <f t="shared" si="9"/>
        <v/>
      </c>
      <c r="GM18" s="37">
        <f t="shared" si="10"/>
        <v>0</v>
      </c>
      <c r="GN18" s="40">
        <f t="shared" si="11"/>
        <v>0</v>
      </c>
      <c r="GO18" s="41" t="str">
        <f t="shared" si="12"/>
        <v>Emma Dromgoole</v>
      </c>
      <c r="GP18" s="34"/>
      <c r="GQ18" s="34"/>
      <c r="GR18" s="34"/>
      <c r="GS18" s="35"/>
    </row>
    <row r="19" spans="2:201" x14ac:dyDescent="0.45">
      <c r="B19" s="287"/>
      <c r="C19" s="6">
        <v>15</v>
      </c>
      <c r="D19" s="7" t="s">
        <v>272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GA19" s="28">
        <f t="shared" si="0"/>
        <v>0</v>
      </c>
      <c r="GB19" s="29" cm="1">
        <f t="array" ref="GB19">IF($D19="","",SUMPRODUCT(($E$4:$CN$4="Att")*($E$3:$CN$3&lt;&gt;"")))</f>
        <v>0</v>
      </c>
      <c r="GC19" s="30" t="str">
        <f t="shared" si="1"/>
        <v/>
      </c>
      <c r="GD19" s="31" t="str">
        <f t="shared" si="2"/>
        <v/>
      </c>
      <c r="GE19" s="30" t="str">
        <f t="shared" si="3"/>
        <v/>
      </c>
      <c r="GF19" s="29" cm="1">
        <f t="array" ref="GF19">IF($D19="","",SUMPRODUCT(($CP$4:$FY$4="Att")*($CP$2:$FY$2&lt;&gt;"")*($CP19:$FY19&lt;&gt;"N-A")*($CP19:$FY19&lt;&gt;"")))</f>
        <v>0</v>
      </c>
      <c r="GG19" s="29">
        <f t="shared" si="4"/>
        <v>0</v>
      </c>
      <c r="GH19" s="30" t="str">
        <f t="shared" si="5"/>
        <v/>
      </c>
      <c r="GI19" s="29">
        <f t="shared" si="6"/>
        <v>0</v>
      </c>
      <c r="GJ19" s="31" t="str">
        <f t="shared" si="7"/>
        <v/>
      </c>
      <c r="GK19" s="31" t="str">
        <f t="shared" si="8"/>
        <v/>
      </c>
      <c r="GL19" s="30" t="str">
        <f t="shared" si="9"/>
        <v/>
      </c>
      <c r="GM19" s="29">
        <f t="shared" si="10"/>
        <v>0</v>
      </c>
      <c r="GN19" s="32">
        <f t="shared" si="11"/>
        <v>0</v>
      </c>
      <c r="GO19" s="33" t="str">
        <f t="shared" si="12"/>
        <v>Elsie Morrison</v>
      </c>
      <c r="GP19" s="34"/>
      <c r="GQ19" s="34"/>
      <c r="GR19" s="34"/>
      <c r="GS19" s="35"/>
    </row>
    <row r="20" spans="2:201" x14ac:dyDescent="0.45">
      <c r="B20" s="287"/>
      <c r="C20" s="6">
        <v>16</v>
      </c>
      <c r="D20" s="7" t="s">
        <v>273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GA20" s="36">
        <f t="shared" si="0"/>
        <v>0</v>
      </c>
      <c r="GB20" s="37" cm="1">
        <f t="array" ref="GB20">IF($D20="","",SUMPRODUCT(($E$4:$CN$4="Att")*($E$3:$CN$3&lt;&gt;"")))</f>
        <v>0</v>
      </c>
      <c r="GC20" s="38" t="str">
        <f t="shared" si="1"/>
        <v/>
      </c>
      <c r="GD20" s="39" t="str">
        <f t="shared" si="2"/>
        <v/>
      </c>
      <c r="GE20" s="38" t="str">
        <f t="shared" si="3"/>
        <v/>
      </c>
      <c r="GF20" s="37" cm="1">
        <f t="array" ref="GF20">IF($D20="","",SUMPRODUCT(($CP$4:$FY$4="Att")*($CP$2:$FY$2&lt;&gt;"")*($CP20:$FY20&lt;&gt;"N-A")*($CP20:$FY20&lt;&gt;"")))</f>
        <v>0</v>
      </c>
      <c r="GG20" s="37">
        <f t="shared" si="4"/>
        <v>0</v>
      </c>
      <c r="GH20" s="38" t="str">
        <f t="shared" si="5"/>
        <v/>
      </c>
      <c r="GI20" s="37">
        <f t="shared" si="6"/>
        <v>0</v>
      </c>
      <c r="GJ20" s="39" t="str">
        <f t="shared" si="7"/>
        <v/>
      </c>
      <c r="GK20" s="39" t="str">
        <f t="shared" si="8"/>
        <v/>
      </c>
      <c r="GL20" s="38" t="str">
        <f t="shared" si="9"/>
        <v/>
      </c>
      <c r="GM20" s="37">
        <f t="shared" si="10"/>
        <v>0</v>
      </c>
      <c r="GN20" s="40">
        <f t="shared" si="11"/>
        <v>0</v>
      </c>
      <c r="GO20" s="41" t="str">
        <f t="shared" si="12"/>
        <v>Zara Freeman</v>
      </c>
      <c r="GP20" s="34"/>
      <c r="GQ20" s="34"/>
      <c r="GR20" s="34"/>
      <c r="GS20" s="35"/>
    </row>
    <row r="21" spans="2:201" x14ac:dyDescent="0.45">
      <c r="B21" s="288"/>
      <c r="C21" s="6">
        <v>17</v>
      </c>
      <c r="D21" s="7" t="s">
        <v>274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GA21" s="28">
        <f t="shared" si="0"/>
        <v>0</v>
      </c>
      <c r="GB21" s="29" cm="1">
        <f t="array" ref="GB21">IF($D21="","",SUMPRODUCT(($E$4:$CN$4="Att")*($E$3:$CN$3&lt;&gt;"")))</f>
        <v>0</v>
      </c>
      <c r="GC21" s="30" t="str">
        <f t="shared" si="1"/>
        <v/>
      </c>
      <c r="GD21" s="31" t="str">
        <f t="shared" si="2"/>
        <v/>
      </c>
      <c r="GE21" s="30" t="str">
        <f t="shared" si="3"/>
        <v/>
      </c>
      <c r="GF21" s="29" cm="1">
        <f t="array" ref="GF21">IF($D21="","",SUMPRODUCT(($CP$4:$FY$4="Att")*($CP$2:$FY$2&lt;&gt;"")*($CP21:$FY21&lt;&gt;"N-A")*($CP21:$FY21&lt;&gt;"")))</f>
        <v>0</v>
      </c>
      <c r="GG21" s="29">
        <f t="shared" si="4"/>
        <v>0</v>
      </c>
      <c r="GH21" s="30" t="str">
        <f t="shared" si="5"/>
        <v/>
      </c>
      <c r="GI21" s="29">
        <f t="shared" si="6"/>
        <v>0</v>
      </c>
      <c r="GJ21" s="31" t="str">
        <f t="shared" si="7"/>
        <v/>
      </c>
      <c r="GK21" s="31" t="str">
        <f t="shared" si="8"/>
        <v/>
      </c>
      <c r="GL21" s="30" t="str">
        <f t="shared" si="9"/>
        <v/>
      </c>
      <c r="GM21" s="29">
        <f t="shared" si="10"/>
        <v>0</v>
      </c>
      <c r="GN21" s="32">
        <f t="shared" si="11"/>
        <v>0</v>
      </c>
      <c r="GO21" s="33" t="str">
        <f t="shared" si="12"/>
        <v>Marianna</v>
      </c>
      <c r="GP21" s="34"/>
      <c r="GQ21" s="34"/>
      <c r="GR21" s="34"/>
      <c r="GS21" s="35"/>
    </row>
    <row r="22" spans="2:201" x14ac:dyDescent="0.45">
      <c r="B22" s="289" t="s">
        <v>6</v>
      </c>
      <c r="C22" s="6">
        <v>18</v>
      </c>
      <c r="D22" s="7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GA22" s="36" t="str">
        <f t="shared" si="0"/>
        <v/>
      </c>
      <c r="GB22" s="37" t="str" cm="1">
        <f t="array" ref="GB22">IF($D22="","",SUMPRODUCT(($E$4:$CN$4="Att")*($E$3:$CN$3&lt;&gt;"")))</f>
        <v/>
      </c>
      <c r="GC22" s="38" t="str">
        <f t="shared" si="1"/>
        <v/>
      </c>
      <c r="GD22" s="39" t="str">
        <f t="shared" si="2"/>
        <v/>
      </c>
      <c r="GE22" s="38" t="str">
        <f t="shared" si="3"/>
        <v/>
      </c>
      <c r="GF22" s="37" t="str" cm="1">
        <f t="array" ref="GF22">IF($D22="","",SUMPRODUCT(($CP$4:$FY$4="Att")*($CP$2:$FY$2&lt;&gt;"")*($CP22:$FY22&lt;&gt;"N-A")*($CP22:$FY22&lt;&gt;"")))</f>
        <v/>
      </c>
      <c r="GG22" s="37" t="str">
        <f t="shared" si="4"/>
        <v/>
      </c>
      <c r="GH22" s="38" t="str">
        <f t="shared" si="5"/>
        <v/>
      </c>
      <c r="GI22" s="37" t="str">
        <f t="shared" si="6"/>
        <v/>
      </c>
      <c r="GJ22" s="39" t="str">
        <f t="shared" si="7"/>
        <v/>
      </c>
      <c r="GK22" s="39" t="str">
        <f t="shared" si="8"/>
        <v/>
      </c>
      <c r="GL22" s="38" t="str">
        <f t="shared" si="9"/>
        <v/>
      </c>
      <c r="GM22" s="37" t="str">
        <f t="shared" si="10"/>
        <v/>
      </c>
      <c r="GN22" s="40" t="str">
        <f t="shared" si="11"/>
        <v/>
      </c>
      <c r="GO22" s="41" t="str">
        <f t="shared" si="12"/>
        <v/>
      </c>
      <c r="GP22" s="34"/>
      <c r="GQ22" s="34"/>
      <c r="GR22" s="34"/>
      <c r="GS22" s="35"/>
    </row>
    <row r="23" spans="2:201" x14ac:dyDescent="0.45">
      <c r="B23" s="290"/>
      <c r="C23" s="6">
        <v>19</v>
      </c>
      <c r="D23" s="7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GA23" s="28" t="str">
        <f t="shared" si="0"/>
        <v/>
      </c>
      <c r="GB23" s="29" t="str" cm="1">
        <f t="array" ref="GB23">IF($D23="","",SUMPRODUCT(($E$4:$CN$4="Att")*($E$3:$CN$3&lt;&gt;"")))</f>
        <v/>
      </c>
      <c r="GC23" s="30" t="str">
        <f t="shared" si="1"/>
        <v/>
      </c>
      <c r="GD23" s="31" t="str">
        <f t="shared" si="2"/>
        <v/>
      </c>
      <c r="GE23" s="30" t="str">
        <f t="shared" si="3"/>
        <v/>
      </c>
      <c r="GF23" s="29" t="str" cm="1">
        <f t="array" ref="GF23">IF($D23="","",SUMPRODUCT(($CP$4:$FY$4="Att")*($CP$2:$FY$2&lt;&gt;"")*($CP23:$FY23&lt;&gt;"N-A")*($CP23:$FY23&lt;&gt;"")))</f>
        <v/>
      </c>
      <c r="GG23" s="29" t="str">
        <f t="shared" si="4"/>
        <v/>
      </c>
      <c r="GH23" s="30" t="str">
        <f t="shared" si="5"/>
        <v/>
      </c>
      <c r="GI23" s="29" t="str">
        <f t="shared" si="6"/>
        <v/>
      </c>
      <c r="GJ23" s="31" t="str">
        <f t="shared" si="7"/>
        <v/>
      </c>
      <c r="GK23" s="31" t="str">
        <f t="shared" si="8"/>
        <v/>
      </c>
      <c r="GL23" s="30" t="str">
        <f t="shared" si="9"/>
        <v/>
      </c>
      <c r="GM23" s="29" t="str">
        <f t="shared" si="10"/>
        <v/>
      </c>
      <c r="GN23" s="32" t="str">
        <f t="shared" si="11"/>
        <v/>
      </c>
      <c r="GO23" s="33" t="str">
        <f t="shared" si="12"/>
        <v/>
      </c>
      <c r="GP23" s="34"/>
      <c r="GQ23" s="34"/>
      <c r="GR23" s="34"/>
      <c r="GS23" s="35"/>
    </row>
    <row r="24" spans="2:201" x14ac:dyDescent="0.45">
      <c r="B24" s="291"/>
      <c r="C24" s="6">
        <v>20</v>
      </c>
      <c r="D24" s="7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GA24" s="42" t="str">
        <f t="shared" si="0"/>
        <v/>
      </c>
      <c r="GB24" s="43" t="str" cm="1">
        <f t="array" ref="GB24">IF($D24="","",SUMPRODUCT(($E$4:$CN$4="Att")*($E$3:$CN$3&lt;&gt;"")))</f>
        <v/>
      </c>
      <c r="GC24" s="44" t="str">
        <f t="shared" si="1"/>
        <v/>
      </c>
      <c r="GD24" s="45" t="str">
        <f t="shared" si="2"/>
        <v/>
      </c>
      <c r="GE24" s="44" t="str">
        <f t="shared" si="3"/>
        <v/>
      </c>
      <c r="GF24" s="43" t="str" cm="1">
        <f t="array" ref="GF24">IF($D24="","",SUMPRODUCT(($CP$4:$FY$4="Att")*($CP$2:$FY$2&lt;&gt;"")*($CP24:$FY24&lt;&gt;"N-A")*($CP24:$FY24&lt;&gt;"")))</f>
        <v/>
      </c>
      <c r="GG24" s="43" t="str">
        <f t="shared" si="4"/>
        <v/>
      </c>
      <c r="GH24" s="44" t="str">
        <f t="shared" si="5"/>
        <v/>
      </c>
      <c r="GI24" s="43" t="str">
        <f t="shared" si="6"/>
        <v/>
      </c>
      <c r="GJ24" s="45" t="str">
        <f t="shared" si="7"/>
        <v/>
      </c>
      <c r="GK24" s="45" t="str">
        <f t="shared" si="8"/>
        <v/>
      </c>
      <c r="GL24" s="44" t="str">
        <f t="shared" si="9"/>
        <v/>
      </c>
      <c r="GM24" s="43" t="str">
        <f t="shared" si="10"/>
        <v/>
      </c>
      <c r="GN24" s="46" t="str">
        <f t="shared" si="11"/>
        <v/>
      </c>
      <c r="GO24" s="47" t="str">
        <f t="shared" si="12"/>
        <v/>
      </c>
      <c r="GP24" s="48"/>
      <c r="GQ24" s="48"/>
      <c r="GR24" s="48"/>
      <c r="GS24" s="49"/>
    </row>
    <row r="26" spans="2:201" x14ac:dyDescent="0.45">
      <c r="D26" s="20" t="s">
        <v>35</v>
      </c>
      <c r="CP26" s="271" t="str">
        <f>IF('Match Day Reports'!$N45="","",'Match Day Reports'!$N45)</f>
        <v/>
      </c>
      <c r="CQ26" s="272"/>
      <c r="CR26" s="272"/>
      <c r="CS26" s="272"/>
      <c r="CT26" s="271" t="str">
        <f>IF('Match Day Reports'!$N46="","",'Match Day Reports'!$N46)</f>
        <v/>
      </c>
      <c r="CU26" s="272"/>
      <c r="CV26" s="272"/>
      <c r="CW26" s="272"/>
      <c r="CX26" s="271" t="str">
        <f>IF('Match Day Reports'!$N47="","",'Match Day Reports'!$N47)</f>
        <v/>
      </c>
      <c r="CY26" s="272"/>
      <c r="CZ26" s="272"/>
      <c r="DA26" s="272"/>
      <c r="DB26" s="271" t="str">
        <f>IF('Match Day Reports'!$N48="","",'Match Day Reports'!$N48)</f>
        <v/>
      </c>
      <c r="DC26" s="272"/>
      <c r="DD26" s="272"/>
      <c r="DE26" s="272"/>
      <c r="DF26" s="271" t="str">
        <f>IF('Match Day Reports'!$N49="","",'Match Day Reports'!$N49)</f>
        <v/>
      </c>
      <c r="DG26" s="272"/>
      <c r="DH26" s="272"/>
      <c r="DI26" s="272"/>
      <c r="DJ26" s="271" t="str">
        <f>IF('Match Day Reports'!$N50="","",'Match Day Reports'!$N50)</f>
        <v/>
      </c>
      <c r="DK26" s="272"/>
      <c r="DL26" s="272"/>
      <c r="DM26" s="272"/>
      <c r="DN26" s="271" t="str">
        <f>IF('Match Day Reports'!$N51="","",'Match Day Reports'!$N51)</f>
        <v/>
      </c>
      <c r="DO26" s="272"/>
      <c r="DP26" s="272"/>
      <c r="DQ26" s="272"/>
      <c r="DR26" s="271" t="str">
        <f>IF('Match Day Reports'!$N52="","",'Match Day Reports'!$N52)</f>
        <v/>
      </c>
      <c r="DS26" s="272"/>
      <c r="DT26" s="272"/>
      <c r="DU26" s="272"/>
      <c r="DV26" s="271" t="str">
        <f>IF('Match Day Reports'!$N53="","",'Match Day Reports'!$N53)</f>
        <v/>
      </c>
      <c r="DW26" s="272"/>
      <c r="DX26" s="272"/>
      <c r="DY26" s="272"/>
      <c r="DZ26" s="271" t="str">
        <f>IF('Match Day Reports'!$N54="","",'Match Day Reports'!$N54)</f>
        <v/>
      </c>
      <c r="EA26" s="272"/>
      <c r="EB26" s="272"/>
      <c r="EC26" s="272"/>
      <c r="ED26" s="271" t="str">
        <f>IF('Match Day Reports'!$N55="","",'Match Day Reports'!$N55)</f>
        <v/>
      </c>
      <c r="EE26" s="272"/>
      <c r="EF26" s="272"/>
      <c r="EG26" s="272"/>
      <c r="EH26" s="271" t="str">
        <f>IF('Match Day Reports'!$N56="","",'Match Day Reports'!$N56)</f>
        <v/>
      </c>
      <c r="EI26" s="272"/>
      <c r="EJ26" s="272"/>
      <c r="EK26" s="272"/>
      <c r="EL26" s="271" t="str">
        <f>IF('Match Day Reports'!$N57="","",'Match Day Reports'!$N57)</f>
        <v/>
      </c>
      <c r="EM26" s="272"/>
      <c r="EN26" s="272"/>
      <c r="EO26" s="272"/>
      <c r="EP26" s="271" t="str">
        <f>IF('Match Day Reports'!$N58="","",'Match Day Reports'!$N58)</f>
        <v/>
      </c>
      <c r="EQ26" s="272"/>
      <c r="ER26" s="272"/>
      <c r="ES26" s="272"/>
      <c r="ET26" s="271" t="str">
        <f>IF('Match Day Reports'!$N59="","",'Match Day Reports'!$N59)</f>
        <v/>
      </c>
      <c r="EU26" s="272"/>
      <c r="EV26" s="272"/>
      <c r="EW26" s="272"/>
      <c r="EX26" s="271" t="str">
        <f>IF('Match Day Reports'!$N60="","",'Match Day Reports'!$N60)</f>
        <v/>
      </c>
      <c r="EY26" s="272"/>
      <c r="EZ26" s="272"/>
      <c r="FA26" s="272"/>
      <c r="FB26" s="271" t="str">
        <f>IF('Match Day Reports'!$N61="","",'Match Day Reports'!$N61)</f>
        <v/>
      </c>
      <c r="FC26" s="272"/>
      <c r="FD26" s="272"/>
      <c r="FE26" s="272"/>
      <c r="FF26" s="271" t="str">
        <f>IF('Match Day Reports'!$N62="","",'Match Day Reports'!$N62)</f>
        <v/>
      </c>
      <c r="FG26" s="272"/>
      <c r="FH26" s="272"/>
      <c r="FI26" s="272"/>
      <c r="FJ26" s="271" t="str">
        <f>IF('Match Day Reports'!$N63="","",'Match Day Reports'!$N63)</f>
        <v/>
      </c>
      <c r="FK26" s="272"/>
      <c r="FL26" s="272"/>
      <c r="FM26" s="272"/>
      <c r="FN26" s="271" t="str">
        <f>IF('Match Day Reports'!$N64="","",'Match Day Reports'!$N64)</f>
        <v/>
      </c>
      <c r="FO26" s="272"/>
      <c r="FP26" s="272"/>
      <c r="FQ26" s="272"/>
      <c r="FR26" s="271" t="str">
        <f>IF('Match Day Reports'!$N65="","",'Match Day Reports'!$N65)</f>
        <v/>
      </c>
      <c r="FS26" s="272"/>
      <c r="FT26" s="272"/>
      <c r="FU26" s="272"/>
      <c r="FV26" s="271" t="str">
        <f>IF('Match Day Reports'!$N66="","",'Match Day Reports'!$N66)</f>
        <v/>
      </c>
      <c r="FW26" s="272"/>
      <c r="FX26" s="272"/>
      <c r="FY26" s="272"/>
    </row>
    <row r="27" spans="2:201" x14ac:dyDescent="0.45">
      <c r="D27" s="20" t="s">
        <v>36</v>
      </c>
      <c r="CP27" s="271" t="str">
        <f>IF('Match Day Reports'!$O45="","",'Match Day Reports'!$O45)</f>
        <v/>
      </c>
      <c r="CQ27" s="272"/>
      <c r="CR27" s="272"/>
      <c r="CS27" s="272"/>
      <c r="CT27" s="271" t="str">
        <f>IF('Match Day Reports'!$O46="","",'Match Day Reports'!$O46)</f>
        <v/>
      </c>
      <c r="CU27" s="272"/>
      <c r="CV27" s="272"/>
      <c r="CW27" s="272"/>
      <c r="CX27" s="271" t="str">
        <f>IF('Match Day Reports'!$O47="","",'Match Day Reports'!$O47)</f>
        <v/>
      </c>
      <c r="CY27" s="272"/>
      <c r="CZ27" s="272"/>
      <c r="DA27" s="272"/>
      <c r="DB27" s="271" t="str">
        <f>IF('Match Day Reports'!$O48="","",'Match Day Reports'!$O48)</f>
        <v/>
      </c>
      <c r="DC27" s="272"/>
      <c r="DD27" s="272"/>
      <c r="DE27" s="272"/>
      <c r="DF27" s="271" t="str">
        <f>IF('Match Day Reports'!$O49="","",'Match Day Reports'!$O49)</f>
        <v/>
      </c>
      <c r="DG27" s="272"/>
      <c r="DH27" s="272"/>
      <c r="DI27" s="272"/>
      <c r="DJ27" s="271" t="str">
        <f>IF('Match Day Reports'!$O50="","",'Match Day Reports'!$O50)</f>
        <v/>
      </c>
      <c r="DK27" s="272"/>
      <c r="DL27" s="272"/>
      <c r="DM27" s="272"/>
      <c r="DN27" s="271" t="str">
        <f>IF('Match Day Reports'!$O51="","",'Match Day Reports'!$O51)</f>
        <v/>
      </c>
      <c r="DO27" s="272"/>
      <c r="DP27" s="272"/>
      <c r="DQ27" s="272"/>
      <c r="DR27" s="271" t="str">
        <f>IF('Match Day Reports'!$O52="","",'Match Day Reports'!$O52)</f>
        <v/>
      </c>
      <c r="DS27" s="272"/>
      <c r="DT27" s="272"/>
      <c r="DU27" s="272"/>
      <c r="DV27" s="271" t="str">
        <f>IF('Match Day Reports'!$O53="","",'Match Day Reports'!$O53)</f>
        <v/>
      </c>
      <c r="DW27" s="272"/>
      <c r="DX27" s="272"/>
      <c r="DY27" s="272"/>
      <c r="DZ27" s="271" t="str">
        <f>IF('Match Day Reports'!$O54="","",'Match Day Reports'!$O54)</f>
        <v/>
      </c>
      <c r="EA27" s="272"/>
      <c r="EB27" s="272"/>
      <c r="EC27" s="272"/>
      <c r="ED27" s="271" t="str">
        <f>IF('Match Day Reports'!$O55="","",'Match Day Reports'!$O55)</f>
        <v/>
      </c>
      <c r="EE27" s="272"/>
      <c r="EF27" s="272"/>
      <c r="EG27" s="272"/>
      <c r="EH27" s="271" t="str">
        <f>IF('Match Day Reports'!$O56="","",'Match Day Reports'!$O56)</f>
        <v/>
      </c>
      <c r="EI27" s="272"/>
      <c r="EJ27" s="272"/>
      <c r="EK27" s="272"/>
      <c r="EL27" s="271" t="str">
        <f>IF('Match Day Reports'!$O57="","",'Match Day Reports'!$O57)</f>
        <v/>
      </c>
      <c r="EM27" s="272"/>
      <c r="EN27" s="272"/>
      <c r="EO27" s="272"/>
      <c r="EP27" s="271" t="str">
        <f>IF('Match Day Reports'!$O58="","",'Match Day Reports'!$O58)</f>
        <v/>
      </c>
      <c r="EQ27" s="272"/>
      <c r="ER27" s="272"/>
      <c r="ES27" s="272"/>
      <c r="ET27" s="271" t="str">
        <f>IF('Match Day Reports'!$O59="","",'Match Day Reports'!$O59)</f>
        <v/>
      </c>
      <c r="EU27" s="272"/>
      <c r="EV27" s="272"/>
      <c r="EW27" s="272"/>
      <c r="EX27" s="271" t="str">
        <f>IF('Match Day Reports'!$O60="","",'Match Day Reports'!$O60)</f>
        <v/>
      </c>
      <c r="EY27" s="272"/>
      <c r="EZ27" s="272"/>
      <c r="FA27" s="272"/>
      <c r="FB27" s="271" t="str">
        <f>IF('Match Day Reports'!$O61="","",'Match Day Reports'!$O61)</f>
        <v/>
      </c>
      <c r="FC27" s="272"/>
      <c r="FD27" s="272"/>
      <c r="FE27" s="272"/>
      <c r="FF27" s="271" t="str">
        <f>IF('Match Day Reports'!$O62="","",'Match Day Reports'!$O62)</f>
        <v/>
      </c>
      <c r="FG27" s="272"/>
      <c r="FH27" s="272"/>
      <c r="FI27" s="272"/>
      <c r="FJ27" s="271" t="str">
        <f>IF('Match Day Reports'!$O63="","",'Match Day Reports'!$O63)</f>
        <v/>
      </c>
      <c r="FK27" s="272"/>
      <c r="FL27" s="272"/>
      <c r="FM27" s="272"/>
      <c r="FN27" s="271" t="str">
        <f>IF('Match Day Reports'!$O64="","",'Match Day Reports'!$O64)</f>
        <v/>
      </c>
      <c r="FO27" s="272"/>
      <c r="FP27" s="272"/>
      <c r="FQ27" s="272"/>
      <c r="FR27" s="271" t="str">
        <f>IF('Match Day Reports'!$O65="","",'Match Day Reports'!$O65)</f>
        <v/>
      </c>
      <c r="FS27" s="272"/>
      <c r="FT27" s="272"/>
      <c r="FU27" s="272"/>
      <c r="FV27" s="271" t="str">
        <f>IF('Match Day Reports'!$O66="","",'Match Day Reports'!$O66)</f>
        <v/>
      </c>
      <c r="FW27" s="272"/>
      <c r="FX27" s="272"/>
      <c r="FY27" s="272"/>
    </row>
    <row r="28" spans="2:201" x14ac:dyDescent="0.45">
      <c r="D28" s="20" t="s">
        <v>37</v>
      </c>
      <c r="CP28" s="273" t="str">
        <f>IF(OR(CP26="",CP27=""),"",IF(CP26&gt;CP27,"W",IF(CP26=CP27,"D","L")))</f>
        <v/>
      </c>
      <c r="CQ28" s="273"/>
      <c r="CR28" s="273"/>
      <c r="CS28" s="273"/>
      <c r="CT28" s="273" t="str">
        <f>IF(OR(CT26="",CT27=""),"",IF(CT26&gt;CT27,"W",IF(CT26=CT27,"D","L")))</f>
        <v/>
      </c>
      <c r="CU28" s="273"/>
      <c r="CV28" s="273"/>
      <c r="CW28" s="273"/>
      <c r="CX28" s="273" t="str">
        <f>IF(OR(CX26="",CX27=""),"",IF(CX26&gt;CX27,"W",IF(CX26=CX27,"D","L")))</f>
        <v/>
      </c>
      <c r="CY28" s="273"/>
      <c r="CZ28" s="273"/>
      <c r="DA28" s="273"/>
      <c r="DB28" s="273" t="str">
        <f>IF(OR(DB26="",DB27=""),"",IF(DB26&gt;DB27,"W",IF(DB26=DB27,"D","L")))</f>
        <v/>
      </c>
      <c r="DC28" s="273"/>
      <c r="DD28" s="273"/>
      <c r="DE28" s="273"/>
      <c r="DF28" s="273" t="str">
        <f>IF(OR(DF26="",DF27=""),"",IF(DF26&gt;DF27,"W",IF(DF26=DF27,"D","L")))</f>
        <v/>
      </c>
      <c r="DG28" s="273"/>
      <c r="DH28" s="273"/>
      <c r="DI28" s="273"/>
      <c r="DJ28" s="273" t="str">
        <f>IF(OR(DJ26="",DJ27=""),"",IF(DJ26&gt;DJ27,"W",IF(DJ26=DJ27,"D","L")))</f>
        <v/>
      </c>
      <c r="DK28" s="273"/>
      <c r="DL28" s="273"/>
      <c r="DM28" s="273"/>
      <c r="DN28" s="273" t="str">
        <f>IF(OR(DN26="",DN27=""),"",IF(DN26&gt;DN27,"W",IF(DN26=DN27,"D","L")))</f>
        <v/>
      </c>
      <c r="DO28" s="273"/>
      <c r="DP28" s="273"/>
      <c r="DQ28" s="273"/>
      <c r="DR28" s="273" t="str">
        <f>IF(OR(DR26="",DR27=""),"",IF(DR26&gt;DR27,"W",IF(DR26=DR27,"D","L")))</f>
        <v/>
      </c>
      <c r="DS28" s="273"/>
      <c r="DT28" s="273"/>
      <c r="DU28" s="273"/>
      <c r="DV28" s="273" t="str">
        <f>IF(OR(DV26="",DV27=""),"",IF(DV26&gt;DV27,"W",IF(DV26=DV27,"D","L")))</f>
        <v/>
      </c>
      <c r="DW28" s="273"/>
      <c r="DX28" s="273"/>
      <c r="DY28" s="273"/>
      <c r="DZ28" s="273" t="str">
        <f>IF(OR(DZ26="",DZ27=""),"",IF(DZ26&gt;DZ27,"W",IF(DZ26=DZ27,"D","L")))</f>
        <v/>
      </c>
      <c r="EA28" s="273"/>
      <c r="EB28" s="273"/>
      <c r="EC28" s="273"/>
      <c r="ED28" s="273" t="str">
        <f>IF(OR(ED26="",ED27=""),"",IF(ED26&gt;ED27,"W",IF(ED26=ED27,"D","L")))</f>
        <v/>
      </c>
      <c r="EE28" s="273"/>
      <c r="EF28" s="273"/>
      <c r="EG28" s="273"/>
      <c r="EH28" s="273" t="str">
        <f>IF(OR(EH26="",EH27=""),"",IF(EH26&gt;EH27,"W",IF(EH26=EH27,"D","L")))</f>
        <v/>
      </c>
      <c r="EI28" s="273"/>
      <c r="EJ28" s="273"/>
      <c r="EK28" s="273"/>
      <c r="EL28" s="273" t="str">
        <f>IF(OR(EL26="",EL27=""),"",IF(EL26&gt;EL27,"W",IF(EL26=EL27,"D","L")))</f>
        <v/>
      </c>
      <c r="EM28" s="273"/>
      <c r="EN28" s="273"/>
      <c r="EO28" s="273"/>
      <c r="EP28" s="273" t="str">
        <f>IF(OR(EP26="",EP27=""),"",IF(EP26&gt;EP27,"W",IF(EP26=EP27,"D","L")))</f>
        <v/>
      </c>
      <c r="EQ28" s="273"/>
      <c r="ER28" s="273"/>
      <c r="ES28" s="273"/>
      <c r="ET28" s="273" t="str">
        <f>IF(OR(ET26="",ET27=""),"",IF(ET26&gt;ET27,"W",IF(ET26=ET27,"D","L")))</f>
        <v/>
      </c>
      <c r="EU28" s="273"/>
      <c r="EV28" s="273"/>
      <c r="EW28" s="273"/>
      <c r="EX28" s="273" t="str">
        <f>IF(OR(EX26="",EX27=""),"",IF(EX26&gt;EX27,"W",IF(EX26=EX27,"D","L")))</f>
        <v/>
      </c>
      <c r="EY28" s="273"/>
      <c r="EZ28" s="273"/>
      <c r="FA28" s="273"/>
      <c r="FB28" s="273" t="str">
        <f>IF(OR(FB26="",FB27=""),"",IF(FB26&gt;FB27,"W",IF(FB26=FB27,"D","L")))</f>
        <v/>
      </c>
      <c r="FC28" s="273"/>
      <c r="FD28" s="273"/>
      <c r="FE28" s="273"/>
      <c r="FF28" s="273" t="str">
        <f>IF(OR(FF26="",FF27=""),"",IF(FF26&gt;FF27,"W",IF(FF26=FF27,"D","L")))</f>
        <v/>
      </c>
      <c r="FG28" s="273"/>
      <c r="FH28" s="273"/>
      <c r="FI28" s="273"/>
      <c r="FJ28" s="273" t="str">
        <f>IF(OR(FJ26="",FJ27=""),"",IF(FJ26&gt;FJ27,"W",IF(FJ26=FJ27,"D","L")))</f>
        <v/>
      </c>
      <c r="FK28" s="273"/>
      <c r="FL28" s="273"/>
      <c r="FM28" s="273"/>
      <c r="FN28" s="273" t="str">
        <f>IF(OR(FN26="",FN27=""),"",IF(FN26&gt;FN27,"W",IF(FN26=FN27,"D","L")))</f>
        <v/>
      </c>
      <c r="FO28" s="273"/>
      <c r="FP28" s="273"/>
      <c r="FQ28" s="273"/>
      <c r="FR28" s="273" t="str">
        <f>IF(OR(FR26="",FR27=""),"",IF(FR26&gt;FR27,"W",IF(FR26=FR27,"D","L")))</f>
        <v/>
      </c>
      <c r="FS28" s="273"/>
      <c r="FT28" s="273"/>
      <c r="FU28" s="273"/>
      <c r="FV28" s="273" t="str">
        <f>IF(OR(FV26="",FV27=""),"",IF(FV26&gt;FV27,"W",IF(FV26=FV27,"D","L")))</f>
        <v/>
      </c>
      <c r="FW28" s="273"/>
      <c r="FX28" s="273"/>
      <c r="FY28" s="273"/>
    </row>
    <row r="30" spans="2:201" x14ac:dyDescent="0.45">
      <c r="B30" s="246" t="s">
        <v>65</v>
      </c>
      <c r="C30" s="246"/>
      <c r="D30" s="246"/>
    </row>
    <row r="31" spans="2:201" x14ac:dyDescent="0.45">
      <c r="C31" s="51" t="s">
        <v>66</v>
      </c>
      <c r="D31" s="52" t="s">
        <v>67</v>
      </c>
      <c r="E31" s="276" t="s">
        <v>68</v>
      </c>
      <c r="F31" s="276"/>
      <c r="G31" s="276"/>
      <c r="H31" s="276"/>
      <c r="I31" s="276"/>
      <c r="J31" s="276"/>
      <c r="K31" s="276"/>
      <c r="L31" s="276"/>
      <c r="M31" s="276"/>
      <c r="N31" s="277"/>
    </row>
    <row r="32" spans="2:201" x14ac:dyDescent="0.45">
      <c r="C32" s="54">
        <v>5</v>
      </c>
      <c r="D32" s="55" t="s">
        <v>69</v>
      </c>
      <c r="E32" s="278" t="s">
        <v>70</v>
      </c>
      <c r="F32" s="278"/>
      <c r="G32" s="278"/>
      <c r="H32" s="278"/>
      <c r="I32" s="278"/>
      <c r="J32" s="278"/>
      <c r="K32" s="278"/>
      <c r="L32" s="278"/>
      <c r="M32" s="278"/>
      <c r="N32" s="279"/>
    </row>
    <row r="33" spans="2:14" x14ac:dyDescent="0.45">
      <c r="C33" s="60">
        <v>4</v>
      </c>
      <c r="D33" s="61" t="s">
        <v>71</v>
      </c>
      <c r="E33" s="280" t="s">
        <v>72</v>
      </c>
      <c r="F33" s="280"/>
      <c r="G33" s="280"/>
      <c r="H33" s="280"/>
      <c r="I33" s="280"/>
      <c r="J33" s="280"/>
      <c r="K33" s="280"/>
      <c r="L33" s="280"/>
      <c r="M33" s="280"/>
      <c r="N33" s="281"/>
    </row>
    <row r="34" spans="2:14" x14ac:dyDescent="0.45">
      <c r="C34" s="54">
        <v>3</v>
      </c>
      <c r="D34" s="55" t="s">
        <v>73</v>
      </c>
      <c r="E34" s="278" t="s">
        <v>74</v>
      </c>
      <c r="F34" s="278"/>
      <c r="G34" s="278"/>
      <c r="H34" s="278"/>
      <c r="I34" s="278"/>
      <c r="J34" s="278"/>
      <c r="K34" s="278"/>
      <c r="L34" s="278"/>
      <c r="M34" s="278"/>
      <c r="N34" s="279"/>
    </row>
    <row r="35" spans="2:14" x14ac:dyDescent="0.45">
      <c r="C35" s="60">
        <v>2</v>
      </c>
      <c r="D35" s="61" t="s">
        <v>75</v>
      </c>
      <c r="E35" s="280" t="s">
        <v>76</v>
      </c>
      <c r="F35" s="280"/>
      <c r="G35" s="280"/>
      <c r="H35" s="280"/>
      <c r="I35" s="280"/>
      <c r="J35" s="280"/>
      <c r="K35" s="280"/>
      <c r="L35" s="280"/>
      <c r="M35" s="280"/>
      <c r="N35" s="281"/>
    </row>
    <row r="36" spans="2:14" x14ac:dyDescent="0.45">
      <c r="C36" s="57">
        <v>1</v>
      </c>
      <c r="D36" s="58" t="s">
        <v>77</v>
      </c>
      <c r="E36" s="284" t="s">
        <v>78</v>
      </c>
      <c r="F36" s="284"/>
      <c r="G36" s="284"/>
      <c r="H36" s="284"/>
      <c r="I36" s="284"/>
      <c r="J36" s="284"/>
      <c r="K36" s="284"/>
      <c r="L36" s="284"/>
      <c r="M36" s="284"/>
      <c r="N36" s="285"/>
    </row>
    <row r="45" spans="2:14" x14ac:dyDescent="0.45">
      <c r="B45" s="246" t="s">
        <v>31</v>
      </c>
      <c r="C45" s="246"/>
      <c r="D45" s="246"/>
    </row>
    <row r="46" spans="2:14" x14ac:dyDescent="0.45">
      <c r="B46" s="15"/>
      <c r="C46" s="4">
        <v>1</v>
      </c>
      <c r="D46" s="5" t="s">
        <v>285</v>
      </c>
    </row>
    <row r="47" spans="2:14" x14ac:dyDescent="0.45">
      <c r="B47" s="16"/>
      <c r="C47" s="6">
        <v>2</v>
      </c>
      <c r="D47" s="7" t="s">
        <v>286</v>
      </c>
    </row>
    <row r="48" spans="2:14" x14ac:dyDescent="0.45">
      <c r="B48" s="16"/>
      <c r="C48" s="6">
        <v>3</v>
      </c>
      <c r="D48" s="7" t="s">
        <v>287</v>
      </c>
    </row>
    <row r="49" spans="2:14" x14ac:dyDescent="0.45">
      <c r="B49" s="16"/>
      <c r="C49" s="6">
        <v>4</v>
      </c>
      <c r="D49" s="7" t="s">
        <v>288</v>
      </c>
    </row>
    <row r="50" spans="2:14" x14ac:dyDescent="0.45">
      <c r="B50" s="16"/>
      <c r="C50" s="6">
        <v>5</v>
      </c>
      <c r="D50" s="7" t="s">
        <v>289</v>
      </c>
    </row>
    <row r="51" spans="2:14" x14ac:dyDescent="0.45">
      <c r="B51" s="16"/>
      <c r="C51" s="6">
        <v>6</v>
      </c>
      <c r="D51" s="7" t="s">
        <v>290</v>
      </c>
    </row>
    <row r="52" spans="2:14" x14ac:dyDescent="0.45">
      <c r="B52" s="16"/>
      <c r="C52" s="6">
        <v>7</v>
      </c>
      <c r="D52" s="7" t="s">
        <v>291</v>
      </c>
    </row>
    <row r="53" spans="2:14" x14ac:dyDescent="0.45">
      <c r="B53" s="16"/>
      <c r="C53" s="6">
        <v>8</v>
      </c>
      <c r="D53" s="7" t="s">
        <v>292</v>
      </c>
    </row>
    <row r="54" spans="2:14" x14ac:dyDescent="0.45">
      <c r="B54" s="16"/>
      <c r="C54" s="6">
        <v>9</v>
      </c>
      <c r="D54" s="7" t="s">
        <v>293</v>
      </c>
    </row>
    <row r="55" spans="2:14" x14ac:dyDescent="0.45">
      <c r="B55" s="16"/>
      <c r="C55" s="6">
        <v>10</v>
      </c>
      <c r="D55" s="7" t="s">
        <v>294</v>
      </c>
    </row>
    <row r="56" spans="2:14" x14ac:dyDescent="0.45">
      <c r="B56" s="17"/>
      <c r="C56" s="8">
        <v>11</v>
      </c>
      <c r="D56" s="9" t="s">
        <v>295</v>
      </c>
    </row>
    <row r="58" spans="2:14" x14ac:dyDescent="0.45">
      <c r="B58" s="246" t="s">
        <v>79</v>
      </c>
      <c r="C58" s="246"/>
      <c r="D58" s="246"/>
    </row>
    <row r="59" spans="2:14" x14ac:dyDescent="0.45">
      <c r="C59" s="51" t="s">
        <v>33</v>
      </c>
      <c r="D59" s="52" t="s">
        <v>67</v>
      </c>
      <c r="E59" s="276" t="s">
        <v>68</v>
      </c>
      <c r="F59" s="276"/>
      <c r="G59" s="276"/>
      <c r="H59" s="276"/>
      <c r="I59" s="276"/>
      <c r="J59" s="276"/>
      <c r="K59" s="276"/>
      <c r="L59" s="276"/>
      <c r="M59" s="276"/>
      <c r="N59" s="277"/>
    </row>
    <row r="60" spans="2:14" x14ac:dyDescent="0.45">
      <c r="C60" s="54" t="s">
        <v>80</v>
      </c>
      <c r="D60" s="55" t="s">
        <v>69</v>
      </c>
      <c r="E60" s="278" t="s">
        <v>81</v>
      </c>
      <c r="F60" s="278"/>
      <c r="G60" s="278"/>
      <c r="H60" s="278"/>
      <c r="I60" s="278"/>
      <c r="J60" s="278"/>
      <c r="K60" s="278"/>
      <c r="L60" s="278"/>
      <c r="M60" s="278"/>
      <c r="N60" s="279"/>
    </row>
    <row r="61" spans="2:14" x14ac:dyDescent="0.45">
      <c r="C61" s="60" t="s">
        <v>82</v>
      </c>
      <c r="D61" s="61" t="s">
        <v>83</v>
      </c>
      <c r="E61" s="280" t="s">
        <v>84</v>
      </c>
      <c r="F61" s="280"/>
      <c r="G61" s="280"/>
      <c r="H61" s="280"/>
      <c r="I61" s="280"/>
      <c r="J61" s="280"/>
      <c r="K61" s="280"/>
      <c r="L61" s="280"/>
      <c r="M61" s="280"/>
      <c r="N61" s="281"/>
    </row>
    <row r="62" spans="2:14" x14ac:dyDescent="0.45">
      <c r="C62" s="54" t="s">
        <v>85</v>
      </c>
      <c r="D62" s="55" t="s">
        <v>86</v>
      </c>
      <c r="E62" s="278" t="s">
        <v>87</v>
      </c>
      <c r="F62" s="278"/>
      <c r="G62" s="278"/>
      <c r="H62" s="278"/>
      <c r="I62" s="278"/>
      <c r="J62" s="278"/>
      <c r="K62" s="278"/>
      <c r="L62" s="278"/>
      <c r="M62" s="278"/>
      <c r="N62" s="279"/>
    </row>
    <row r="63" spans="2:14" x14ac:dyDescent="0.45">
      <c r="C63" s="60" t="s">
        <v>88</v>
      </c>
      <c r="D63" s="61" t="s">
        <v>89</v>
      </c>
      <c r="E63" s="280" t="s">
        <v>90</v>
      </c>
      <c r="F63" s="280"/>
      <c r="G63" s="280"/>
      <c r="H63" s="280"/>
      <c r="I63" s="280"/>
      <c r="J63" s="280"/>
      <c r="K63" s="280"/>
      <c r="L63" s="280"/>
      <c r="M63" s="280"/>
      <c r="N63" s="281"/>
    </row>
    <row r="64" spans="2:14" x14ac:dyDescent="0.45">
      <c r="C64" s="54" t="s">
        <v>91</v>
      </c>
      <c r="D64" s="55" t="s">
        <v>92</v>
      </c>
      <c r="E64" s="278" t="s">
        <v>93</v>
      </c>
      <c r="F64" s="278"/>
      <c r="G64" s="278"/>
      <c r="H64" s="278"/>
      <c r="I64" s="278"/>
      <c r="J64" s="278"/>
      <c r="K64" s="278"/>
      <c r="L64" s="278"/>
      <c r="M64" s="278"/>
      <c r="N64" s="279"/>
    </row>
    <row r="65" spans="2:92" x14ac:dyDescent="0.45">
      <c r="C65" s="62" t="s">
        <v>94</v>
      </c>
      <c r="D65" s="63" t="s">
        <v>95</v>
      </c>
      <c r="E65" s="282" t="s">
        <v>96</v>
      </c>
      <c r="F65" s="282"/>
      <c r="G65" s="282"/>
      <c r="H65" s="282"/>
      <c r="I65" s="282"/>
      <c r="J65" s="282"/>
      <c r="K65" s="282"/>
      <c r="L65" s="282"/>
      <c r="M65" s="282"/>
      <c r="N65" s="283"/>
    </row>
    <row r="68" spans="2:92" x14ac:dyDescent="0.45">
      <c r="B68" s="246" t="s">
        <v>97</v>
      </c>
      <c r="C68" s="246"/>
      <c r="D68" s="246"/>
    </row>
    <row r="69" spans="2:92" x14ac:dyDescent="0.45">
      <c r="C69" s="14"/>
      <c r="D69" s="65" t="s">
        <v>98</v>
      </c>
      <c r="E69" s="286" t="str">
        <f>IF(E3="","",E3)</f>
        <v/>
      </c>
      <c r="F69" s="286"/>
      <c r="G69" s="286" t="str">
        <f>IF(G3="","",G3)</f>
        <v/>
      </c>
      <c r="H69" s="286"/>
      <c r="I69" s="286" t="str">
        <f>IF(I3="","",I3)</f>
        <v/>
      </c>
      <c r="J69" s="286"/>
      <c r="K69" s="286" t="str">
        <f>IF(K3="","",K3)</f>
        <v/>
      </c>
      <c r="L69" s="286"/>
      <c r="M69" s="286" t="str">
        <f>IF(M3="","",M3)</f>
        <v/>
      </c>
      <c r="N69" s="286"/>
      <c r="O69" s="286" t="str">
        <f>IF(O3="","",O3)</f>
        <v/>
      </c>
      <c r="P69" s="286"/>
      <c r="Q69" s="286" t="str">
        <f>IF(Q3="","",Q3)</f>
        <v/>
      </c>
      <c r="R69" s="286"/>
      <c r="S69" s="286" t="str">
        <f>IF(S3="","",S3)</f>
        <v/>
      </c>
      <c r="T69" s="286"/>
      <c r="U69" s="286" t="str">
        <f>IF(U3="","",U3)</f>
        <v/>
      </c>
      <c r="V69" s="286"/>
      <c r="W69" s="286" t="str">
        <f>IF(W3="","",W3)</f>
        <v/>
      </c>
      <c r="X69" s="286"/>
      <c r="Y69" s="286" t="str">
        <f>IF(Y3="","",Y3)</f>
        <v/>
      </c>
      <c r="Z69" s="286"/>
      <c r="AA69" s="286" t="str">
        <f>IF(AA3="","",AA3)</f>
        <v/>
      </c>
      <c r="AB69" s="286"/>
      <c r="AC69" s="286" t="str">
        <f>IF(AC3="","",AC3)</f>
        <v/>
      </c>
      <c r="AD69" s="286"/>
      <c r="AE69" s="286" t="str">
        <f>IF(AE3="","",AE3)</f>
        <v/>
      </c>
      <c r="AF69" s="286"/>
      <c r="AG69" s="286" t="str">
        <f>IF(AG3="","",AG3)</f>
        <v/>
      </c>
      <c r="AH69" s="286"/>
      <c r="AI69" s="286" t="str">
        <f>IF(AI3="","",AI3)</f>
        <v/>
      </c>
      <c r="AJ69" s="286"/>
      <c r="AK69" s="286" t="str">
        <f>IF(AK3="","",AK3)</f>
        <v/>
      </c>
      <c r="AL69" s="286"/>
      <c r="AM69" s="286" t="str">
        <f>IF(AM3="","",AM3)</f>
        <v/>
      </c>
      <c r="AN69" s="286"/>
      <c r="AO69" s="286" t="str">
        <f>IF(AO3="","",AO3)</f>
        <v/>
      </c>
      <c r="AP69" s="286"/>
      <c r="AQ69" s="286" t="str">
        <f>IF(AQ3="","",AQ3)</f>
        <v/>
      </c>
      <c r="AR69" s="286"/>
      <c r="AS69" s="286" t="str">
        <f>IF(AS3="","",AS3)</f>
        <v/>
      </c>
      <c r="AT69" s="286"/>
      <c r="AU69" s="286" t="str">
        <f>IF(AU3="","",AU3)</f>
        <v/>
      </c>
      <c r="AV69" s="286"/>
      <c r="AW69" s="286" t="str">
        <f>IF(AW3="","",AW3)</f>
        <v/>
      </c>
      <c r="AX69" s="286"/>
      <c r="AY69" s="286" t="str">
        <f>IF(AY3="","",AY3)</f>
        <v/>
      </c>
      <c r="AZ69" s="286"/>
      <c r="BA69" s="286" t="str">
        <f>IF(BA3="","",BA3)</f>
        <v/>
      </c>
      <c r="BB69" s="286"/>
      <c r="BC69" s="286" t="str">
        <f>IF(BC3="","",BC3)</f>
        <v/>
      </c>
      <c r="BD69" s="286"/>
      <c r="BE69" s="286" t="str">
        <f>IF(BE3="","",BE3)</f>
        <v/>
      </c>
      <c r="BF69" s="286"/>
      <c r="BG69" s="286" t="str">
        <f>IF(BG3="","",BG3)</f>
        <v/>
      </c>
      <c r="BH69" s="286"/>
      <c r="BI69" s="286" t="str">
        <f>IF(BI3="","",BI3)</f>
        <v/>
      </c>
      <c r="BJ69" s="286"/>
      <c r="BK69" s="286" t="str">
        <f>IF(BK3="","",BK3)</f>
        <v/>
      </c>
      <c r="BL69" s="286"/>
      <c r="BM69" s="286" t="str">
        <f>IF(BM3="","",BM3)</f>
        <v/>
      </c>
      <c r="BN69" s="286"/>
      <c r="BO69" s="286" t="str">
        <f>IF(BO3="","",BO3)</f>
        <v/>
      </c>
      <c r="BP69" s="286"/>
      <c r="BQ69" s="286" t="str">
        <f>IF(BQ3="","",BQ3)</f>
        <v/>
      </c>
      <c r="BR69" s="286"/>
      <c r="BS69" s="286" t="str">
        <f>IF(BS3="","",BS3)</f>
        <v/>
      </c>
      <c r="BT69" s="286"/>
      <c r="BU69" s="286" t="str">
        <f>IF(BU3="","",BU3)</f>
        <v/>
      </c>
      <c r="BV69" s="286"/>
      <c r="BW69" s="286" t="str">
        <f>IF(BW3="","",BW3)</f>
        <v/>
      </c>
      <c r="BX69" s="286"/>
      <c r="BY69" s="286" t="str">
        <f>IF(BY3="","",BY3)</f>
        <v/>
      </c>
      <c r="BZ69" s="286"/>
      <c r="CA69" s="286" t="str">
        <f>IF(CA3="","",CA3)</f>
        <v/>
      </c>
      <c r="CB69" s="286"/>
      <c r="CC69" s="286" t="str">
        <f>IF(CC3="","",CC3)</f>
        <v/>
      </c>
      <c r="CD69" s="286"/>
      <c r="CE69" s="286" t="str">
        <f>IF(CE3="","",CE3)</f>
        <v/>
      </c>
      <c r="CF69" s="286"/>
      <c r="CG69" s="286" t="str">
        <f>IF(CG3="","",CG3)</f>
        <v/>
      </c>
      <c r="CH69" s="286"/>
      <c r="CI69" s="286" t="str">
        <f>IF(CI3="","",CI3)</f>
        <v/>
      </c>
      <c r="CJ69" s="286"/>
      <c r="CK69" s="286" t="str">
        <f>IF(CK3="","",CK3)</f>
        <v/>
      </c>
      <c r="CL69" s="286"/>
      <c r="CM69" s="286" t="str">
        <f>IF(CM3="","",CM3)</f>
        <v/>
      </c>
      <c r="CN69" s="286"/>
    </row>
    <row r="70" spans="2:92" x14ac:dyDescent="0.45">
      <c r="C70" s="66">
        <v>1</v>
      </c>
      <c r="D70" s="67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8"/>
      <c r="BK70" s="68"/>
      <c r="BL70" s="68"/>
      <c r="BM70" s="68"/>
      <c r="BN70" s="68"/>
      <c r="BO70" s="68"/>
      <c r="BP70" s="68"/>
      <c r="BQ70" s="68"/>
      <c r="BR70" s="68"/>
      <c r="BS70" s="68"/>
      <c r="BT70" s="68"/>
      <c r="BU70" s="68"/>
      <c r="BV70" s="68"/>
      <c r="BW70" s="68"/>
      <c r="BX70" s="68"/>
      <c r="BY70" s="68"/>
      <c r="BZ70" s="68"/>
      <c r="CA70" s="68"/>
      <c r="CB70" s="68"/>
      <c r="CC70" s="68"/>
      <c r="CD70" s="68"/>
      <c r="CE70" s="68"/>
      <c r="CF70" s="68"/>
      <c r="CG70" s="68"/>
      <c r="CH70" s="68"/>
      <c r="CI70" s="68"/>
      <c r="CJ70" s="68"/>
      <c r="CK70" s="68"/>
      <c r="CL70" s="68"/>
      <c r="CM70" s="68"/>
      <c r="CN70" s="68"/>
    </row>
    <row r="71" spans="2:92" x14ac:dyDescent="0.45">
      <c r="C71" s="66">
        <v>2</v>
      </c>
      <c r="D71" s="67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  <c r="BM71" s="68"/>
      <c r="BN71" s="68"/>
      <c r="BO71" s="68"/>
      <c r="BP71" s="68"/>
      <c r="BQ71" s="68"/>
      <c r="BR71" s="68"/>
      <c r="BS71" s="68"/>
      <c r="BT71" s="68"/>
      <c r="BU71" s="68"/>
      <c r="BV71" s="68"/>
      <c r="BW71" s="68"/>
      <c r="BX71" s="68"/>
      <c r="BY71" s="68"/>
      <c r="BZ71" s="68"/>
      <c r="CA71" s="68"/>
      <c r="CB71" s="68"/>
      <c r="CC71" s="68"/>
      <c r="CD71" s="68"/>
      <c r="CE71" s="68"/>
      <c r="CF71" s="68"/>
      <c r="CG71" s="68"/>
      <c r="CH71" s="68"/>
      <c r="CI71" s="68"/>
      <c r="CJ71" s="68"/>
      <c r="CK71" s="68"/>
      <c r="CL71" s="68"/>
      <c r="CM71" s="68"/>
      <c r="CN71" s="68"/>
    </row>
    <row r="72" spans="2:92" x14ac:dyDescent="0.45">
      <c r="C72" s="66">
        <v>3</v>
      </c>
      <c r="D72" s="67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8"/>
      <c r="BK72" s="68"/>
      <c r="BL72" s="68"/>
      <c r="BM72" s="68"/>
      <c r="BN72" s="68"/>
      <c r="BO72" s="68"/>
      <c r="BP72" s="68"/>
      <c r="BQ72" s="68"/>
      <c r="BR72" s="68"/>
      <c r="BS72" s="68"/>
      <c r="BT72" s="68"/>
      <c r="BU72" s="68"/>
      <c r="BV72" s="68"/>
      <c r="BW72" s="68"/>
      <c r="BX72" s="68"/>
      <c r="BY72" s="68"/>
      <c r="BZ72" s="68"/>
      <c r="CA72" s="68"/>
      <c r="CB72" s="68"/>
      <c r="CC72" s="68"/>
      <c r="CD72" s="68"/>
      <c r="CE72" s="68"/>
      <c r="CF72" s="68"/>
      <c r="CG72" s="68"/>
      <c r="CH72" s="68"/>
      <c r="CI72" s="68"/>
      <c r="CJ72" s="68"/>
      <c r="CK72" s="68"/>
      <c r="CL72" s="68"/>
      <c r="CM72" s="68"/>
      <c r="CN72" s="68"/>
    </row>
    <row r="73" spans="2:92" x14ac:dyDescent="0.45">
      <c r="C73" s="66">
        <v>4</v>
      </c>
      <c r="D73" s="67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  <c r="BW73" s="68"/>
      <c r="BX73" s="68"/>
      <c r="BY73" s="68"/>
      <c r="BZ73" s="68"/>
      <c r="CA73" s="68"/>
      <c r="CB73" s="68"/>
      <c r="CC73" s="68"/>
      <c r="CD73" s="68"/>
      <c r="CE73" s="68"/>
      <c r="CF73" s="68"/>
      <c r="CG73" s="68"/>
      <c r="CH73" s="68"/>
      <c r="CI73" s="68"/>
      <c r="CJ73" s="68"/>
      <c r="CK73" s="68"/>
      <c r="CL73" s="68"/>
      <c r="CM73" s="68"/>
      <c r="CN73" s="68"/>
    </row>
    <row r="74" spans="2:92" x14ac:dyDescent="0.45">
      <c r="C74" s="66">
        <v>5</v>
      </c>
      <c r="D74" s="67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68"/>
      <c r="BK74" s="68"/>
      <c r="BL74" s="68"/>
      <c r="BM74" s="68"/>
      <c r="BN74" s="68"/>
      <c r="BO74" s="68"/>
      <c r="BP74" s="68"/>
      <c r="BQ74" s="68"/>
      <c r="BR74" s="68"/>
      <c r="BS74" s="68"/>
      <c r="BT74" s="68"/>
      <c r="BU74" s="68"/>
      <c r="BV74" s="68"/>
      <c r="BW74" s="68"/>
      <c r="BX74" s="68"/>
      <c r="BY74" s="68"/>
      <c r="BZ74" s="68"/>
      <c r="CA74" s="68"/>
      <c r="CB74" s="68"/>
      <c r="CC74" s="68"/>
      <c r="CD74" s="68"/>
      <c r="CE74" s="68"/>
      <c r="CF74" s="68"/>
      <c r="CG74" s="68"/>
      <c r="CH74" s="68"/>
      <c r="CI74" s="68"/>
      <c r="CJ74" s="68"/>
      <c r="CK74" s="68"/>
      <c r="CL74" s="68"/>
      <c r="CM74" s="68"/>
      <c r="CN74" s="68"/>
    </row>
    <row r="75" spans="2:92" x14ac:dyDescent="0.45">
      <c r="C75" s="66">
        <v>6</v>
      </c>
      <c r="D75" s="67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Q75" s="68"/>
      <c r="BR75" s="68"/>
      <c r="BS75" s="68"/>
      <c r="BT75" s="68"/>
      <c r="BU75" s="68"/>
      <c r="BV75" s="68"/>
      <c r="BW75" s="68"/>
      <c r="BX75" s="68"/>
      <c r="BY75" s="68"/>
      <c r="BZ75" s="68"/>
      <c r="CA75" s="68"/>
      <c r="CB75" s="68"/>
      <c r="CC75" s="68"/>
      <c r="CD75" s="68"/>
      <c r="CE75" s="68"/>
      <c r="CF75" s="68"/>
      <c r="CG75" s="68"/>
      <c r="CH75" s="68"/>
      <c r="CI75" s="68"/>
      <c r="CJ75" s="68"/>
      <c r="CK75" s="68"/>
      <c r="CL75" s="68"/>
      <c r="CM75" s="68"/>
      <c r="CN75" s="68"/>
    </row>
    <row r="76" spans="2:92" x14ac:dyDescent="0.45">
      <c r="C76" s="66">
        <v>7</v>
      </c>
      <c r="D76" s="67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Q76" s="68"/>
      <c r="BR76" s="68"/>
      <c r="BS76" s="68"/>
      <c r="BT76" s="68"/>
      <c r="BU76" s="68"/>
      <c r="BV76" s="68"/>
      <c r="BW76" s="68"/>
      <c r="BX76" s="68"/>
      <c r="BY76" s="68"/>
      <c r="BZ76" s="68"/>
      <c r="CA76" s="68"/>
      <c r="CB76" s="68"/>
      <c r="CC76" s="68"/>
      <c r="CD76" s="68"/>
      <c r="CE76" s="68"/>
      <c r="CF76" s="68"/>
      <c r="CG76" s="68"/>
      <c r="CH76" s="68"/>
      <c r="CI76" s="68"/>
      <c r="CJ76" s="68"/>
      <c r="CK76" s="68"/>
      <c r="CL76" s="68"/>
      <c r="CM76" s="68"/>
      <c r="CN76" s="68"/>
    </row>
    <row r="77" spans="2:92" x14ac:dyDescent="0.45">
      <c r="C77" s="66">
        <v>8</v>
      </c>
      <c r="D77" s="67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  <c r="BW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  <c r="CL77" s="68"/>
      <c r="CM77" s="68"/>
      <c r="CN77" s="68"/>
    </row>
    <row r="78" spans="2:92" x14ac:dyDescent="0.45">
      <c r="C78" s="66">
        <v>9</v>
      </c>
      <c r="D78" s="67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68"/>
      <c r="BU78" s="68"/>
      <c r="BV78" s="68"/>
      <c r="BW78" s="68"/>
      <c r="BX78" s="68"/>
      <c r="BY78" s="68"/>
      <c r="BZ78" s="68"/>
      <c r="CA78" s="68"/>
      <c r="CB78" s="68"/>
      <c r="CC78" s="68"/>
      <c r="CD78" s="68"/>
      <c r="CE78" s="68"/>
      <c r="CF78" s="68"/>
      <c r="CG78" s="68"/>
      <c r="CH78" s="68"/>
      <c r="CI78" s="68"/>
      <c r="CJ78" s="68"/>
      <c r="CK78" s="68"/>
      <c r="CL78" s="68"/>
      <c r="CM78" s="68"/>
      <c r="CN78" s="68"/>
    </row>
    <row r="79" spans="2:92" x14ac:dyDescent="0.45">
      <c r="C79" s="69">
        <v>10</v>
      </c>
      <c r="D79" s="70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</row>
  </sheetData>
  <mergeCells count="265">
    <mergeCell ref="CK69:CL69"/>
    <mergeCell ref="CM69:CN69"/>
    <mergeCell ref="B5:B21"/>
    <mergeCell ref="B22:B24"/>
    <mergeCell ref="BY69:BZ69"/>
    <mergeCell ref="CA69:CB69"/>
    <mergeCell ref="CC69:CD69"/>
    <mergeCell ref="CE69:CF69"/>
    <mergeCell ref="CG69:CH69"/>
    <mergeCell ref="CI69:CJ69"/>
    <mergeCell ref="BM69:BN69"/>
    <mergeCell ref="BO69:BP69"/>
    <mergeCell ref="BQ69:BR69"/>
    <mergeCell ref="BS69:BT69"/>
    <mergeCell ref="BU69:BV69"/>
    <mergeCell ref="BW69:BX69"/>
    <mergeCell ref="BA69:BB69"/>
    <mergeCell ref="BC69:BD69"/>
    <mergeCell ref="BE69:BF69"/>
    <mergeCell ref="BG69:BH69"/>
    <mergeCell ref="BI69:BJ69"/>
    <mergeCell ref="BK69:BL69"/>
    <mergeCell ref="AO69:AP69"/>
    <mergeCell ref="AQ69:AR69"/>
    <mergeCell ref="AS69:AT69"/>
    <mergeCell ref="AU69:AV69"/>
    <mergeCell ref="AW69:AX69"/>
    <mergeCell ref="AY69:AZ69"/>
    <mergeCell ref="AC69:AD69"/>
    <mergeCell ref="AE69:AF69"/>
    <mergeCell ref="AG69:AH69"/>
    <mergeCell ref="AI69:AJ69"/>
    <mergeCell ref="AK69:AL69"/>
    <mergeCell ref="AM69:AN69"/>
    <mergeCell ref="Q69:R69"/>
    <mergeCell ref="S69:T69"/>
    <mergeCell ref="U69:V69"/>
    <mergeCell ref="W69:X69"/>
    <mergeCell ref="Y69:Z69"/>
    <mergeCell ref="AA69:AB69"/>
    <mergeCell ref="E69:F69"/>
    <mergeCell ref="G69:H69"/>
    <mergeCell ref="I69:J69"/>
    <mergeCell ref="K69:L69"/>
    <mergeCell ref="M69:N69"/>
    <mergeCell ref="O69:P69"/>
    <mergeCell ref="E61:N61"/>
    <mergeCell ref="E62:N62"/>
    <mergeCell ref="E63:N63"/>
    <mergeCell ref="E64:N64"/>
    <mergeCell ref="E65:N65"/>
    <mergeCell ref="B68:D68"/>
    <mergeCell ref="E34:N34"/>
    <mergeCell ref="E35:N35"/>
    <mergeCell ref="E36:N36"/>
    <mergeCell ref="B58:D58"/>
    <mergeCell ref="E59:N59"/>
    <mergeCell ref="E60:N60"/>
    <mergeCell ref="GH1:GJ1"/>
    <mergeCell ref="GH2:GJ2"/>
    <mergeCell ref="B30:D30"/>
    <mergeCell ref="E31:N31"/>
    <mergeCell ref="E32:N32"/>
    <mergeCell ref="E33:N33"/>
    <mergeCell ref="FV1:FY1"/>
    <mergeCell ref="FV2:FY2"/>
    <mergeCell ref="FV3:FX3"/>
    <mergeCell ref="FV26:FY26"/>
    <mergeCell ref="FV27:FY27"/>
    <mergeCell ref="FV28:FY28"/>
    <mergeCell ref="FR1:FU1"/>
    <mergeCell ref="FR2:FU2"/>
    <mergeCell ref="FR3:FT3"/>
    <mergeCell ref="FR26:FU26"/>
    <mergeCell ref="FR27:FU27"/>
    <mergeCell ref="FR28:FU28"/>
    <mergeCell ref="FN1:FQ1"/>
    <mergeCell ref="FN2:FQ2"/>
    <mergeCell ref="FN3:FP3"/>
    <mergeCell ref="FN26:FQ26"/>
    <mergeCell ref="FN27:FQ27"/>
    <mergeCell ref="FN28:FQ28"/>
    <mergeCell ref="FJ1:FM1"/>
    <mergeCell ref="FJ2:FM2"/>
    <mergeCell ref="FJ3:FL3"/>
    <mergeCell ref="FJ26:FM26"/>
    <mergeCell ref="FJ27:FM27"/>
    <mergeCell ref="FJ28:FM28"/>
    <mergeCell ref="FF1:FI1"/>
    <mergeCell ref="FF2:FI2"/>
    <mergeCell ref="FF3:FH3"/>
    <mergeCell ref="FF26:FI26"/>
    <mergeCell ref="FF27:FI27"/>
    <mergeCell ref="FF28:FI28"/>
    <mergeCell ref="FB1:FE1"/>
    <mergeCell ref="FB2:FE2"/>
    <mergeCell ref="FB3:FD3"/>
    <mergeCell ref="FB26:FE26"/>
    <mergeCell ref="FB27:FE27"/>
    <mergeCell ref="FB28:FE28"/>
    <mergeCell ref="EX1:FA1"/>
    <mergeCell ref="EX2:FA2"/>
    <mergeCell ref="EX3:EZ3"/>
    <mergeCell ref="EX26:FA26"/>
    <mergeCell ref="EX27:FA27"/>
    <mergeCell ref="EX28:FA28"/>
    <mergeCell ref="ET1:EW1"/>
    <mergeCell ref="ET2:EW2"/>
    <mergeCell ref="ET3:EV3"/>
    <mergeCell ref="ET26:EW26"/>
    <mergeCell ref="ET27:EW27"/>
    <mergeCell ref="ET28:EW28"/>
    <mergeCell ref="EP1:ES1"/>
    <mergeCell ref="EP2:ES2"/>
    <mergeCell ref="EP3:ER3"/>
    <mergeCell ref="EP26:ES26"/>
    <mergeCell ref="EP27:ES27"/>
    <mergeCell ref="EP28:ES28"/>
    <mergeCell ref="EL1:EO1"/>
    <mergeCell ref="EL2:EO2"/>
    <mergeCell ref="EL3:EN3"/>
    <mergeCell ref="EL26:EO26"/>
    <mergeCell ref="EL27:EO27"/>
    <mergeCell ref="EL28:EO28"/>
    <mergeCell ref="EH1:EK1"/>
    <mergeCell ref="EH2:EK2"/>
    <mergeCell ref="EH3:EJ3"/>
    <mergeCell ref="EH26:EK26"/>
    <mergeCell ref="EH27:EK27"/>
    <mergeCell ref="EH28:EK28"/>
    <mergeCell ref="ED1:EG1"/>
    <mergeCell ref="ED2:EG2"/>
    <mergeCell ref="ED3:EF3"/>
    <mergeCell ref="ED26:EG26"/>
    <mergeCell ref="ED27:EG27"/>
    <mergeCell ref="ED28:EG28"/>
    <mergeCell ref="DZ1:EC1"/>
    <mergeCell ref="DZ2:EC2"/>
    <mergeCell ref="DZ3:EB3"/>
    <mergeCell ref="DZ26:EC26"/>
    <mergeCell ref="DZ27:EC27"/>
    <mergeCell ref="DZ28:EC28"/>
    <mergeCell ref="DV1:DY1"/>
    <mergeCell ref="DV2:DY2"/>
    <mergeCell ref="DV3:DX3"/>
    <mergeCell ref="DV26:DY26"/>
    <mergeCell ref="DV27:DY27"/>
    <mergeCell ref="DV28:DY28"/>
    <mergeCell ref="DR1:DU1"/>
    <mergeCell ref="DR2:DU2"/>
    <mergeCell ref="DR3:DT3"/>
    <mergeCell ref="DR26:DU26"/>
    <mergeCell ref="DR27:DU27"/>
    <mergeCell ref="DR28:DU28"/>
    <mergeCell ref="DN1:DQ1"/>
    <mergeCell ref="DN2:DQ2"/>
    <mergeCell ref="DN3:DP3"/>
    <mergeCell ref="DN26:DQ26"/>
    <mergeCell ref="DN27:DQ27"/>
    <mergeCell ref="DN28:DQ28"/>
    <mergeCell ref="DJ1:DM1"/>
    <mergeCell ref="DJ2:DM2"/>
    <mergeCell ref="DJ3:DL3"/>
    <mergeCell ref="DJ26:DM26"/>
    <mergeCell ref="DJ27:DM27"/>
    <mergeCell ref="DJ28:DM28"/>
    <mergeCell ref="DF1:DI1"/>
    <mergeCell ref="DF2:DI2"/>
    <mergeCell ref="DF3:DH3"/>
    <mergeCell ref="DF26:DI26"/>
    <mergeCell ref="DF27:DI27"/>
    <mergeCell ref="DF28:DI28"/>
    <mergeCell ref="DB1:DE1"/>
    <mergeCell ref="DB2:DE2"/>
    <mergeCell ref="DB3:DD3"/>
    <mergeCell ref="DB26:DE26"/>
    <mergeCell ref="DB27:DE27"/>
    <mergeCell ref="DB28:DE28"/>
    <mergeCell ref="CX1:DA1"/>
    <mergeCell ref="CX2:DA2"/>
    <mergeCell ref="CX3:CZ3"/>
    <mergeCell ref="CX26:DA26"/>
    <mergeCell ref="CX27:DA27"/>
    <mergeCell ref="CX28:DA28"/>
    <mergeCell ref="CT1:CW1"/>
    <mergeCell ref="CT2:CW2"/>
    <mergeCell ref="CT3:CV3"/>
    <mergeCell ref="CT26:CW26"/>
    <mergeCell ref="CT27:CW27"/>
    <mergeCell ref="CT28:CW28"/>
    <mergeCell ref="CK2:CN2"/>
    <mergeCell ref="CK3:CL3"/>
    <mergeCell ref="CM3:CN3"/>
    <mergeCell ref="B45:D45"/>
    <mergeCell ref="CP1:CS1"/>
    <mergeCell ref="CP2:CS2"/>
    <mergeCell ref="CP3:CR3"/>
    <mergeCell ref="CP26:CS26"/>
    <mergeCell ref="CP27:CS27"/>
    <mergeCell ref="CP28:CS28"/>
    <mergeCell ref="CC2:CF2"/>
    <mergeCell ref="CC3:CD3"/>
    <mergeCell ref="CE3:CF3"/>
    <mergeCell ref="CG2:CJ2"/>
    <mergeCell ref="CG3:CH3"/>
    <mergeCell ref="CI3:CJ3"/>
    <mergeCell ref="BU2:BX2"/>
    <mergeCell ref="BU3:BV3"/>
    <mergeCell ref="BW3:BX3"/>
    <mergeCell ref="BY2:CB2"/>
    <mergeCell ref="BY3:BZ3"/>
    <mergeCell ref="CA3:CB3"/>
    <mergeCell ref="BM2:BP2"/>
    <mergeCell ref="BM3:BN3"/>
    <mergeCell ref="BO3:BP3"/>
    <mergeCell ref="BQ2:BT2"/>
    <mergeCell ref="BQ3:BR3"/>
    <mergeCell ref="BS3:BT3"/>
    <mergeCell ref="BE2:BH2"/>
    <mergeCell ref="BE3:BF3"/>
    <mergeCell ref="BG3:BH3"/>
    <mergeCell ref="BI2:BL2"/>
    <mergeCell ref="BI3:BJ3"/>
    <mergeCell ref="BK3:BL3"/>
    <mergeCell ref="AW2:AZ2"/>
    <mergeCell ref="AW3:AX3"/>
    <mergeCell ref="AY3:AZ3"/>
    <mergeCell ref="BA2:BD2"/>
    <mergeCell ref="BA3:BB3"/>
    <mergeCell ref="BC3:BD3"/>
    <mergeCell ref="AO2:AR2"/>
    <mergeCell ref="AO3:AP3"/>
    <mergeCell ref="AQ3:AR3"/>
    <mergeCell ref="AS2:AV2"/>
    <mergeCell ref="AS3:AT3"/>
    <mergeCell ref="AU3:AV3"/>
    <mergeCell ref="AG2:AJ2"/>
    <mergeCell ref="AG3:AH3"/>
    <mergeCell ref="AI3:AJ3"/>
    <mergeCell ref="AK2:AN2"/>
    <mergeCell ref="AK3:AL3"/>
    <mergeCell ref="AM3:AN3"/>
    <mergeCell ref="Y2:AB2"/>
    <mergeCell ref="Y3:Z3"/>
    <mergeCell ref="AA3:AB3"/>
    <mergeCell ref="AC2:AF2"/>
    <mergeCell ref="AC3:AD3"/>
    <mergeCell ref="AE3:AF3"/>
    <mergeCell ref="B2:D2"/>
    <mergeCell ref="B3:D3"/>
    <mergeCell ref="E2:H2"/>
    <mergeCell ref="E3:F3"/>
    <mergeCell ref="G3:H3"/>
    <mergeCell ref="Q2:T2"/>
    <mergeCell ref="Q3:R3"/>
    <mergeCell ref="S3:T3"/>
    <mergeCell ref="U2:X2"/>
    <mergeCell ref="U3:V3"/>
    <mergeCell ref="W3:X3"/>
    <mergeCell ref="I2:L2"/>
    <mergeCell ref="I3:J3"/>
    <mergeCell ref="K3:L3"/>
    <mergeCell ref="M2:P2"/>
    <mergeCell ref="M3:N3"/>
    <mergeCell ref="O3:P3"/>
  </mergeCells>
  <conditionalFormatting sqref="GA5:GN24">
    <cfRule type="expression" priority="1">
      <formula>AND(MOD(ROW(),2)=0,$D5&lt;&gt;"")</formula>
    </cfRule>
  </conditionalFormatting>
  <dataValidations count="9">
    <dataValidation type="list" allowBlank="1" showInputMessage="1" showErrorMessage="1" sqref="E5:E24 G5:G24 I5:I24 K5:K24 M5:M24 O5:O24 Q5:Q24 S5:S24 U5:U24 W5:W24 Y5:Y24 AA5:AA24 AC5:AC24 AE5:AE24 AG5:AG24 AI5:AI24 AK5:AK24 AM5:AM24 AO5:AO24 AQ5:AQ24 AS5:AS24 AU5:AU24 AW5:AW24 AY5:AY24 BA5:BA24 BC5:BC24 BE5:BE24 BG5:BG24 BI5:BI24 BK5:BK24 BM5:BM24 BO5:BO24 BQ5:BQ24 BS5:BS24 BU5:BU24 BW5:BW24 BY5:BY24 CA5:CA24 CC5:CC24 CE5:CE24 CG5:CG24 CI5:CI24 CK5:CK24 CM5:CM24 GP5:GP24" xr:uid="{6DD212F9-5FE1-425D-B76C-43FD166FDCAE}">
      <formula1>"Yes,No"</formula1>
    </dataValidation>
    <dataValidation type="list" allowBlank="1" showInputMessage="1" showErrorMessage="1" sqref="F5:F24 H5:H24 J5:J24 L5:L24 N5:N24 P5:P24 R5:R24 T5:T24 V5:V24 X5:X24 Z5:Z24 AB5:AB24 AD5:AD24 AF5:AF24 AH5:AH24 AJ5:AJ24 AL5:AL24 AN5:AN24 AP5:AP24 AR5:AR24 AT5:AT24 AV5:AV24 AX5:AX24 AZ5:AZ24 BB5:BB24 BD5:BD24 BF5:BF24 BH5:BH24 BJ5:BJ24 BL5:BL24 BN5:BN24 BP5:BP24 BR5:BR24 BT5:BT24 BV5:BV24 BX5:BX24 BZ5:BZ24 CB5:CB24 CD5:CD24 CF5:CF24 CH5:CH24 CJ5:CJ24 CL5:CL24 CN5:CN24" xr:uid="{7BDBA2A8-1804-4AAA-953C-A00919150358}">
      <formula1>"1,2,3,4,5"</formula1>
    </dataValidation>
    <dataValidation type="list" allowBlank="1" showInputMessage="1" showErrorMessage="1" sqref="CP5:CP24 CT5:CT24 CX5:CX24 DB5:DB24 DF5:DF24 DJ5:DJ24 DN5:DN24 DR5:DR24 DV5:DV24 DZ5:DZ24 ED5:ED24 EH5:EH24 EL5:EL24 EP5:EP24 ET5:ET24 EX5:EX24 FB5:FB24 FF5:FF24 FJ5:FJ24 FN5:FN24 FR5:FR24 FV5:FV24" xr:uid="{1C15C43A-319E-4C2E-BA18-5E05C5E1BA9D}">
      <formula1>"Yes,No,N-A"</formula1>
    </dataValidation>
    <dataValidation type="list" allowBlank="1" showInputMessage="1" showErrorMessage="1" sqref="CP3 CT3 CX3 DB3 DF3 DJ3 DN3 DR3 DV3 DZ3 ED3 EH3 EL3 EP3 ET3 EX3 FB3 FF3 FJ3 FN3 FR3 FV3" xr:uid="{E3893B22-BB2A-47CB-9B80-8DCC14070733}">
      <formula1>Opponents</formula1>
    </dataValidation>
    <dataValidation type="list" allowBlank="1" showInputMessage="1" showErrorMessage="1" sqref="CS3 CW3 DA3 DE3 DI3 DM3 DQ3 DU3 DY3 EC3 EG3 EK3 EO3 ES3 EW3 FA3 FE3 FI3 FM3 FQ3 FU3 FY3" xr:uid="{6E7D9B5D-F1A9-4EEE-95A6-32B08B8D4D73}">
      <formula1>"H,A"</formula1>
    </dataValidation>
    <dataValidation type="list" allowBlank="1" showInputMessage="1" showErrorMessage="1" sqref="CS5:CS24 CW5:CW24 DA5:DA24 DE5:DE24 DI5:DI24 DM5:DM24 DQ5:DQ24 DU5:DU24 DY5:DY24 EC5:EC24 EG5:EG24 EK5:EK24 EO5:EO24 ES5:ES24 EW5:EW24 FA5:FA24 FE5:FE24 FI5:FI24 FM5:FM24 FQ5:FQ24 FU5:FU24 FY5:FY24" xr:uid="{F2DD59B5-1AEA-40E6-9706-7AA6533CBB58}">
      <formula1>"Yes"</formula1>
    </dataValidation>
    <dataValidation type="whole" allowBlank="1" showInputMessage="1" showErrorMessage="1" sqref="CQ5:CQ24 CU5:CU24 CY5:CY24 DC5:DC24 DG5:DG24 DK5:DK24 DO5:DO24 DS5:DS24 DW5:DW24 EA5:EA24 EE5:EE24 EI5:EI24 EM5:EM24 EQ5:EQ24 EU5:EU24 EY5:EY24 FC5:FC24 FG5:FG24 FK5:FK24 FO5:FO24 FS5:FS24 FW5:FW24" xr:uid="{DBCE380D-689D-44C6-80A7-7BE2567A5962}">
      <formula1>0</formula1>
      <formula2>90</formula2>
    </dataValidation>
    <dataValidation type="decimal" allowBlank="1" showInputMessage="1" showErrorMessage="1" sqref="CR5:CR24 CV5:CV24 CZ5:CZ24 DD5:DD24 DH5:DH24 DL5:DL24 DP5:DP24 DT5:DT24 DX5:DX24 EB5:EB24 EF5:EF24 EJ5:EJ24 EN5:EN24 ER5:ER24 EV5:EV24 EZ5:EZ24 FD5:FD24 FH5:FH24 FL5:FL24 FP5:FP24 FT5:FT24 FX5:FX24" xr:uid="{E256BE0F-5941-4D19-970D-C1C8E017DFCA}">
      <formula1>1</formula1>
      <formula2>10</formula2>
    </dataValidation>
    <dataValidation type="list" allowBlank="1" showInputMessage="1" showErrorMessage="1" sqref="E70:E79 G70:G79 I70:I79 K70:K79 M70:M79 O70:O79 Q70:Q79 S70:S79 U70:U79 W70:W79 Y70:Y79 AA70:AA79 AC70:AC79 AE70:AE79 AG70:AG79 AI70:AI79 AK70:AK79 AM70:AM79 AO70:AO79 AQ70:AQ79 AS70:AS79 AU70:AU79 AW70:AW79 AY70:AY79 BA70:BA79 BC70:BC79 BE70:BE79 BG70:BG79 BI70:BI79 BK70:BK79 BM70:BM79 BO70:BO79 BQ70:BQ79 BS70:BS79 BU70:BU79 BW70:BW79 BY70:BY79 CA70:CA79 CC70:CC79 CE70:CE79 CG70:CG79 CI70:CI79 CK70:CK79 CM70:CM79" xr:uid="{8ECB0F4B-2C58-4A82-9D69-E8B70B6691FB}">
      <formula1>"Y"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456F-0D40-4AB4-A585-EE3B7D3E13EA}">
  <dimension ref="B2:AL43"/>
  <sheetViews>
    <sheetView workbookViewId="0">
      <pane xSplit="4" ySplit="5" topLeftCell="X24" activePane="bottomRight" state="frozen"/>
      <selection pane="topRight" activeCell="E1" sqref="E1"/>
      <selection pane="bottomLeft" activeCell="A6" sqref="A6"/>
      <selection pane="bottomRight" activeCell="M14" sqref="M14"/>
    </sheetView>
  </sheetViews>
  <sheetFormatPr defaultRowHeight="14.25" x14ac:dyDescent="0.45"/>
  <cols>
    <col min="2" max="2" width="5.33203125" customWidth="1"/>
    <col min="3" max="3" width="24.86328125" customWidth="1"/>
    <col min="4" max="4" width="16.86328125" customWidth="1"/>
    <col min="5" max="32" width="7.796875" customWidth="1"/>
  </cols>
  <sheetData>
    <row r="2" spans="2:38" ht="18" x14ac:dyDescent="0.55000000000000004">
      <c r="B2" s="239" t="s">
        <v>99</v>
      </c>
      <c r="C2" s="239"/>
      <c r="D2" s="239"/>
    </row>
    <row r="3" spans="2:38" x14ac:dyDescent="0.45">
      <c r="B3" s="240" t="s">
        <v>100</v>
      </c>
      <c r="C3" s="240"/>
      <c r="D3" s="240"/>
      <c r="E3" s="240"/>
      <c r="F3" s="240"/>
      <c r="G3" s="240"/>
      <c r="H3" s="240"/>
    </row>
    <row r="4" spans="2:38" x14ac:dyDescent="0.45">
      <c r="E4" s="292" t="s">
        <v>101</v>
      </c>
      <c r="F4" s="292"/>
      <c r="G4" s="292"/>
      <c r="H4" s="292"/>
      <c r="I4" s="292"/>
      <c r="J4" s="292"/>
      <c r="K4" s="292"/>
      <c r="L4" s="292"/>
      <c r="M4" s="293" t="s">
        <v>102</v>
      </c>
      <c r="N4" s="293"/>
      <c r="O4" s="293"/>
      <c r="P4" s="293"/>
      <c r="Q4" s="293"/>
      <c r="R4" s="293"/>
      <c r="S4" s="293"/>
      <c r="T4" s="293"/>
      <c r="U4" s="293"/>
      <c r="V4" s="292" t="s">
        <v>103</v>
      </c>
      <c r="W4" s="292"/>
      <c r="X4" s="292"/>
      <c r="Y4" s="292"/>
      <c r="Z4" s="292"/>
      <c r="AA4" s="293" t="s">
        <v>104</v>
      </c>
      <c r="AB4" s="293"/>
      <c r="AC4" s="293"/>
      <c r="AD4" s="293"/>
      <c r="AE4" s="293"/>
      <c r="AF4" s="293"/>
      <c r="AH4" s="292" t="s">
        <v>132</v>
      </c>
      <c r="AI4" s="292"/>
      <c r="AJ4" s="292"/>
      <c r="AK4" s="292"/>
      <c r="AL4" s="292"/>
    </row>
    <row r="5" spans="2:38" ht="44" customHeight="1" x14ac:dyDescent="0.45">
      <c r="B5" s="76" t="s">
        <v>3</v>
      </c>
      <c r="C5" s="77" t="s">
        <v>4</v>
      </c>
      <c r="D5" s="77" t="s">
        <v>131</v>
      </c>
      <c r="E5" s="78" t="s">
        <v>105</v>
      </c>
      <c r="F5" s="78" t="s">
        <v>106</v>
      </c>
      <c r="G5" s="78" t="s">
        <v>107</v>
      </c>
      <c r="H5" s="78" t="s">
        <v>108</v>
      </c>
      <c r="I5" s="78" t="s">
        <v>109</v>
      </c>
      <c r="J5" s="78" t="s">
        <v>110</v>
      </c>
      <c r="K5" s="78" t="s">
        <v>111</v>
      </c>
      <c r="L5" s="78" t="s">
        <v>112</v>
      </c>
      <c r="M5" s="78" t="s">
        <v>113</v>
      </c>
      <c r="N5" s="78" t="s">
        <v>114</v>
      </c>
      <c r="O5" s="78" t="s">
        <v>115</v>
      </c>
      <c r="P5" s="78" t="s">
        <v>116</v>
      </c>
      <c r="Q5" s="78" t="s">
        <v>117</v>
      </c>
      <c r="R5" s="78" t="s">
        <v>118</v>
      </c>
      <c r="S5" s="78" t="s">
        <v>119</v>
      </c>
      <c r="T5" s="78" t="s">
        <v>39</v>
      </c>
      <c r="U5" s="78" t="s">
        <v>120</v>
      </c>
      <c r="V5" s="78" t="s">
        <v>121</v>
      </c>
      <c r="W5" s="78" t="s">
        <v>122</v>
      </c>
      <c r="X5" s="78" t="s">
        <v>123</v>
      </c>
      <c r="Y5" s="78" t="s">
        <v>124</v>
      </c>
      <c r="Z5" s="78" t="s">
        <v>125</v>
      </c>
      <c r="AA5" s="78" t="s">
        <v>126</v>
      </c>
      <c r="AB5" s="78" t="s">
        <v>127</v>
      </c>
      <c r="AC5" s="78" t="s">
        <v>128</v>
      </c>
      <c r="AD5" s="190" t="s">
        <v>296</v>
      </c>
      <c r="AE5" s="78" t="s">
        <v>129</v>
      </c>
      <c r="AF5" s="78" t="s">
        <v>130</v>
      </c>
      <c r="AG5" s="80"/>
      <c r="AH5" s="78" t="s">
        <v>133</v>
      </c>
      <c r="AI5" s="78" t="s">
        <v>134</v>
      </c>
      <c r="AJ5" s="78" t="s">
        <v>135</v>
      </c>
      <c r="AK5" s="78" t="s">
        <v>136</v>
      </c>
      <c r="AL5" s="81" t="s">
        <v>137</v>
      </c>
    </row>
    <row r="6" spans="2:38" x14ac:dyDescent="0.45">
      <c r="B6" s="82">
        <f>IF(Attendance!$D5="","",Attendance!$C5)</f>
        <v>1</v>
      </c>
      <c r="C6" s="83" t="str">
        <f>IF(Attendance!$D5="","",Attendance!$D5)</f>
        <v>Aoife Kennan</v>
      </c>
      <c r="D6" s="84" t="s">
        <v>141</v>
      </c>
      <c r="E6" s="188">
        <v>1</v>
      </c>
      <c r="F6" s="188">
        <v>1</v>
      </c>
      <c r="G6" s="188">
        <v>10</v>
      </c>
      <c r="H6" s="188">
        <v>1</v>
      </c>
      <c r="I6" s="188">
        <v>1</v>
      </c>
      <c r="J6" s="188">
        <v>10</v>
      </c>
      <c r="K6" s="188">
        <v>1</v>
      </c>
      <c r="L6" s="188">
        <v>1</v>
      </c>
      <c r="M6" s="188">
        <v>5</v>
      </c>
      <c r="N6" s="188">
        <v>5</v>
      </c>
      <c r="O6" s="188">
        <v>5</v>
      </c>
      <c r="P6" s="188">
        <v>5</v>
      </c>
      <c r="Q6" s="188">
        <v>5</v>
      </c>
      <c r="R6" s="188">
        <v>5</v>
      </c>
      <c r="S6" s="188">
        <v>1</v>
      </c>
      <c r="T6" s="188">
        <v>8</v>
      </c>
      <c r="U6" s="188">
        <v>5</v>
      </c>
      <c r="V6" s="188">
        <v>5</v>
      </c>
      <c r="W6" s="188">
        <v>5</v>
      </c>
      <c r="X6" s="188">
        <v>5</v>
      </c>
      <c r="Y6" s="188">
        <v>8</v>
      </c>
      <c r="Z6" s="189">
        <v>2</v>
      </c>
      <c r="AA6" s="188">
        <v>5</v>
      </c>
      <c r="AB6" s="188">
        <v>8</v>
      </c>
      <c r="AC6" s="188">
        <v>5</v>
      </c>
      <c r="AD6" s="188">
        <v>5</v>
      </c>
      <c r="AE6" s="188">
        <v>8</v>
      </c>
      <c r="AF6" s="188">
        <v>8</v>
      </c>
      <c r="AG6" s="86"/>
      <c r="AH6" s="31">
        <f t="shared" ref="AH6:AH25" si="0">IF($C6="","",IFERROR(AVERAGE($E6:$L6),""))</f>
        <v>3.25</v>
      </c>
      <c r="AI6" s="31">
        <f t="shared" ref="AI6:AI25" si="1">IF($C6="","",IFERROR(AVERAGE($M6:$U6),""))</f>
        <v>4.8888888888888893</v>
      </c>
      <c r="AJ6" s="31">
        <f t="shared" ref="AJ6:AJ25" si="2">IF($C6="","",IFERROR(AVERAGE($V6:$Z6),""))</f>
        <v>5</v>
      </c>
      <c r="AK6" s="31">
        <f t="shared" ref="AK6:AK25" si="3">IF($C6="","",IF(COUNT($AA6:$AF6)=0,"",AVERAGE($AA6:$AF6)))</f>
        <v>6.5</v>
      </c>
      <c r="AL6" s="87">
        <f t="shared" ref="AL6:AL25" si="4">IF($C6="","",IFERROR(AVERAGE($AH6:$AK6),""))</f>
        <v>4.9097222222222223</v>
      </c>
    </row>
    <row r="7" spans="2:38" x14ac:dyDescent="0.45">
      <c r="B7" s="88">
        <f>IF(Attendance!$D6="","",Attendance!$C6)</f>
        <v>2</v>
      </c>
      <c r="C7" s="89" t="str">
        <f>IF(Attendance!$D6="","",Attendance!$D6)</f>
        <v>Stella McEvoy</v>
      </c>
      <c r="D7" s="90" t="s">
        <v>275</v>
      </c>
      <c r="E7" s="188">
        <v>1</v>
      </c>
      <c r="F7" s="188">
        <v>1</v>
      </c>
      <c r="G7" s="188">
        <v>6</v>
      </c>
      <c r="H7" s="188">
        <v>6</v>
      </c>
      <c r="I7" s="188">
        <v>4</v>
      </c>
      <c r="J7" s="188">
        <v>6</v>
      </c>
      <c r="K7" s="188">
        <v>1</v>
      </c>
      <c r="L7" s="188">
        <v>10</v>
      </c>
      <c r="M7" s="188">
        <v>8</v>
      </c>
      <c r="N7" s="188">
        <v>8</v>
      </c>
      <c r="O7" s="188">
        <v>8</v>
      </c>
      <c r="P7" s="188">
        <v>12</v>
      </c>
      <c r="Q7" s="188">
        <v>9</v>
      </c>
      <c r="R7" s="188">
        <v>12</v>
      </c>
      <c r="S7" s="188">
        <v>9</v>
      </c>
      <c r="T7" s="188">
        <v>14</v>
      </c>
      <c r="U7" s="188">
        <v>16</v>
      </c>
      <c r="V7" s="188">
        <v>9</v>
      </c>
      <c r="W7" s="188">
        <v>9</v>
      </c>
      <c r="X7" s="188">
        <v>12</v>
      </c>
      <c r="Y7" s="188">
        <v>12</v>
      </c>
      <c r="Z7" s="189">
        <v>12</v>
      </c>
      <c r="AA7" s="188"/>
      <c r="AB7" s="188"/>
      <c r="AC7" s="188"/>
      <c r="AD7" s="188"/>
      <c r="AE7" s="188"/>
      <c r="AF7" s="188"/>
      <c r="AG7" s="86"/>
      <c r="AH7" s="39">
        <f t="shared" si="0"/>
        <v>4.375</v>
      </c>
      <c r="AI7" s="39">
        <f t="shared" si="1"/>
        <v>10.666666666666666</v>
      </c>
      <c r="AJ7" s="39">
        <f t="shared" si="2"/>
        <v>10.8</v>
      </c>
      <c r="AK7" s="39" t="str">
        <f t="shared" si="3"/>
        <v/>
      </c>
      <c r="AL7" s="91">
        <f t="shared" si="4"/>
        <v>8.6138888888888889</v>
      </c>
    </row>
    <row r="8" spans="2:38" x14ac:dyDescent="0.45">
      <c r="B8" s="82">
        <f>IF(Attendance!$D7="","",Attendance!$C7)</f>
        <v>3</v>
      </c>
      <c r="C8" s="83" t="str">
        <f>IF(Attendance!$D7="","",Attendance!$D7)</f>
        <v>Zara Power</v>
      </c>
      <c r="D8" s="84" t="s">
        <v>143</v>
      </c>
      <c r="E8" s="188">
        <v>1</v>
      </c>
      <c r="F8" s="188">
        <v>1</v>
      </c>
      <c r="G8" s="188">
        <v>9</v>
      </c>
      <c r="H8" s="188">
        <v>4</v>
      </c>
      <c r="I8" s="188">
        <v>4</v>
      </c>
      <c r="J8" s="188">
        <v>10</v>
      </c>
      <c r="K8" s="188">
        <v>1</v>
      </c>
      <c r="L8" s="188">
        <v>5</v>
      </c>
      <c r="M8" s="188">
        <v>9</v>
      </c>
      <c r="N8" s="188">
        <v>12</v>
      </c>
      <c r="O8" s="188">
        <v>10</v>
      </c>
      <c r="P8" s="188">
        <v>12</v>
      </c>
      <c r="Q8" s="188">
        <v>12</v>
      </c>
      <c r="R8" s="188">
        <v>14</v>
      </c>
      <c r="S8" s="188">
        <v>8</v>
      </c>
      <c r="T8" s="188">
        <v>13</v>
      </c>
      <c r="U8" s="188">
        <v>16</v>
      </c>
      <c r="V8" s="188">
        <v>12</v>
      </c>
      <c r="W8" s="188">
        <v>12</v>
      </c>
      <c r="X8" s="188">
        <v>9</v>
      </c>
      <c r="Y8" s="188">
        <v>12</v>
      </c>
      <c r="Z8" s="189">
        <v>4</v>
      </c>
      <c r="AA8" s="188"/>
      <c r="AB8" s="188"/>
      <c r="AC8" s="188"/>
      <c r="AD8" s="188"/>
      <c r="AE8" s="188"/>
      <c r="AF8" s="188"/>
      <c r="AG8" s="86"/>
      <c r="AH8" s="31">
        <f t="shared" si="0"/>
        <v>4.375</v>
      </c>
      <c r="AI8" s="31">
        <f t="shared" si="1"/>
        <v>11.777777777777779</v>
      </c>
      <c r="AJ8" s="31">
        <f t="shared" si="2"/>
        <v>9.8000000000000007</v>
      </c>
      <c r="AK8" s="31" t="str">
        <f t="shared" si="3"/>
        <v/>
      </c>
      <c r="AL8" s="87">
        <f t="shared" si="4"/>
        <v>8.650925925925927</v>
      </c>
    </row>
    <row r="9" spans="2:38" x14ac:dyDescent="0.45">
      <c r="B9" s="88">
        <f>IF(Attendance!$D8="","",Attendance!$C8)</f>
        <v>4</v>
      </c>
      <c r="C9" s="89" t="str">
        <f>IF(Attendance!$D8="","",Attendance!$D8)</f>
        <v>Heidi Cerubini Dunne</v>
      </c>
      <c r="D9" s="90" t="s">
        <v>275</v>
      </c>
      <c r="E9" s="188">
        <v>1</v>
      </c>
      <c r="F9" s="188">
        <v>1</v>
      </c>
      <c r="G9" s="188">
        <v>4</v>
      </c>
      <c r="H9" s="188">
        <v>1</v>
      </c>
      <c r="I9" s="188">
        <v>1</v>
      </c>
      <c r="J9" s="188">
        <v>4</v>
      </c>
      <c r="K9" s="188">
        <v>1</v>
      </c>
      <c r="L9" s="188">
        <v>2</v>
      </c>
      <c r="M9" s="188">
        <v>4</v>
      </c>
      <c r="N9" s="188">
        <v>4</v>
      </c>
      <c r="O9" s="188">
        <v>8</v>
      </c>
      <c r="P9" s="188">
        <v>9</v>
      </c>
      <c r="Q9" s="188">
        <v>8</v>
      </c>
      <c r="R9" s="188">
        <v>8</v>
      </c>
      <c r="S9" s="188">
        <v>4</v>
      </c>
      <c r="T9" s="188">
        <v>4</v>
      </c>
      <c r="U9" s="188">
        <v>4</v>
      </c>
      <c r="V9" s="188">
        <v>4</v>
      </c>
      <c r="W9" s="188">
        <v>4</v>
      </c>
      <c r="X9" s="188">
        <v>4</v>
      </c>
      <c r="Y9" s="188">
        <v>8</v>
      </c>
      <c r="Z9" s="189">
        <v>4</v>
      </c>
      <c r="AA9" s="188"/>
      <c r="AB9" s="188"/>
      <c r="AC9" s="188"/>
      <c r="AD9" s="188"/>
      <c r="AE9" s="188"/>
      <c r="AF9" s="188"/>
      <c r="AG9" s="86"/>
      <c r="AH9" s="39">
        <f t="shared" si="0"/>
        <v>1.875</v>
      </c>
      <c r="AI9" s="39">
        <f t="shared" si="1"/>
        <v>5.8888888888888893</v>
      </c>
      <c r="AJ9" s="39">
        <f t="shared" si="2"/>
        <v>4.8</v>
      </c>
      <c r="AK9" s="39" t="str">
        <f t="shared" si="3"/>
        <v/>
      </c>
      <c r="AL9" s="91">
        <f t="shared" si="4"/>
        <v>4.1879629629629633</v>
      </c>
    </row>
    <row r="10" spans="2:38" x14ac:dyDescent="0.45">
      <c r="B10" s="82">
        <f>IF(Attendance!$D9="","",Attendance!$C9)</f>
        <v>5</v>
      </c>
      <c r="C10" s="83" t="str">
        <f>IF(Attendance!$D9="","",Attendance!$D9)</f>
        <v>Roisin Offenhausen</v>
      </c>
      <c r="D10" s="84" t="s">
        <v>276</v>
      </c>
      <c r="E10" s="188">
        <v>12</v>
      </c>
      <c r="F10" s="188">
        <v>12</v>
      </c>
      <c r="G10" s="188">
        <v>11</v>
      </c>
      <c r="H10" s="188">
        <v>11</v>
      </c>
      <c r="I10" s="188">
        <v>12</v>
      </c>
      <c r="J10" s="188">
        <v>11</v>
      </c>
      <c r="K10" s="188">
        <v>12</v>
      </c>
      <c r="L10" s="188">
        <v>2</v>
      </c>
      <c r="M10" s="188">
        <v>9</v>
      </c>
      <c r="N10" s="188">
        <v>9</v>
      </c>
      <c r="O10" s="188">
        <v>9</v>
      </c>
      <c r="P10" s="188">
        <v>9</v>
      </c>
      <c r="Q10" s="188">
        <v>9</v>
      </c>
      <c r="R10" s="188">
        <v>9</v>
      </c>
      <c r="S10" s="188">
        <v>15</v>
      </c>
      <c r="T10" s="188">
        <v>12</v>
      </c>
      <c r="U10" s="188">
        <v>8</v>
      </c>
      <c r="V10" s="188">
        <v>10</v>
      </c>
      <c r="W10" s="188">
        <v>10</v>
      </c>
      <c r="X10" s="188">
        <v>8</v>
      </c>
      <c r="Y10" s="188">
        <v>8</v>
      </c>
      <c r="Z10" s="189">
        <v>9</v>
      </c>
      <c r="AA10" s="188"/>
      <c r="AB10" s="188"/>
      <c r="AC10" s="188"/>
      <c r="AD10" s="188"/>
      <c r="AE10" s="188"/>
      <c r="AF10" s="188"/>
      <c r="AG10" s="86"/>
      <c r="AH10" s="31">
        <f t="shared" si="0"/>
        <v>10.375</v>
      </c>
      <c r="AI10" s="31">
        <f t="shared" si="1"/>
        <v>9.8888888888888893</v>
      </c>
      <c r="AJ10" s="31">
        <f t="shared" si="2"/>
        <v>9</v>
      </c>
      <c r="AK10" s="31" t="str">
        <f t="shared" si="3"/>
        <v/>
      </c>
      <c r="AL10" s="87">
        <f t="shared" si="4"/>
        <v>9.7546296296296298</v>
      </c>
    </row>
    <row r="11" spans="2:38" x14ac:dyDescent="0.45">
      <c r="B11" s="88">
        <f>IF(Attendance!$D10="","",Attendance!$C10)</f>
        <v>6</v>
      </c>
      <c r="C11" s="89" t="str">
        <f>IF(Attendance!$D10="","",Attendance!$D10)</f>
        <v>Naomi Adewoyin</v>
      </c>
      <c r="D11" s="90" t="s">
        <v>153</v>
      </c>
      <c r="E11" s="188">
        <v>1</v>
      </c>
      <c r="F11" s="188">
        <v>8</v>
      </c>
      <c r="G11" s="188">
        <v>10</v>
      </c>
      <c r="H11" s="188">
        <v>15</v>
      </c>
      <c r="I11" s="188">
        <v>14</v>
      </c>
      <c r="J11" s="188">
        <v>12</v>
      </c>
      <c r="K11" s="188">
        <v>9</v>
      </c>
      <c r="L11" s="188">
        <v>2</v>
      </c>
      <c r="M11" s="188">
        <v>10</v>
      </c>
      <c r="N11" s="188">
        <v>9</v>
      </c>
      <c r="O11" s="188">
        <v>9</v>
      </c>
      <c r="P11" s="188">
        <v>9</v>
      </c>
      <c r="Q11" s="188">
        <v>9</v>
      </c>
      <c r="R11" s="188">
        <v>4</v>
      </c>
      <c r="S11" s="188">
        <v>12</v>
      </c>
      <c r="T11" s="188">
        <v>9</v>
      </c>
      <c r="U11" s="188">
        <v>8</v>
      </c>
      <c r="V11" s="188">
        <v>13</v>
      </c>
      <c r="W11" s="188">
        <v>14</v>
      </c>
      <c r="X11" s="188">
        <v>8</v>
      </c>
      <c r="Y11" s="188">
        <v>8</v>
      </c>
      <c r="Z11" s="189">
        <v>12</v>
      </c>
      <c r="AA11" s="188"/>
      <c r="AB11" s="188"/>
      <c r="AC11" s="188"/>
      <c r="AD11" s="188"/>
      <c r="AE11" s="188"/>
      <c r="AF11" s="188"/>
      <c r="AG11" s="86"/>
      <c r="AH11" s="39">
        <f t="shared" si="0"/>
        <v>8.875</v>
      </c>
      <c r="AI11" s="39">
        <f t="shared" si="1"/>
        <v>8.7777777777777786</v>
      </c>
      <c r="AJ11" s="39">
        <f t="shared" si="2"/>
        <v>11</v>
      </c>
      <c r="AK11" s="39" t="str">
        <f t="shared" si="3"/>
        <v/>
      </c>
      <c r="AL11" s="91">
        <f t="shared" si="4"/>
        <v>9.5509259259259256</v>
      </c>
    </row>
    <row r="12" spans="2:38" x14ac:dyDescent="0.45">
      <c r="B12" s="82">
        <f>IF(Attendance!$D11="","",Attendance!$C11)</f>
        <v>7</v>
      </c>
      <c r="C12" s="83" t="str">
        <f>IF(Attendance!$D11="","",Attendance!$D11)</f>
        <v>Amber Kilalee</v>
      </c>
      <c r="D12" s="84" t="s">
        <v>277</v>
      </c>
      <c r="E12" s="188">
        <v>10</v>
      </c>
      <c r="F12" s="188">
        <v>10</v>
      </c>
      <c r="G12" s="188">
        <v>10</v>
      </c>
      <c r="H12" s="188">
        <v>10</v>
      </c>
      <c r="I12" s="188">
        <v>10</v>
      </c>
      <c r="J12" s="188">
        <v>8</v>
      </c>
      <c r="K12" s="188">
        <v>8</v>
      </c>
      <c r="L12" s="188">
        <v>5</v>
      </c>
      <c r="M12" s="188">
        <v>12</v>
      </c>
      <c r="N12" s="188">
        <v>9</v>
      </c>
      <c r="O12" s="188">
        <v>8</v>
      </c>
      <c r="P12" s="188">
        <v>8</v>
      </c>
      <c r="Q12" s="188">
        <v>8</v>
      </c>
      <c r="R12" s="188">
        <v>4</v>
      </c>
      <c r="S12" s="188">
        <v>12</v>
      </c>
      <c r="T12" s="188">
        <v>9</v>
      </c>
      <c r="U12" s="188">
        <v>8</v>
      </c>
      <c r="V12" s="188">
        <v>9</v>
      </c>
      <c r="W12" s="188">
        <v>9</v>
      </c>
      <c r="X12" s="188">
        <v>8</v>
      </c>
      <c r="Y12" s="188">
        <v>9</v>
      </c>
      <c r="Z12" s="189">
        <v>9</v>
      </c>
      <c r="AA12" s="188"/>
      <c r="AB12" s="188"/>
      <c r="AC12" s="188"/>
      <c r="AD12" s="188"/>
      <c r="AE12" s="188"/>
      <c r="AF12" s="188"/>
      <c r="AG12" s="86"/>
      <c r="AH12" s="31">
        <f t="shared" si="0"/>
        <v>8.875</v>
      </c>
      <c r="AI12" s="31">
        <f t="shared" si="1"/>
        <v>8.6666666666666661</v>
      </c>
      <c r="AJ12" s="31">
        <f t="shared" si="2"/>
        <v>8.8000000000000007</v>
      </c>
      <c r="AK12" s="31" t="str">
        <f t="shared" si="3"/>
        <v/>
      </c>
      <c r="AL12" s="87">
        <f t="shared" si="4"/>
        <v>8.780555555555555</v>
      </c>
    </row>
    <row r="13" spans="2:38" x14ac:dyDescent="0.45">
      <c r="B13" s="88">
        <f>IF(Attendance!$D12="","",Attendance!$C12)</f>
        <v>8</v>
      </c>
      <c r="C13" s="89" t="str">
        <f>IF(Attendance!$D12="","",Attendance!$D12)</f>
        <v>Shauna Kavanagh</v>
      </c>
      <c r="D13" s="90" t="s">
        <v>278</v>
      </c>
      <c r="E13" s="188">
        <v>8</v>
      </c>
      <c r="F13" s="188">
        <v>9</v>
      </c>
      <c r="G13" s="188">
        <v>9</v>
      </c>
      <c r="H13" s="188">
        <v>11</v>
      </c>
      <c r="I13" s="188">
        <v>8</v>
      </c>
      <c r="J13" s="188">
        <v>8</v>
      </c>
      <c r="K13" s="188">
        <v>6</v>
      </c>
      <c r="L13" s="188">
        <v>2</v>
      </c>
      <c r="M13" s="188">
        <v>10</v>
      </c>
      <c r="N13" s="188">
        <v>6</v>
      </c>
      <c r="O13" s="188">
        <v>6</v>
      </c>
      <c r="P13" s="188">
        <v>8</v>
      </c>
      <c r="Q13" s="188">
        <v>9</v>
      </c>
      <c r="R13" s="188">
        <v>4</v>
      </c>
      <c r="S13" s="188">
        <v>11</v>
      </c>
      <c r="T13" s="188">
        <v>8</v>
      </c>
      <c r="U13" s="188">
        <v>8</v>
      </c>
      <c r="V13" s="188">
        <v>9</v>
      </c>
      <c r="W13" s="188">
        <v>9</v>
      </c>
      <c r="X13" s="188">
        <v>8</v>
      </c>
      <c r="Y13" s="188">
        <v>8</v>
      </c>
      <c r="Z13" s="189">
        <v>8</v>
      </c>
      <c r="AA13" s="188"/>
      <c r="AB13" s="188"/>
      <c r="AC13" s="188"/>
      <c r="AD13" s="188"/>
      <c r="AE13" s="188"/>
      <c r="AF13" s="188"/>
      <c r="AG13" s="86"/>
      <c r="AH13" s="39">
        <f t="shared" si="0"/>
        <v>7.625</v>
      </c>
      <c r="AI13" s="39">
        <f t="shared" si="1"/>
        <v>7.7777777777777777</v>
      </c>
      <c r="AJ13" s="39">
        <f t="shared" si="2"/>
        <v>8.4</v>
      </c>
      <c r="AK13" s="39" t="str">
        <f t="shared" si="3"/>
        <v/>
      </c>
      <c r="AL13" s="91">
        <f t="shared" si="4"/>
        <v>7.9342592592592593</v>
      </c>
    </row>
    <row r="14" spans="2:38" x14ac:dyDescent="0.45">
      <c r="B14" s="82">
        <f>IF(Attendance!$D13="","",Attendance!$C13)</f>
        <v>9</v>
      </c>
      <c r="C14" s="83" t="str">
        <f>IF(Attendance!$D13="","",Attendance!$D13)</f>
        <v>Tara Brannigan</v>
      </c>
      <c r="D14" s="84" t="s">
        <v>279</v>
      </c>
      <c r="E14" s="188">
        <v>1</v>
      </c>
      <c r="F14" s="188">
        <v>8</v>
      </c>
      <c r="G14" s="188">
        <v>8</v>
      </c>
      <c r="H14" s="188">
        <v>8</v>
      </c>
      <c r="I14" s="188">
        <v>6</v>
      </c>
      <c r="J14" s="188">
        <v>8</v>
      </c>
      <c r="K14" s="188">
        <v>4</v>
      </c>
      <c r="L14" s="188">
        <v>12</v>
      </c>
      <c r="M14" s="188">
        <v>10</v>
      </c>
      <c r="N14" s="188">
        <v>12</v>
      </c>
      <c r="O14" s="188">
        <v>9</v>
      </c>
      <c r="P14" s="188">
        <v>14</v>
      </c>
      <c r="Q14" s="188">
        <v>12</v>
      </c>
      <c r="R14" s="188">
        <v>14</v>
      </c>
      <c r="S14" s="188">
        <v>10</v>
      </c>
      <c r="T14" s="188">
        <v>14</v>
      </c>
      <c r="U14" s="188">
        <v>16</v>
      </c>
      <c r="V14" s="188">
        <v>12</v>
      </c>
      <c r="W14" s="188">
        <v>12</v>
      </c>
      <c r="X14" s="188">
        <v>14</v>
      </c>
      <c r="Y14" s="188">
        <v>12</v>
      </c>
      <c r="Z14" s="189">
        <v>14</v>
      </c>
      <c r="AA14" s="188"/>
      <c r="AB14" s="188"/>
      <c r="AC14" s="188"/>
      <c r="AD14" s="188"/>
      <c r="AE14" s="188"/>
      <c r="AF14" s="188"/>
      <c r="AG14" s="86"/>
      <c r="AH14" s="31">
        <f t="shared" si="0"/>
        <v>6.875</v>
      </c>
      <c r="AI14" s="31">
        <f t="shared" si="1"/>
        <v>12.333333333333334</v>
      </c>
      <c r="AJ14" s="31">
        <f t="shared" si="2"/>
        <v>12.8</v>
      </c>
      <c r="AK14" s="31" t="str">
        <f t="shared" si="3"/>
        <v/>
      </c>
      <c r="AL14" s="87">
        <f t="shared" si="4"/>
        <v>10.669444444444446</v>
      </c>
    </row>
    <row r="15" spans="2:38" x14ac:dyDescent="0.45">
      <c r="B15" s="88">
        <f>IF(Attendance!$D14="","",Attendance!$C14)</f>
        <v>10</v>
      </c>
      <c r="C15" s="89" t="str">
        <f>IF(Attendance!$D14="","",Attendance!$D14)</f>
        <v>Semilore Adesanya</v>
      </c>
      <c r="D15" s="90" t="s">
        <v>280</v>
      </c>
      <c r="E15" s="188">
        <v>1</v>
      </c>
      <c r="F15" s="188">
        <v>1</v>
      </c>
      <c r="G15" s="188">
        <v>10</v>
      </c>
      <c r="H15" s="188">
        <v>8</v>
      </c>
      <c r="I15" s="188">
        <v>8</v>
      </c>
      <c r="J15" s="188">
        <v>10</v>
      </c>
      <c r="K15" s="188">
        <v>4</v>
      </c>
      <c r="L15" s="188">
        <v>15</v>
      </c>
      <c r="M15" s="188">
        <v>10</v>
      </c>
      <c r="N15" s="188">
        <v>10</v>
      </c>
      <c r="O15" s="188">
        <v>10</v>
      </c>
      <c r="P15" s="188">
        <v>12</v>
      </c>
      <c r="Q15" s="188">
        <v>10</v>
      </c>
      <c r="R15" s="188">
        <v>14</v>
      </c>
      <c r="S15" s="188">
        <v>12</v>
      </c>
      <c r="T15" s="188">
        <v>15</v>
      </c>
      <c r="U15" s="188">
        <v>16</v>
      </c>
      <c r="V15" s="188">
        <v>11</v>
      </c>
      <c r="W15" s="188">
        <v>11</v>
      </c>
      <c r="X15" s="188">
        <v>11</v>
      </c>
      <c r="Y15" s="188">
        <v>14</v>
      </c>
      <c r="Z15" s="189">
        <v>14</v>
      </c>
      <c r="AA15" s="188"/>
      <c r="AB15" s="188"/>
      <c r="AC15" s="188"/>
      <c r="AD15" s="188"/>
      <c r="AE15" s="188"/>
      <c r="AF15" s="188"/>
      <c r="AG15" s="86"/>
      <c r="AH15" s="39">
        <f t="shared" si="0"/>
        <v>7.125</v>
      </c>
      <c r="AI15" s="39">
        <f t="shared" si="1"/>
        <v>12.111111111111111</v>
      </c>
      <c r="AJ15" s="39">
        <f t="shared" si="2"/>
        <v>12.2</v>
      </c>
      <c r="AK15" s="39" t="str">
        <f t="shared" si="3"/>
        <v/>
      </c>
      <c r="AL15" s="91">
        <f t="shared" si="4"/>
        <v>10.478703703703703</v>
      </c>
    </row>
    <row r="16" spans="2:38" x14ac:dyDescent="0.45">
      <c r="B16" s="82">
        <f>IF(Attendance!$D15="","",Attendance!$C15)</f>
        <v>11</v>
      </c>
      <c r="C16" s="83" t="str">
        <f>IF(Attendance!$D15="","",Attendance!$D15)</f>
        <v>Hannah Fleming</v>
      </c>
      <c r="D16" s="84" t="s">
        <v>281</v>
      </c>
      <c r="E16" s="188">
        <v>6</v>
      </c>
      <c r="F16" s="188">
        <v>9</v>
      </c>
      <c r="G16" s="188">
        <v>9</v>
      </c>
      <c r="H16" s="188">
        <v>9</v>
      </c>
      <c r="I16" s="188">
        <v>11</v>
      </c>
      <c r="J16" s="188">
        <v>8</v>
      </c>
      <c r="K16" s="188">
        <v>8</v>
      </c>
      <c r="L16" s="188">
        <v>8</v>
      </c>
      <c r="M16" s="188">
        <v>9</v>
      </c>
      <c r="N16" s="188">
        <v>10</v>
      </c>
      <c r="O16" s="188">
        <v>9</v>
      </c>
      <c r="P16" s="188">
        <v>12</v>
      </c>
      <c r="Q16" s="188">
        <v>10</v>
      </c>
      <c r="R16" s="188">
        <v>9</v>
      </c>
      <c r="S16" s="188">
        <v>12</v>
      </c>
      <c r="T16" s="188">
        <v>15</v>
      </c>
      <c r="U16" s="188">
        <v>13</v>
      </c>
      <c r="V16" s="188">
        <v>10</v>
      </c>
      <c r="W16" s="188">
        <v>10</v>
      </c>
      <c r="X16" s="188">
        <v>9</v>
      </c>
      <c r="Y16" s="188">
        <v>10</v>
      </c>
      <c r="Z16" s="189">
        <v>15</v>
      </c>
      <c r="AA16" s="188"/>
      <c r="AB16" s="188"/>
      <c r="AC16" s="188"/>
      <c r="AD16" s="188"/>
      <c r="AE16" s="188"/>
      <c r="AF16" s="188"/>
      <c r="AG16" s="86"/>
      <c r="AH16" s="31">
        <f t="shared" si="0"/>
        <v>8.5</v>
      </c>
      <c r="AI16" s="31">
        <f t="shared" si="1"/>
        <v>11</v>
      </c>
      <c r="AJ16" s="31">
        <f t="shared" si="2"/>
        <v>10.8</v>
      </c>
      <c r="AK16" s="31" t="str">
        <f t="shared" si="3"/>
        <v/>
      </c>
      <c r="AL16" s="87">
        <f t="shared" si="4"/>
        <v>10.1</v>
      </c>
    </row>
    <row r="17" spans="2:38" x14ac:dyDescent="0.45">
      <c r="B17" s="88">
        <f>IF(Attendance!$D16="","",Attendance!$C16)</f>
        <v>12</v>
      </c>
      <c r="C17" s="89" t="str">
        <f>IF(Attendance!$D16="","",Attendance!$D16)</f>
        <v>Emma Kelly</v>
      </c>
      <c r="D17" s="90" t="s">
        <v>147</v>
      </c>
      <c r="E17" s="188">
        <v>4</v>
      </c>
      <c r="F17" s="188">
        <v>4</v>
      </c>
      <c r="G17" s="188">
        <v>10</v>
      </c>
      <c r="H17" s="188">
        <v>6</v>
      </c>
      <c r="I17" s="188">
        <v>6</v>
      </c>
      <c r="J17" s="188">
        <v>10</v>
      </c>
      <c r="K17" s="188">
        <v>4</v>
      </c>
      <c r="L17" s="188">
        <v>15</v>
      </c>
      <c r="M17" s="188">
        <v>11</v>
      </c>
      <c r="N17" s="188">
        <v>11</v>
      </c>
      <c r="O17" s="188">
        <v>11</v>
      </c>
      <c r="P17" s="188">
        <v>14</v>
      </c>
      <c r="Q17" s="188">
        <v>11</v>
      </c>
      <c r="R17" s="188">
        <v>14</v>
      </c>
      <c r="S17" s="188">
        <v>12</v>
      </c>
      <c r="T17" s="188">
        <v>15</v>
      </c>
      <c r="U17" s="188">
        <v>16</v>
      </c>
      <c r="V17" s="188">
        <v>14</v>
      </c>
      <c r="W17" s="188">
        <v>14</v>
      </c>
      <c r="X17" s="188">
        <v>14</v>
      </c>
      <c r="Y17" s="188">
        <v>12</v>
      </c>
      <c r="Z17" s="189">
        <v>13</v>
      </c>
      <c r="AA17" s="188"/>
      <c r="AB17" s="188"/>
      <c r="AC17" s="188"/>
      <c r="AD17" s="188"/>
      <c r="AE17" s="188"/>
      <c r="AF17" s="188"/>
      <c r="AG17" s="86"/>
      <c r="AH17" s="39">
        <f t="shared" si="0"/>
        <v>7.375</v>
      </c>
      <c r="AI17" s="39">
        <f t="shared" si="1"/>
        <v>12.777777777777779</v>
      </c>
      <c r="AJ17" s="39">
        <f t="shared" si="2"/>
        <v>13.4</v>
      </c>
      <c r="AK17" s="39" t="str">
        <f t="shared" si="3"/>
        <v/>
      </c>
      <c r="AL17" s="91">
        <f t="shared" si="4"/>
        <v>11.184259259259258</v>
      </c>
    </row>
    <row r="18" spans="2:38" x14ac:dyDescent="0.45">
      <c r="B18" s="82">
        <f>IF(Attendance!$D17="","",Attendance!$C17)</f>
        <v>13</v>
      </c>
      <c r="C18" s="83" t="str">
        <f>IF(Attendance!$D17="","",Attendance!$D17)</f>
        <v>Roma Memon</v>
      </c>
      <c r="D18" s="84" t="s">
        <v>279</v>
      </c>
      <c r="E18" s="188">
        <v>1</v>
      </c>
      <c r="F18" s="188">
        <v>1</v>
      </c>
      <c r="G18" s="188">
        <v>6</v>
      </c>
      <c r="H18" s="188">
        <v>4</v>
      </c>
      <c r="I18" s="188">
        <v>1</v>
      </c>
      <c r="J18" s="188">
        <v>6</v>
      </c>
      <c r="K18" s="188">
        <v>4</v>
      </c>
      <c r="L18" s="188">
        <v>12</v>
      </c>
      <c r="M18" s="188">
        <v>8</v>
      </c>
      <c r="N18" s="188">
        <v>8</v>
      </c>
      <c r="O18" s="188">
        <v>8</v>
      </c>
      <c r="P18" s="188">
        <v>12</v>
      </c>
      <c r="Q18" s="188">
        <v>8</v>
      </c>
      <c r="R18" s="188">
        <v>12</v>
      </c>
      <c r="S18" s="188">
        <v>8</v>
      </c>
      <c r="T18" s="188">
        <v>9</v>
      </c>
      <c r="U18" s="188">
        <v>14</v>
      </c>
      <c r="V18" s="188">
        <v>8</v>
      </c>
      <c r="W18" s="188">
        <v>8</v>
      </c>
      <c r="X18" s="188">
        <v>9</v>
      </c>
      <c r="Y18" s="188">
        <v>12</v>
      </c>
      <c r="Z18" s="189">
        <v>10</v>
      </c>
      <c r="AA18" s="188"/>
      <c r="AB18" s="188"/>
      <c r="AC18" s="188"/>
      <c r="AD18" s="188"/>
      <c r="AE18" s="188"/>
      <c r="AF18" s="188"/>
      <c r="AG18" s="86"/>
      <c r="AH18" s="31">
        <f t="shared" si="0"/>
        <v>4.375</v>
      </c>
      <c r="AI18" s="31">
        <f t="shared" si="1"/>
        <v>9.6666666666666661</v>
      </c>
      <c r="AJ18" s="31">
        <f t="shared" si="2"/>
        <v>9.4</v>
      </c>
      <c r="AK18" s="31" t="str">
        <f t="shared" si="3"/>
        <v/>
      </c>
      <c r="AL18" s="87">
        <f t="shared" si="4"/>
        <v>7.8138888888888891</v>
      </c>
    </row>
    <row r="19" spans="2:38" x14ac:dyDescent="0.45">
      <c r="B19" s="88">
        <f>IF(Attendance!$D18="","",Attendance!$C18)</f>
        <v>14</v>
      </c>
      <c r="C19" s="89" t="str">
        <f>IF(Attendance!$D18="","",Attendance!$D18)</f>
        <v>Emma Dromgoole</v>
      </c>
      <c r="D19" s="90" t="s">
        <v>282</v>
      </c>
      <c r="E19" s="188">
        <v>1</v>
      </c>
      <c r="F19" s="188">
        <v>8</v>
      </c>
      <c r="G19" s="188">
        <v>6</v>
      </c>
      <c r="H19" s="188">
        <v>9</v>
      </c>
      <c r="I19" s="188">
        <v>6</v>
      </c>
      <c r="J19" s="188">
        <v>8</v>
      </c>
      <c r="K19" s="188">
        <v>4</v>
      </c>
      <c r="L19" s="188">
        <v>5</v>
      </c>
      <c r="M19" s="188">
        <v>8</v>
      </c>
      <c r="N19" s="188">
        <v>10</v>
      </c>
      <c r="O19" s="188">
        <v>10</v>
      </c>
      <c r="P19" s="188">
        <v>12</v>
      </c>
      <c r="Q19" s="188">
        <v>10</v>
      </c>
      <c r="R19" s="188">
        <v>9</v>
      </c>
      <c r="S19" s="188">
        <v>12</v>
      </c>
      <c r="T19" s="188">
        <v>14</v>
      </c>
      <c r="U19" s="188">
        <v>12</v>
      </c>
      <c r="V19" s="188">
        <v>11</v>
      </c>
      <c r="W19" s="188">
        <v>11</v>
      </c>
      <c r="X19" s="188">
        <v>11</v>
      </c>
      <c r="Y19" s="188">
        <v>10</v>
      </c>
      <c r="Z19" s="189">
        <v>12</v>
      </c>
      <c r="AA19" s="188"/>
      <c r="AB19" s="188"/>
      <c r="AC19" s="188"/>
      <c r="AD19" s="188"/>
      <c r="AE19" s="188"/>
      <c r="AF19" s="188"/>
      <c r="AG19" s="86"/>
      <c r="AH19" s="39">
        <f t="shared" si="0"/>
        <v>5.875</v>
      </c>
      <c r="AI19" s="39">
        <f t="shared" si="1"/>
        <v>10.777777777777779</v>
      </c>
      <c r="AJ19" s="39">
        <f t="shared" si="2"/>
        <v>11</v>
      </c>
      <c r="AK19" s="39" t="str">
        <f t="shared" si="3"/>
        <v/>
      </c>
      <c r="AL19" s="91">
        <f t="shared" si="4"/>
        <v>9.2175925925925934</v>
      </c>
    </row>
    <row r="20" spans="2:38" x14ac:dyDescent="0.45">
      <c r="B20" s="82">
        <f>IF(Attendance!$D19="","",Attendance!$C19)</f>
        <v>15</v>
      </c>
      <c r="C20" s="83" t="str">
        <f>IF(Attendance!$D19="","",Attendance!$D19)</f>
        <v>Elsie Morrison</v>
      </c>
      <c r="D20" s="84" t="s">
        <v>283</v>
      </c>
      <c r="E20" s="188">
        <v>9</v>
      </c>
      <c r="F20" s="188">
        <v>9</v>
      </c>
      <c r="G20" s="188">
        <v>8</v>
      </c>
      <c r="H20" s="188">
        <v>8</v>
      </c>
      <c r="I20" s="188">
        <v>9</v>
      </c>
      <c r="J20" s="188">
        <v>11</v>
      </c>
      <c r="K20" s="188">
        <v>9</v>
      </c>
      <c r="L20" s="188">
        <v>5</v>
      </c>
      <c r="M20" s="188">
        <v>10</v>
      </c>
      <c r="N20" s="188">
        <v>10</v>
      </c>
      <c r="O20" s="188">
        <v>9</v>
      </c>
      <c r="P20" s="188">
        <v>10</v>
      </c>
      <c r="Q20" s="188">
        <v>11</v>
      </c>
      <c r="R20" s="188">
        <v>9</v>
      </c>
      <c r="S20" s="188">
        <v>13</v>
      </c>
      <c r="T20" s="188">
        <v>13</v>
      </c>
      <c r="U20" s="188">
        <v>12</v>
      </c>
      <c r="V20" s="188">
        <v>12</v>
      </c>
      <c r="W20" s="188">
        <v>12</v>
      </c>
      <c r="X20" s="188">
        <v>6</v>
      </c>
      <c r="Y20" s="188">
        <v>8</v>
      </c>
      <c r="Z20" s="189">
        <v>14</v>
      </c>
      <c r="AA20" s="188">
        <v>10</v>
      </c>
      <c r="AB20" s="188">
        <v>10</v>
      </c>
      <c r="AC20" s="188">
        <v>10</v>
      </c>
      <c r="AD20" s="188">
        <v>8</v>
      </c>
      <c r="AE20" s="188">
        <v>8</v>
      </c>
      <c r="AF20" s="188">
        <v>8</v>
      </c>
      <c r="AG20" s="86"/>
      <c r="AH20" s="31">
        <f t="shared" si="0"/>
        <v>8.5</v>
      </c>
      <c r="AI20" s="31">
        <f t="shared" si="1"/>
        <v>10.777777777777779</v>
      </c>
      <c r="AJ20" s="31">
        <f t="shared" si="2"/>
        <v>10.4</v>
      </c>
      <c r="AK20" s="31">
        <f t="shared" si="3"/>
        <v>9</v>
      </c>
      <c r="AL20" s="87">
        <f t="shared" si="4"/>
        <v>9.6694444444444443</v>
      </c>
    </row>
    <row r="21" spans="2:38" x14ac:dyDescent="0.45">
      <c r="B21" s="88">
        <f>IF(Attendance!$D20="","",Attendance!$C20)</f>
        <v>16</v>
      </c>
      <c r="C21" s="89" t="str">
        <f>IF(Attendance!$D20="","",Attendance!$D20)</f>
        <v>Zara Freeman</v>
      </c>
      <c r="D21" s="90" t="s">
        <v>297</v>
      </c>
      <c r="E21" s="188">
        <v>5</v>
      </c>
      <c r="F21" s="188">
        <v>5</v>
      </c>
      <c r="G21" s="188">
        <v>12</v>
      </c>
      <c r="H21" s="188">
        <v>16</v>
      </c>
      <c r="I21" s="188">
        <v>15</v>
      </c>
      <c r="J21" s="188">
        <v>12</v>
      </c>
      <c r="K21" s="188">
        <v>5</v>
      </c>
      <c r="L21" s="188">
        <v>5</v>
      </c>
      <c r="M21" s="188">
        <v>13</v>
      </c>
      <c r="N21" s="188">
        <v>13</v>
      </c>
      <c r="O21" s="188">
        <v>13</v>
      </c>
      <c r="P21" s="188">
        <v>13</v>
      </c>
      <c r="Q21" s="188">
        <v>13</v>
      </c>
      <c r="R21" s="188">
        <v>10</v>
      </c>
      <c r="S21" s="188">
        <v>13</v>
      </c>
      <c r="T21" s="188">
        <v>13</v>
      </c>
      <c r="U21" s="188">
        <v>12</v>
      </c>
      <c r="V21" s="188">
        <v>10</v>
      </c>
      <c r="W21" s="188">
        <v>10</v>
      </c>
      <c r="X21" s="188">
        <v>10</v>
      </c>
      <c r="Y21" s="188">
        <v>10</v>
      </c>
      <c r="Z21" s="189">
        <v>10</v>
      </c>
      <c r="AA21" s="188"/>
      <c r="AB21" s="188"/>
      <c r="AC21" s="188"/>
      <c r="AD21" s="188"/>
      <c r="AE21" s="188"/>
      <c r="AF21" s="188"/>
      <c r="AG21" s="86"/>
      <c r="AH21" s="39">
        <f t="shared" si="0"/>
        <v>9.375</v>
      </c>
      <c r="AI21" s="39">
        <f t="shared" si="1"/>
        <v>12.555555555555555</v>
      </c>
      <c r="AJ21" s="39">
        <f t="shared" si="2"/>
        <v>10</v>
      </c>
      <c r="AK21" s="39" t="str">
        <f t="shared" si="3"/>
        <v/>
      </c>
      <c r="AL21" s="91">
        <f t="shared" si="4"/>
        <v>10.643518518518519</v>
      </c>
    </row>
    <row r="22" spans="2:38" x14ac:dyDescent="0.45">
      <c r="B22" s="82">
        <f>IF(Attendance!$D21="","",Attendance!$C21)</f>
        <v>17</v>
      </c>
      <c r="C22" s="83" t="str">
        <f>IF(Attendance!$D21="","",Attendance!$D21)</f>
        <v>Marianna</v>
      </c>
      <c r="D22" s="84" t="s">
        <v>284</v>
      </c>
      <c r="E22" s="188">
        <v>1</v>
      </c>
      <c r="F22" s="188">
        <v>1</v>
      </c>
      <c r="G22" s="188">
        <v>8</v>
      </c>
      <c r="H22" s="188">
        <v>5</v>
      </c>
      <c r="I22" s="188">
        <v>5</v>
      </c>
      <c r="J22" s="188">
        <v>10</v>
      </c>
      <c r="K22" s="188">
        <v>1</v>
      </c>
      <c r="L22" s="188">
        <v>12</v>
      </c>
      <c r="M22" s="188">
        <v>12</v>
      </c>
      <c r="N22" s="188">
        <v>12</v>
      </c>
      <c r="O22" s="188">
        <v>12</v>
      </c>
      <c r="P22" s="188">
        <v>13</v>
      </c>
      <c r="Q22" s="188">
        <v>14</v>
      </c>
      <c r="R22" s="188">
        <v>14</v>
      </c>
      <c r="S22" s="188">
        <v>10</v>
      </c>
      <c r="T22" s="188">
        <v>13</v>
      </c>
      <c r="U22" s="188">
        <v>14</v>
      </c>
      <c r="V22" s="188">
        <v>10</v>
      </c>
      <c r="W22" s="188">
        <v>10</v>
      </c>
      <c r="X22" s="188">
        <v>8</v>
      </c>
      <c r="Y22" s="188">
        <v>8</v>
      </c>
      <c r="Z22" s="189">
        <v>5</v>
      </c>
      <c r="AA22" s="188"/>
      <c r="AB22" s="188"/>
      <c r="AC22" s="188"/>
      <c r="AD22" s="188"/>
      <c r="AE22" s="188"/>
      <c r="AF22" s="188"/>
      <c r="AG22" s="86"/>
      <c r="AH22" s="31">
        <f t="shared" si="0"/>
        <v>5.375</v>
      </c>
      <c r="AI22" s="31">
        <f t="shared" si="1"/>
        <v>12.666666666666666</v>
      </c>
      <c r="AJ22" s="31">
        <f t="shared" si="2"/>
        <v>8.1999999999999993</v>
      </c>
      <c r="AK22" s="31" t="str">
        <f t="shared" si="3"/>
        <v/>
      </c>
      <c r="AL22" s="87">
        <f t="shared" si="4"/>
        <v>8.7472222222222218</v>
      </c>
    </row>
    <row r="23" spans="2:38" x14ac:dyDescent="0.45">
      <c r="B23" s="88" t="str">
        <f>IF(Attendance!$D22="","",Attendance!$C22)</f>
        <v/>
      </c>
      <c r="C23" s="89" t="str">
        <f>IF(Attendance!$D22="","",Attendance!$D22)</f>
        <v/>
      </c>
      <c r="D23" s="90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6"/>
      <c r="AH23" s="39" t="str">
        <f t="shared" si="0"/>
        <v/>
      </c>
      <c r="AI23" s="39" t="str">
        <f t="shared" si="1"/>
        <v/>
      </c>
      <c r="AJ23" s="39" t="str">
        <f t="shared" si="2"/>
        <v/>
      </c>
      <c r="AK23" s="39" t="str">
        <f t="shared" si="3"/>
        <v/>
      </c>
      <c r="AL23" s="91" t="str">
        <f t="shared" si="4"/>
        <v/>
      </c>
    </row>
    <row r="24" spans="2:38" x14ac:dyDescent="0.45">
      <c r="B24" s="82" t="str">
        <f>IF(Attendance!$D23="","",Attendance!$C23)</f>
        <v/>
      </c>
      <c r="C24" s="83" t="str">
        <f>IF(Attendance!$D23="","",Attendance!$D23)</f>
        <v/>
      </c>
      <c r="D24" s="84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6"/>
      <c r="AH24" s="31" t="str">
        <f t="shared" si="0"/>
        <v/>
      </c>
      <c r="AI24" s="31" t="str">
        <f t="shared" si="1"/>
        <v/>
      </c>
      <c r="AJ24" s="31" t="str">
        <f t="shared" si="2"/>
        <v/>
      </c>
      <c r="AK24" s="31" t="str">
        <f t="shared" si="3"/>
        <v/>
      </c>
      <c r="AL24" s="87" t="str">
        <f t="shared" si="4"/>
        <v/>
      </c>
    </row>
    <row r="25" spans="2:38" x14ac:dyDescent="0.45">
      <c r="B25" s="92" t="str">
        <f>IF(Attendance!$D24="","",Attendance!$C24)</f>
        <v/>
      </c>
      <c r="C25" s="93" t="str">
        <f>IF(Attendance!$D24="","",Attendance!$D24)</f>
        <v/>
      </c>
      <c r="D25" s="94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6"/>
      <c r="AH25" s="45" t="str">
        <f t="shared" si="0"/>
        <v/>
      </c>
      <c r="AI25" s="45" t="str">
        <f t="shared" si="1"/>
        <v/>
      </c>
      <c r="AJ25" s="45" t="str">
        <f t="shared" si="2"/>
        <v/>
      </c>
      <c r="AK25" s="45" t="str">
        <f t="shared" si="3"/>
        <v/>
      </c>
      <c r="AL25" s="97" t="str">
        <f t="shared" si="4"/>
        <v/>
      </c>
    </row>
    <row r="27" spans="2:38" x14ac:dyDescent="0.45">
      <c r="D27" s="20" t="s">
        <v>138</v>
      </c>
      <c r="E27" s="73">
        <f t="shared" ref="E27:AF27" si="5">IFERROR(AVERAGE(E6:E25),"")</f>
        <v>3.7647058823529411</v>
      </c>
      <c r="F27" s="73">
        <f t="shared" si="5"/>
        <v>5.2352941176470589</v>
      </c>
      <c r="G27" s="73">
        <f t="shared" si="5"/>
        <v>8.5882352941176467</v>
      </c>
      <c r="H27" s="73">
        <f t="shared" si="5"/>
        <v>7.7647058823529411</v>
      </c>
      <c r="I27" s="73">
        <f t="shared" si="5"/>
        <v>7.117647058823529</v>
      </c>
      <c r="J27" s="73">
        <f t="shared" si="5"/>
        <v>8.9411764705882355</v>
      </c>
      <c r="K27" s="73">
        <f t="shared" si="5"/>
        <v>4.8235294117647056</v>
      </c>
      <c r="L27" s="73">
        <f t="shared" si="5"/>
        <v>6.9411764705882355</v>
      </c>
      <c r="M27" s="73">
        <f t="shared" si="5"/>
        <v>9.2941176470588243</v>
      </c>
      <c r="N27" s="73">
        <f t="shared" si="5"/>
        <v>9.2941176470588243</v>
      </c>
      <c r="O27" s="73">
        <f t="shared" si="5"/>
        <v>9.0588235294117645</v>
      </c>
      <c r="P27" s="73">
        <f t="shared" si="5"/>
        <v>10.823529411764707</v>
      </c>
      <c r="Q27" s="73">
        <f t="shared" si="5"/>
        <v>9.882352941176471</v>
      </c>
      <c r="R27" s="73">
        <f t="shared" si="5"/>
        <v>9.7058823529411757</v>
      </c>
      <c r="S27" s="73">
        <f t="shared" si="5"/>
        <v>10.235294117647058</v>
      </c>
      <c r="T27" s="73">
        <f t="shared" si="5"/>
        <v>11.647058823529411</v>
      </c>
      <c r="U27" s="73">
        <f t="shared" si="5"/>
        <v>11.647058823529411</v>
      </c>
      <c r="V27" s="73">
        <f t="shared" si="5"/>
        <v>9.9411764705882355</v>
      </c>
      <c r="W27" s="73">
        <f t="shared" si="5"/>
        <v>10</v>
      </c>
      <c r="X27" s="73">
        <f t="shared" si="5"/>
        <v>9.0588235294117645</v>
      </c>
      <c r="Y27" s="73">
        <f t="shared" si="5"/>
        <v>9.9411764705882355</v>
      </c>
      <c r="Z27" s="73">
        <f t="shared" si="5"/>
        <v>9.8235294117647065</v>
      </c>
      <c r="AA27" s="73">
        <f t="shared" si="5"/>
        <v>7.5</v>
      </c>
      <c r="AB27" s="73">
        <f t="shared" si="5"/>
        <v>9</v>
      </c>
      <c r="AC27" s="73">
        <f t="shared" si="5"/>
        <v>7.5</v>
      </c>
      <c r="AD27" s="73">
        <f t="shared" si="5"/>
        <v>6.5</v>
      </c>
      <c r="AE27" s="73">
        <f t="shared" si="5"/>
        <v>8</v>
      </c>
      <c r="AF27" s="73">
        <f t="shared" si="5"/>
        <v>8</v>
      </c>
      <c r="AG27" s="73"/>
      <c r="AH27" s="73">
        <f>IFERROR(AVERAGE(AH6:AH25),"")</f>
        <v>6.6470588235294121</v>
      </c>
      <c r="AI27" s="73">
        <f>IFERROR(AVERAGE(AI6:AI25),"")</f>
        <v>10.176470588235292</v>
      </c>
      <c r="AJ27" s="73">
        <f>IFERROR(AVERAGE(AJ6:AJ25),"")</f>
        <v>9.7529411764705891</v>
      </c>
      <c r="AK27" s="73">
        <f>IFERROR(AVERAGE(AK6:AK25),"")</f>
        <v>7.75</v>
      </c>
      <c r="AL27" s="73">
        <f>IFERROR(AVERAGE(AL6:AL25),"")</f>
        <v>8.8768790849673209</v>
      </c>
    </row>
    <row r="30" spans="2:38" x14ac:dyDescent="0.45">
      <c r="B30" s="246" t="s">
        <v>139</v>
      </c>
      <c r="C30" s="246"/>
      <c r="D30" s="246"/>
    </row>
    <row r="31" spans="2:38" x14ac:dyDescent="0.45">
      <c r="C31" s="51" t="s">
        <v>140</v>
      </c>
      <c r="D31" s="53" t="s">
        <v>131</v>
      </c>
    </row>
    <row r="32" spans="2:38" x14ac:dyDescent="0.45">
      <c r="C32" s="74" t="s">
        <v>141</v>
      </c>
      <c r="D32" s="56" t="s">
        <v>142</v>
      </c>
    </row>
    <row r="33" spans="2:8" x14ac:dyDescent="0.45">
      <c r="C33" s="74" t="s">
        <v>143</v>
      </c>
      <c r="D33" s="56" t="s">
        <v>144</v>
      </c>
    </row>
    <row r="34" spans="2:8" x14ac:dyDescent="0.45">
      <c r="C34" s="74" t="s">
        <v>145</v>
      </c>
      <c r="D34" s="56" t="s">
        <v>146</v>
      </c>
    </row>
    <row r="35" spans="2:8" x14ac:dyDescent="0.45">
      <c r="C35" s="74" t="s">
        <v>147</v>
      </c>
      <c r="D35" s="56" t="s">
        <v>148</v>
      </c>
    </row>
    <row r="36" spans="2:8" x14ac:dyDescent="0.45">
      <c r="C36" s="74" t="s">
        <v>149</v>
      </c>
      <c r="D36" s="56" t="s">
        <v>150</v>
      </c>
    </row>
    <row r="37" spans="2:8" x14ac:dyDescent="0.45">
      <c r="C37" s="74" t="s">
        <v>151</v>
      </c>
      <c r="D37" s="56" t="s">
        <v>152</v>
      </c>
    </row>
    <row r="38" spans="2:8" x14ac:dyDescent="0.45">
      <c r="C38" s="74" t="s">
        <v>153</v>
      </c>
      <c r="D38" s="56" t="s">
        <v>154</v>
      </c>
    </row>
    <row r="39" spans="2:8" x14ac:dyDescent="0.45">
      <c r="C39" s="74" t="s">
        <v>155</v>
      </c>
      <c r="D39" s="56" t="s">
        <v>156</v>
      </c>
    </row>
    <row r="40" spans="2:8" x14ac:dyDescent="0.45">
      <c r="C40" s="74" t="s">
        <v>157</v>
      </c>
      <c r="D40" s="56" t="s">
        <v>158</v>
      </c>
    </row>
    <row r="41" spans="2:8" x14ac:dyDescent="0.45">
      <c r="C41" s="75" t="s">
        <v>159</v>
      </c>
      <c r="D41" s="59" t="s">
        <v>160</v>
      </c>
    </row>
    <row r="43" spans="2:8" x14ac:dyDescent="0.45">
      <c r="B43" s="240" t="s">
        <v>161</v>
      </c>
      <c r="C43" s="240"/>
      <c r="D43" s="240"/>
      <c r="E43" s="240"/>
      <c r="F43" s="240"/>
      <c r="G43" s="240"/>
      <c r="H43" s="240"/>
    </row>
  </sheetData>
  <mergeCells count="9">
    <mergeCell ref="AH4:AL4"/>
    <mergeCell ref="B30:D30"/>
    <mergeCell ref="B43:H43"/>
    <mergeCell ref="B2:D2"/>
    <mergeCell ref="B3:H3"/>
    <mergeCell ref="E4:L4"/>
    <mergeCell ref="M4:U4"/>
    <mergeCell ref="V4:Z4"/>
    <mergeCell ref="AA4:AF4"/>
  </mergeCells>
  <conditionalFormatting sqref="E6:AF25">
    <cfRule type="colorScale" priority="5">
      <colorScale>
        <cfvo type="num" val="1"/>
        <cfvo type="num" val="10.5"/>
        <cfvo type="num" val="20"/>
        <color rgb="FFF8696B"/>
        <color rgb="FFFFEB84"/>
        <color rgb="FF63BE7B"/>
      </colorScale>
    </cfRule>
  </conditionalFormatting>
  <conditionalFormatting sqref="E23:AF25">
    <cfRule type="colorScale" priority="4">
      <colorScale>
        <cfvo type="min"/>
        <cfvo type="num" val="10.5"/>
        <cfvo type="max"/>
        <color rgb="FFF8696B"/>
        <color rgb="FFFFEB84"/>
        <color rgb="FF63BE7B"/>
      </colorScale>
    </cfRule>
  </conditionalFormatting>
  <conditionalFormatting sqref="AA6:AF22">
    <cfRule type="expression" dxfId="4" priority="1">
      <formula>ISERROR(SEARCH("GK",$D6))</formula>
    </cfRule>
  </conditionalFormatting>
  <dataValidations count="2">
    <dataValidation type="decimal" allowBlank="1" showInputMessage="1" showErrorMessage="1" sqref="E23:AF25" xr:uid="{6A9D3961-1F07-4D7D-A0F9-FDEDB826C802}">
      <formula1>1</formula1>
      <formula2>20</formula2>
    </dataValidation>
    <dataValidation type="whole" allowBlank="1" showInputMessage="1" showErrorMessage="1" errorTitle="Grade out of range" error="Please enter a whole number from 1 to 20." promptTitle="Player grade" prompt="Grade 1 (poor) to 20 (excellent)." sqref="E6:AF22" xr:uid="{6EA8C625-2423-4D01-B221-6886CA64B79D}">
      <formula1>1</formula1>
      <formula2>20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932E-0E3C-47F6-BCBE-100BB8CF2429}">
  <dimension ref="B2:AD142"/>
  <sheetViews>
    <sheetView tabSelected="1" workbookViewId="0">
      <pane xSplit="1" ySplit="6" topLeftCell="B125" activePane="bottomRight" state="frozen"/>
      <selection pane="topRight" activeCell="B1" sqref="B1"/>
      <selection pane="bottomLeft" activeCell="A7" sqref="A7"/>
      <selection pane="bottomRight" activeCell="F132" sqref="F132"/>
    </sheetView>
  </sheetViews>
  <sheetFormatPr defaultRowHeight="14.25" x14ac:dyDescent="0.45"/>
  <cols>
    <col min="2" max="2" width="6.06640625" customWidth="1"/>
    <col min="3" max="3" width="23.1328125" customWidth="1"/>
    <col min="4" max="4" width="16" customWidth="1"/>
    <col min="5" max="5" width="12.46484375" customWidth="1"/>
    <col min="6" max="6" width="26.6640625" customWidth="1"/>
    <col min="7" max="9" width="13.86328125" customWidth="1"/>
    <col min="10" max="29" width="9.265625" customWidth="1"/>
  </cols>
  <sheetData>
    <row r="2" spans="2:21" ht="18" x14ac:dyDescent="0.55000000000000004">
      <c r="B2" s="239" t="s">
        <v>162</v>
      </c>
      <c r="C2" s="239"/>
      <c r="D2" s="239"/>
      <c r="E2" s="239"/>
      <c r="F2" s="239"/>
    </row>
    <row r="3" spans="2:21" x14ac:dyDescent="0.45">
      <c r="B3" s="240" t="s">
        <v>163</v>
      </c>
      <c r="C3" s="240"/>
      <c r="D3" s="240"/>
      <c r="E3" s="240"/>
      <c r="F3" s="240"/>
      <c r="G3" s="240"/>
      <c r="H3" s="240"/>
      <c r="I3" s="240"/>
      <c r="J3" s="240"/>
      <c r="K3" s="240"/>
      <c r="L3" s="240"/>
    </row>
    <row r="5" spans="2:21" ht="39.75" x14ac:dyDescent="0.45">
      <c r="B5" s="105" t="s">
        <v>165</v>
      </c>
      <c r="C5" s="106" t="s">
        <v>166</v>
      </c>
      <c r="D5" s="106" t="s">
        <v>167</v>
      </c>
      <c r="E5" s="106" t="s">
        <v>168</v>
      </c>
      <c r="F5" s="106" t="s">
        <v>169</v>
      </c>
      <c r="G5" s="106" t="s">
        <v>170</v>
      </c>
      <c r="H5" s="106" t="s">
        <v>171</v>
      </c>
      <c r="I5" s="107"/>
      <c r="J5" s="108" t="s">
        <v>172</v>
      </c>
      <c r="K5" s="109" t="s">
        <v>173</v>
      </c>
    </row>
    <row r="6" spans="2:21" x14ac:dyDescent="0.45">
      <c r="B6" s="110">
        <v>1</v>
      </c>
      <c r="C6" s="111" t="str" cm="1">
        <f t="array" ref="C6">IFERROR(IF($B$6="","",IF(LEN(INDEX(Attendance!$CP$3:$FY$3,1,($B$6-1)*4+1))=0,"",INDEX(Attendance!$CP$3:$FY$3,1,($B$6-1)*4+1))),"")</f>
        <v/>
      </c>
      <c r="D6" s="111" t="str" cm="1">
        <f t="array" ref="D6">IFERROR(IF($B$6="","",IF(LEN(INDEX(Attendance!$CP$3:$FY$3,1,($B$6-1)*4+4))=0,"",INDEX(Attendance!$CP$3:$FY$3,1,($B$6-1)*4+4))),"")</f>
        <v/>
      </c>
      <c r="E6" s="112" t="str" cm="1">
        <f t="array" ref="E6">IFERROR(IF($B$6="","",IF(LEN(INDEX(Attendance!$CP$2:$FY$2,1,($B$6-1)*4+1))=0,"",INDEX(Attendance!$CP$2:$FY$2,1,($B$6-1)*4+1))),"")</f>
        <v/>
      </c>
      <c r="F6" s="113" t="str" cm="1">
        <f t="array" ref="F6">IFERROR(IF($B$6="","",IF(LEN(INDEX(Attendance!$CP$26:$FY$26,1,($B$6-1)*4+1))=0,"",INDEX(Attendance!$CP$26:$FY$26,1,($B$6-1)*4+1))),"")</f>
        <v/>
      </c>
      <c r="G6" s="113" t="str" cm="1">
        <f t="array" ref="G6">IFERROR(IF($B$6="","",IF(LEN(INDEX(Attendance!$CP$27:$FY$27,1,($B$6-1)*4+1))=0,"",INDEX(Attendance!$CP$27:$FY$27,1,($B$6-1)*4+1))),"")</f>
        <v/>
      </c>
      <c r="H6" s="111" t="str" cm="1">
        <f t="array" ref="H6">IFERROR(IF($B$6="","",IF(LEN(INDEX(Attendance!$CP$28:$FY$28,1,($B$6-1)*4+1))=0,"",INDEX(Attendance!$CP$28:$FY$28,1,($B$6-1)*4+1))),"")</f>
        <v/>
      </c>
      <c r="I6" s="114"/>
      <c r="J6" s="115" t="s">
        <v>174</v>
      </c>
      <c r="K6" s="116">
        <v>2</v>
      </c>
    </row>
    <row r="8" spans="2:21" ht="14.65" thickBot="1" x14ac:dyDescent="0.5">
      <c r="B8" s="246" t="s">
        <v>198</v>
      </c>
      <c r="C8" s="246"/>
      <c r="D8" s="246"/>
      <c r="E8" s="246"/>
      <c r="F8" s="246"/>
      <c r="G8" s="293" t="s">
        <v>197</v>
      </c>
      <c r="H8" s="293"/>
      <c r="I8" s="293"/>
      <c r="J8" s="293"/>
      <c r="K8" s="293"/>
      <c r="L8" s="293"/>
      <c r="M8" s="293"/>
      <c r="N8" s="293"/>
      <c r="O8" s="293"/>
      <c r="P8" s="293"/>
      <c r="Q8" s="293"/>
      <c r="R8" s="293"/>
      <c r="S8" s="293"/>
      <c r="T8" s="293"/>
      <c r="U8" s="293"/>
    </row>
    <row r="9" spans="2:21" ht="14.65" thickTop="1" x14ac:dyDescent="0.45">
      <c r="G9" s="296" t="s">
        <v>157</v>
      </c>
      <c r="H9" s="297"/>
      <c r="I9" s="297"/>
      <c r="J9" s="154"/>
      <c r="K9" s="154"/>
      <c r="L9" s="154"/>
      <c r="M9" s="297" t="s">
        <v>159</v>
      </c>
      <c r="N9" s="297"/>
      <c r="O9" s="297"/>
      <c r="P9" s="154"/>
      <c r="Q9" s="154"/>
      <c r="R9" s="154"/>
      <c r="S9" s="297" t="s">
        <v>155</v>
      </c>
      <c r="T9" s="297"/>
      <c r="U9" s="300"/>
    </row>
    <row r="10" spans="2:21" x14ac:dyDescent="0.45">
      <c r="B10" s="304" t="s">
        <v>165</v>
      </c>
      <c r="C10" s="304"/>
      <c r="D10" s="305" t="str">
        <f>IF($B$6="","","GW "&amp;$B$6&amp;" of 22")</f>
        <v>GW 1 of 22</v>
      </c>
      <c r="E10" s="305"/>
      <c r="F10" s="306"/>
      <c r="G10" s="298" t="str">
        <f>IF($D35="","—",$D35)</f>
        <v>Amber Kilalee</v>
      </c>
      <c r="H10" s="299"/>
      <c r="I10" s="299"/>
      <c r="J10" s="153"/>
      <c r="K10" s="153"/>
      <c r="L10" s="153"/>
      <c r="M10" s="299" t="str">
        <f>IF($D34="","—",$D34)</f>
        <v>Zara Freeman</v>
      </c>
      <c r="N10" s="299"/>
      <c r="O10" s="299"/>
      <c r="P10" s="153"/>
      <c r="Q10" s="153"/>
      <c r="R10" s="153"/>
      <c r="S10" s="299" t="str">
        <f>IF($D33="","—",$D33)</f>
        <v>Emma Dromgoole</v>
      </c>
      <c r="T10" s="299"/>
      <c r="U10" s="301"/>
    </row>
    <row r="11" spans="2:21" x14ac:dyDescent="0.45">
      <c r="B11" s="307" t="s">
        <v>166</v>
      </c>
      <c r="C11" s="307"/>
      <c r="D11" s="308" t="str">
        <f>IF($C$6="","(not set)",$C$6)</f>
        <v>(not set)</v>
      </c>
      <c r="E11" s="308"/>
      <c r="F11" s="309"/>
      <c r="G11" s="156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8"/>
    </row>
    <row r="12" spans="2:21" x14ac:dyDescent="0.45">
      <c r="B12" s="307" t="s">
        <v>167</v>
      </c>
      <c r="C12" s="307"/>
      <c r="D12" s="308" t="str">
        <f>IF($D$6="","(not set)",IF($D$6="H","Home","Away"))</f>
        <v>(not set)</v>
      </c>
      <c r="E12" s="308"/>
      <c r="F12" s="309"/>
      <c r="G12" s="156"/>
      <c r="H12" s="153"/>
      <c r="I12" s="302" t="s">
        <v>149</v>
      </c>
      <c r="J12" s="302"/>
      <c r="K12" s="302"/>
      <c r="L12" s="153"/>
      <c r="M12" s="302" t="s">
        <v>151</v>
      </c>
      <c r="N12" s="302"/>
      <c r="O12" s="302"/>
      <c r="P12" s="153"/>
      <c r="Q12" s="302" t="s">
        <v>153</v>
      </c>
      <c r="R12" s="302"/>
      <c r="S12" s="302"/>
      <c r="T12" s="153"/>
      <c r="U12" s="158"/>
    </row>
    <row r="13" spans="2:21" x14ac:dyDescent="0.45">
      <c r="B13" s="307" t="s">
        <v>168</v>
      </c>
      <c r="C13" s="307"/>
      <c r="D13" s="308" t="str">
        <f>IF($E$6="","(not set)",TEXT($E$6,"dd-mmm-yyyy"))</f>
        <v>(not set)</v>
      </c>
      <c r="E13" s="308"/>
      <c r="F13" s="309"/>
      <c r="G13" s="156"/>
      <c r="H13" s="153"/>
      <c r="I13" s="299" t="str">
        <f>IF($D30="","—",$D30)</f>
        <v>Roma Memon</v>
      </c>
      <c r="J13" s="299"/>
      <c r="K13" s="299"/>
      <c r="L13" s="153"/>
      <c r="M13" s="299" t="str">
        <f>IF($D31="","—",$D31)</f>
        <v>—</v>
      </c>
      <c r="N13" s="299"/>
      <c r="O13" s="299"/>
      <c r="P13" s="153"/>
      <c r="Q13" s="299" t="str">
        <f>IF($D32="","—",$D32)</f>
        <v>Roisin Offenhausen</v>
      </c>
      <c r="R13" s="299"/>
      <c r="S13" s="299"/>
      <c r="T13" s="153"/>
      <c r="U13" s="158"/>
    </row>
    <row r="14" spans="2:21" x14ac:dyDescent="0.45">
      <c r="B14" s="311" t="s">
        <v>171</v>
      </c>
      <c r="C14" s="311"/>
      <c r="D14" s="312" t="str">
        <f>IF($H$6="","Not played",$H$6&amp;"  "&amp;$F$6&amp;"-"&amp;$G$6)</f>
        <v>Not played</v>
      </c>
      <c r="E14" s="312"/>
      <c r="F14" s="313"/>
      <c r="G14" s="156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8"/>
    </row>
    <row r="15" spans="2:21" x14ac:dyDescent="0.45">
      <c r="G15" s="310" t="s">
        <v>145</v>
      </c>
      <c r="H15" s="302"/>
      <c r="I15" s="302"/>
      <c r="J15" s="153"/>
      <c r="K15" s="302" t="s">
        <v>147</v>
      </c>
      <c r="L15" s="302"/>
      <c r="M15" s="302"/>
      <c r="N15" s="153"/>
      <c r="O15" s="302" t="s">
        <v>147</v>
      </c>
      <c r="P15" s="302"/>
      <c r="Q15" s="302"/>
      <c r="R15" s="153"/>
      <c r="S15" s="302" t="s">
        <v>143</v>
      </c>
      <c r="T15" s="302"/>
      <c r="U15" s="303"/>
    </row>
    <row r="16" spans="2:21" x14ac:dyDescent="0.45">
      <c r="G16" s="298" t="str">
        <f>IF($D29="","—",$D29)</f>
        <v>Hannah Fleming</v>
      </c>
      <c r="H16" s="299"/>
      <c r="I16" s="299"/>
      <c r="J16" s="153"/>
      <c r="K16" s="299" t="str">
        <f>IF($D27="","—",$D27)</f>
        <v>Emma Kelly</v>
      </c>
      <c r="L16" s="299"/>
      <c r="M16" s="299"/>
      <c r="N16" s="153"/>
      <c r="O16" s="299" t="str">
        <f>IF($D28="","—",$D28)</f>
        <v>Semilore Adesanya</v>
      </c>
      <c r="P16" s="299"/>
      <c r="Q16" s="299"/>
      <c r="R16" s="153"/>
      <c r="S16" s="299" t="str">
        <f>IF($D26="","—",$D26)</f>
        <v>Marianna</v>
      </c>
      <c r="T16" s="299"/>
      <c r="U16" s="301"/>
    </row>
    <row r="17" spans="2:21" x14ac:dyDescent="0.45">
      <c r="G17" s="156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8"/>
    </row>
    <row r="18" spans="2:21" x14ac:dyDescent="0.45">
      <c r="G18" s="156"/>
      <c r="H18" s="153"/>
      <c r="I18" s="153"/>
      <c r="J18" s="153"/>
      <c r="K18" s="153"/>
      <c r="L18" s="153"/>
      <c r="M18" s="302" t="s">
        <v>141</v>
      </c>
      <c r="N18" s="302"/>
      <c r="O18" s="302"/>
      <c r="P18" s="153"/>
      <c r="Q18" s="153"/>
      <c r="R18" s="153"/>
      <c r="S18" s="153"/>
      <c r="T18" s="153"/>
      <c r="U18" s="158"/>
    </row>
    <row r="19" spans="2:21" x14ac:dyDescent="0.45">
      <c r="G19" s="156"/>
      <c r="H19" s="153"/>
      <c r="I19" s="153"/>
      <c r="J19" s="153"/>
      <c r="K19" s="153"/>
      <c r="L19" s="153"/>
      <c r="M19" s="299" t="str">
        <f>IF($D25="","—",$D25)</f>
        <v>Elsie Morrison</v>
      </c>
      <c r="N19" s="299"/>
      <c r="O19" s="299"/>
      <c r="P19" s="153"/>
      <c r="Q19" s="153"/>
      <c r="R19" s="153"/>
      <c r="S19" s="153"/>
      <c r="T19" s="153"/>
      <c r="U19" s="158"/>
    </row>
    <row r="20" spans="2:21" ht="14.65" thickBot="1" x14ac:dyDescent="0.5">
      <c r="G20" s="157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9"/>
    </row>
    <row r="21" spans="2:21" ht="14.65" thickTop="1" x14ac:dyDescent="0.45"/>
    <row r="23" spans="2:21" x14ac:dyDescent="0.45">
      <c r="B23" s="246" t="s">
        <v>193</v>
      </c>
      <c r="C23" s="246"/>
      <c r="D23" s="246"/>
      <c r="E23" s="246"/>
      <c r="F23" s="246"/>
      <c r="G23" s="246"/>
      <c r="H23" s="246"/>
    </row>
    <row r="24" spans="2:21" ht="26.65" x14ac:dyDescent="0.45">
      <c r="B24" s="133" t="s">
        <v>181</v>
      </c>
      <c r="C24" s="134" t="s">
        <v>131</v>
      </c>
      <c r="D24" s="134" t="s">
        <v>4</v>
      </c>
      <c r="E24" s="134" t="s">
        <v>194</v>
      </c>
      <c r="F24" s="134" t="s">
        <v>177</v>
      </c>
      <c r="G24" s="134" t="s">
        <v>178</v>
      </c>
      <c r="H24" s="135" t="s">
        <v>195</v>
      </c>
    </row>
    <row r="25" spans="2:21" x14ac:dyDescent="0.45">
      <c r="B25" s="82">
        <v>1</v>
      </c>
      <c r="C25" s="136" t="s">
        <v>141</v>
      </c>
      <c r="D25" s="137" t="str">
        <f t="shared" ref="D25:D35" si="0">IF($H25&lt;&gt;"",$H25,IFERROR(INDEX($C$64:$C$83,MATCH(MAX($C88:$V88),$C88:$V88,0)),""))</f>
        <v>Elsie Morrison</v>
      </c>
      <c r="E25" s="138">
        <f>IFERROR(INDEX($R$64:$R$83,MATCH($D25,$C$64:$C$83,0)),"")</f>
        <v>9.9090909090909083</v>
      </c>
      <c r="F25" s="139">
        <f t="shared" ref="F25:F35" si="1">IFERROR(INDEX($AB$64:$AB$83,MATCH($D25,$C$64:$C$83,0)),"")</f>
        <v>0</v>
      </c>
      <c r="G25" s="138">
        <f t="shared" ref="G25:G35" si="2">IFERROR(INDEX($AC$64:$AC$83,MATCH($D25,$C$64:$C$83,0)),"")</f>
        <v>9.6694444444444443</v>
      </c>
      <c r="H25" s="140"/>
    </row>
    <row r="26" spans="2:21" x14ac:dyDescent="0.45">
      <c r="B26" s="88">
        <v>2</v>
      </c>
      <c r="C26" s="141" t="s">
        <v>143</v>
      </c>
      <c r="D26" s="142" t="str">
        <f t="shared" si="0"/>
        <v>Marianna</v>
      </c>
      <c r="E26" s="143">
        <f>IFERROR(INDEX($S$64:$S$83,MATCH($D26,$C$64:$C$83,0)),"")</f>
        <v>9.7777777777777786</v>
      </c>
      <c r="F26" s="144">
        <f t="shared" si="1"/>
        <v>0</v>
      </c>
      <c r="G26" s="143">
        <f t="shared" si="2"/>
        <v>8.7472222222222218</v>
      </c>
      <c r="H26" s="145"/>
    </row>
    <row r="27" spans="2:21" x14ac:dyDescent="0.45">
      <c r="B27" s="82">
        <v>3</v>
      </c>
      <c r="C27" s="136" t="s">
        <v>147</v>
      </c>
      <c r="D27" s="137" t="str">
        <f t="shared" si="0"/>
        <v>Emma Kelly</v>
      </c>
      <c r="E27" s="138">
        <f>IFERROR(INDEX($T$64:$T$83,MATCH($D27,$C$64:$C$83,0)),"")</f>
        <v>12.780487804878049</v>
      </c>
      <c r="F27" s="139">
        <f t="shared" si="1"/>
        <v>0</v>
      </c>
      <c r="G27" s="138">
        <f t="shared" si="2"/>
        <v>11.184259259259258</v>
      </c>
      <c r="H27" s="140"/>
    </row>
    <row r="28" spans="2:21" x14ac:dyDescent="0.45">
      <c r="B28" s="88">
        <v>4</v>
      </c>
      <c r="C28" s="141" t="s">
        <v>147</v>
      </c>
      <c r="D28" s="142" t="str">
        <f t="shared" si="0"/>
        <v>Semilore Adesanya</v>
      </c>
      <c r="E28" s="143">
        <f>IFERROR(INDEX($T$64:$T$83,MATCH($D28,$C$64:$C$83,0)),"")</f>
        <v>12.195121951219512</v>
      </c>
      <c r="F28" s="144">
        <f t="shared" si="1"/>
        <v>0</v>
      </c>
      <c r="G28" s="143">
        <f t="shared" si="2"/>
        <v>10.478703703703703</v>
      </c>
      <c r="H28" s="145"/>
    </row>
    <row r="29" spans="2:21" x14ac:dyDescent="0.45">
      <c r="B29" s="82">
        <v>5</v>
      </c>
      <c r="C29" s="136" t="s">
        <v>145</v>
      </c>
      <c r="D29" s="137" t="str">
        <f t="shared" si="0"/>
        <v>Hannah Fleming</v>
      </c>
      <c r="E29" s="138">
        <f>IFERROR(INDEX($U$64:$U$83,MATCH($D29,$C$64:$C$83,0)),"")</f>
        <v>10.488888888888889</v>
      </c>
      <c r="F29" s="139">
        <f t="shared" si="1"/>
        <v>0</v>
      </c>
      <c r="G29" s="138">
        <f t="shared" si="2"/>
        <v>10.1</v>
      </c>
      <c r="H29" s="140"/>
    </row>
    <row r="30" spans="2:21" x14ac:dyDescent="0.45">
      <c r="B30" s="88">
        <v>6</v>
      </c>
      <c r="C30" s="141" t="s">
        <v>149</v>
      </c>
      <c r="D30" s="142" t="str">
        <f t="shared" si="0"/>
        <v>Roma Memon</v>
      </c>
      <c r="E30" s="143">
        <f>IFERROR(INDEX($V$64:$V$83,MATCH($D30,$C$64:$C$83,0)),"")</f>
        <v>8.9777777777777779</v>
      </c>
      <c r="F30" s="144">
        <f t="shared" si="1"/>
        <v>0</v>
      </c>
      <c r="G30" s="143">
        <f t="shared" si="2"/>
        <v>7.8138888888888891</v>
      </c>
      <c r="H30" s="145"/>
    </row>
    <row r="31" spans="2:21" x14ac:dyDescent="0.45">
      <c r="B31" s="82">
        <v>7</v>
      </c>
      <c r="C31" s="136" t="s">
        <v>151</v>
      </c>
      <c r="D31" s="137" t="str">
        <f t="shared" si="0"/>
        <v/>
      </c>
      <c r="E31" s="138" t="str">
        <f>IFERROR(INDEX($W$64:$W$83,MATCH($D31,$C$64:$C$83,0)),"")</f>
        <v/>
      </c>
      <c r="F31" s="139" t="str">
        <f t="shared" si="1"/>
        <v/>
      </c>
      <c r="G31" s="138" t="str">
        <f t="shared" si="2"/>
        <v/>
      </c>
      <c r="H31" s="140"/>
    </row>
    <row r="32" spans="2:21" x14ac:dyDescent="0.45">
      <c r="B32" s="88">
        <v>8</v>
      </c>
      <c r="C32" s="141" t="s">
        <v>153</v>
      </c>
      <c r="D32" s="142" t="str">
        <f t="shared" si="0"/>
        <v>Roisin Offenhausen</v>
      </c>
      <c r="E32" s="143">
        <f>IFERROR(INDEX($X$64:$X$83,MATCH($D32,$C$64:$C$83,0)),"")</f>
        <v>10.304347826086957</v>
      </c>
      <c r="F32" s="144">
        <f t="shared" si="1"/>
        <v>0</v>
      </c>
      <c r="G32" s="143">
        <f t="shared" si="2"/>
        <v>9.7546296296296298</v>
      </c>
      <c r="H32" s="145"/>
    </row>
    <row r="33" spans="2:8" x14ac:dyDescent="0.45">
      <c r="B33" s="82">
        <v>9</v>
      </c>
      <c r="C33" s="136" t="s">
        <v>155</v>
      </c>
      <c r="D33" s="137" t="str">
        <f t="shared" si="0"/>
        <v>Emma Dromgoole</v>
      </c>
      <c r="E33" s="138">
        <f>IFERROR(INDEX($Y$64:$Y$83,MATCH($D33,$C$64:$C$83,0)),"")</f>
        <v>9.5111111111111111</v>
      </c>
      <c r="F33" s="139">
        <f t="shared" si="1"/>
        <v>0</v>
      </c>
      <c r="G33" s="138">
        <f t="shared" si="2"/>
        <v>9.2175925925925934</v>
      </c>
      <c r="H33" s="140"/>
    </row>
    <row r="34" spans="2:8" x14ac:dyDescent="0.45">
      <c r="B34" s="88">
        <v>10</v>
      </c>
      <c r="C34" s="141" t="s">
        <v>159</v>
      </c>
      <c r="D34" s="142" t="str">
        <f t="shared" si="0"/>
        <v>Zara Freeman</v>
      </c>
      <c r="E34" s="143">
        <f>IFERROR(INDEX($AA$64:$AA$83,MATCH($D34,$C$64:$C$83,0)),"")</f>
        <v>11.52</v>
      </c>
      <c r="F34" s="144">
        <f t="shared" si="1"/>
        <v>0</v>
      </c>
      <c r="G34" s="143">
        <f t="shared" si="2"/>
        <v>10.643518518518519</v>
      </c>
      <c r="H34" s="145"/>
    </row>
    <row r="35" spans="2:8" x14ac:dyDescent="0.45">
      <c r="B35" s="146">
        <v>11</v>
      </c>
      <c r="C35" s="147" t="s">
        <v>157</v>
      </c>
      <c r="D35" s="148" t="str">
        <f t="shared" si="0"/>
        <v>Amber Kilalee</v>
      </c>
      <c r="E35" s="149">
        <f>IFERROR(INDEX($Z$64:$Z$83,MATCH($D35,$C$64:$C$83,0)),"")</f>
        <v>9.2222222222222214</v>
      </c>
      <c r="F35" s="150">
        <f t="shared" si="1"/>
        <v>0</v>
      </c>
      <c r="G35" s="149">
        <f t="shared" si="2"/>
        <v>8.780555555555555</v>
      </c>
      <c r="H35" s="151"/>
    </row>
    <row r="38" spans="2:8" x14ac:dyDescent="0.45">
      <c r="B38" s="295" t="s">
        <v>298</v>
      </c>
      <c r="C38" s="295"/>
      <c r="D38" s="295"/>
      <c r="E38" s="295"/>
      <c r="F38" s="295"/>
      <c r="G38" s="295"/>
    </row>
    <row r="39" spans="2:8" x14ac:dyDescent="0.45">
      <c r="B39" s="192" t="s">
        <v>3</v>
      </c>
      <c r="C39" s="192" t="s">
        <v>4</v>
      </c>
      <c r="D39" s="192" t="s">
        <v>131</v>
      </c>
      <c r="E39" s="192" t="s">
        <v>178</v>
      </c>
      <c r="F39" s="192" t="s">
        <v>177</v>
      </c>
      <c r="G39" s="192" t="s">
        <v>196</v>
      </c>
    </row>
    <row r="40" spans="2:8" x14ac:dyDescent="0.45">
      <c r="B40" s="193">
        <f>IF($C40="","",ROWS($B$40:B40))</f>
        <v>1</v>
      </c>
      <c r="C40" s="194" t="str" cm="1">
        <f t="array" ref="C40">IFERROR(INDEX($C$64:$C$83,_xlfn.AGGREGATE(15,6,(ROW($C$64:$C$83)-63)/(($C$64:$C$83&lt;&gt;"")*(COUNTIF($D$25:$D$35,$C$64:$C$83)=0)),ROWS($C$40:C40))),"")</f>
        <v>Aoife Kennan</v>
      </c>
      <c r="D40" s="195" t="str">
        <f>IF($C40="","",IFERROR(INDEX($D$64:$D$83,MATCH($C40,$C$64:$C$83,0)),""))</f>
        <v>GK</v>
      </c>
      <c r="E40" s="196">
        <f>IF($C40="","",IFERROR(INDEX($AC$64:$AC$83,MATCH($C40,$C$64:$C$83,0)),""))</f>
        <v>4.9097222222222223</v>
      </c>
      <c r="F40" s="197">
        <f>IF($C40="","",IFERROR(INDEX($AB$64:$AB$83,MATCH($C40,$C$64:$C$83,0)),""))</f>
        <v>0</v>
      </c>
      <c r="G40" s="195" t="str">
        <f>IF($C40="","",IF(INDEX($E$64:$E$83,MATCH($C40,$C$64:$C$83,0))="Yes","Available","Unavailable — "&amp;INDEX($F$64:$F$83,MATCH($C40,$C$64:$C$83,0))))</f>
        <v>Available</v>
      </c>
    </row>
    <row r="41" spans="2:8" x14ac:dyDescent="0.45">
      <c r="B41" s="198">
        <f>IF($C41="","",ROWS($B$40:B41))</f>
        <v>2</v>
      </c>
      <c r="C41" s="199" t="str" cm="1">
        <f t="array" ref="C41">IFERROR(INDEX($C$64:$C$83,_xlfn.AGGREGATE(15,6,(ROW($C$64:$C$83)-63)/(($C$64:$C$83&lt;&gt;"")*(COUNTIF($D$25:$D$35,$C$64:$C$83)=0)),ROWS($C$40:C41))),"")</f>
        <v>Stella McEvoy</v>
      </c>
      <c r="D41" s="200" t="str">
        <f t="shared" ref="D41:D59" si="3">IF($C41="","",IFERROR(INDEX($D$64:$D$83,MATCH($C41,$C$64:$C$83,0)),""))</f>
        <v>LB / RB</v>
      </c>
      <c r="E41" s="201">
        <f t="shared" ref="E41:E59" si="4">IF($C41="","",IFERROR(INDEX($AC$64:$AC$83,MATCH($C41,$C$64:$C$83,0)),""))</f>
        <v>8.6138888888888889</v>
      </c>
      <c r="F41" s="202">
        <f t="shared" ref="F41:F59" si="5">IF($C41="","",IFERROR(INDEX($AB$64:$AB$83,MATCH($C41,$C$64:$C$83,0)),""))</f>
        <v>0</v>
      </c>
      <c r="G41" s="200" t="str">
        <f t="shared" ref="G41:G59" si="6">IF($C41="","",IF(INDEX($E$64:$E$83,MATCH($C41,$C$64:$C$83,0))="Yes","Available","Unavailable — "&amp;INDEX($F$64:$F$83,MATCH($C41,$C$64:$C$83,0))))</f>
        <v>Available</v>
      </c>
    </row>
    <row r="42" spans="2:8" x14ac:dyDescent="0.45">
      <c r="B42" s="193">
        <f>IF($C42="","",ROWS($B$40:B42))</f>
        <v>3</v>
      </c>
      <c r="C42" s="194" t="str" cm="1">
        <f t="array" ref="C42">IFERROR(INDEX($C$64:$C$83,_xlfn.AGGREGATE(15,6,(ROW($C$64:$C$83)-63)/(($C$64:$C$83&lt;&gt;"")*(COUNTIF($D$25:$D$35,$C$64:$C$83)=0)),ROWS($C$40:C42))),"")</f>
        <v>Zara Power</v>
      </c>
      <c r="D42" s="195" t="str">
        <f t="shared" si="3"/>
        <v>RB</v>
      </c>
      <c r="E42" s="196">
        <f t="shared" si="4"/>
        <v>8.650925925925927</v>
      </c>
      <c r="F42" s="197">
        <f t="shared" si="5"/>
        <v>0</v>
      </c>
      <c r="G42" s="195" t="str">
        <f t="shared" si="6"/>
        <v>Unavailable — Injured - Ankle injury out for 10 weeks (back 2 Oct)</v>
      </c>
    </row>
    <row r="43" spans="2:8" x14ac:dyDescent="0.45">
      <c r="B43" s="198">
        <f>IF($C43="","",ROWS($B$40:B43))</f>
        <v>4</v>
      </c>
      <c r="C43" s="199" t="str" cm="1">
        <f t="array" ref="C43">IFERROR(INDEX($C$64:$C$83,_xlfn.AGGREGATE(15,6,(ROW($C$64:$C$83)-63)/(($C$64:$C$83&lt;&gt;"")*(COUNTIF($D$25:$D$35,$C$64:$C$83)=0)),ROWS($C$40:C43))),"")</f>
        <v>Heidi Cerubini Dunne</v>
      </c>
      <c r="D43" s="200" t="str">
        <f t="shared" si="3"/>
        <v>LB / RB</v>
      </c>
      <c r="E43" s="201">
        <f t="shared" si="4"/>
        <v>4.1879629629629633</v>
      </c>
      <c r="F43" s="202">
        <f t="shared" si="5"/>
        <v>0</v>
      </c>
      <c r="G43" s="200" t="str">
        <f t="shared" si="6"/>
        <v>Available</v>
      </c>
    </row>
    <row r="44" spans="2:8" x14ac:dyDescent="0.45">
      <c r="B44" s="193">
        <f>IF($C44="","",ROWS($B$40:B44))</f>
        <v>5</v>
      </c>
      <c r="C44" s="194" t="str" cm="1">
        <f t="array" ref="C44">IFERROR(INDEX($C$64:$C$83,_xlfn.AGGREGATE(15,6,(ROW($C$64:$C$83)-63)/(($C$64:$C$83&lt;&gt;"")*(COUNTIF($D$25:$D$35,$C$64:$C$83)=0)),ROWS($C$40:C44))),"")</f>
        <v>Naomi Adewoyin</v>
      </c>
      <c r="D44" s="195" t="str">
        <f t="shared" si="3"/>
        <v>ACM</v>
      </c>
      <c r="E44" s="196">
        <f t="shared" si="4"/>
        <v>9.5509259259259256</v>
      </c>
      <c r="F44" s="197">
        <f t="shared" si="5"/>
        <v>0</v>
      </c>
      <c r="G44" s="195" t="str">
        <f t="shared" si="6"/>
        <v>Available</v>
      </c>
    </row>
    <row r="45" spans="2:8" x14ac:dyDescent="0.45">
      <c r="B45" s="198">
        <f>IF($C45="","",ROWS($B$40:B45))</f>
        <v>6</v>
      </c>
      <c r="C45" s="199" t="str" cm="1">
        <f t="array" ref="C45">IFERROR(INDEX($C$64:$C$83,_xlfn.AGGREGATE(15,6,(ROW($C$64:$C$83)-63)/(($C$64:$C$83&lt;&gt;"")*(COUNTIF($D$25:$D$35,$C$64:$C$83)=0)),ROWS($C$40:C45))),"")</f>
        <v>Shauna Kavanagh</v>
      </c>
      <c r="D45" s="200" t="str">
        <f t="shared" si="3"/>
        <v>ST / RW</v>
      </c>
      <c r="E45" s="201">
        <f t="shared" si="4"/>
        <v>7.9342592592592593</v>
      </c>
      <c r="F45" s="202">
        <f t="shared" si="5"/>
        <v>0</v>
      </c>
      <c r="G45" s="200" t="str">
        <f t="shared" si="6"/>
        <v>Available</v>
      </c>
    </row>
    <row r="46" spans="2:8" x14ac:dyDescent="0.45">
      <c r="B46" s="193">
        <f>IF($C46="","",ROWS($B$40:B46))</f>
        <v>7</v>
      </c>
      <c r="C46" s="194" t="str" cm="1">
        <f t="array" ref="C46">IFERROR(INDEX($C$64:$C$83,_xlfn.AGGREGATE(15,6,(ROW($C$64:$C$83)-63)/(($C$64:$C$83&lt;&gt;"")*(COUNTIF($D$25:$D$35,$C$64:$C$83)=0)),ROWS($C$40:C46))),"")</f>
        <v>Tara Brannigan</v>
      </c>
      <c r="D46" s="195" t="str">
        <f t="shared" si="3"/>
        <v>DM / CM</v>
      </c>
      <c r="E46" s="196">
        <f t="shared" si="4"/>
        <v>10.669444444444446</v>
      </c>
      <c r="F46" s="197">
        <f t="shared" si="5"/>
        <v>0</v>
      </c>
      <c r="G46" s="195" t="str">
        <f t="shared" si="6"/>
        <v>Unavailable — Absent</v>
      </c>
    </row>
    <row r="47" spans="2:8" x14ac:dyDescent="0.45">
      <c r="B47" s="198" t="str">
        <f>IF($C47="","",ROWS($B$40:B47))</f>
        <v/>
      </c>
      <c r="C47" s="199" t="str" cm="1">
        <f t="array" ref="C47">IFERROR(INDEX($C$64:$C$83,_xlfn.AGGREGATE(15,6,(ROW($C$64:$C$83)-63)/(($C$64:$C$83&lt;&gt;"")*(COUNTIF($D$25:$D$35,$C$64:$C$83)=0)),ROWS($C$40:C47))),"")</f>
        <v/>
      </c>
      <c r="D47" s="200" t="str">
        <f t="shared" si="3"/>
        <v/>
      </c>
      <c r="E47" s="201" t="str">
        <f t="shared" si="4"/>
        <v/>
      </c>
      <c r="F47" s="202" t="str">
        <f t="shared" si="5"/>
        <v/>
      </c>
      <c r="G47" s="200" t="str">
        <f t="shared" si="6"/>
        <v/>
      </c>
    </row>
    <row r="48" spans="2:8" x14ac:dyDescent="0.45">
      <c r="B48" s="193" t="str">
        <f>IF($C48="","",ROWS($B$40:B48))</f>
        <v/>
      </c>
      <c r="C48" s="194" t="str" cm="1">
        <f t="array" ref="C48">IFERROR(INDEX($C$64:$C$83,_xlfn.AGGREGATE(15,6,(ROW($C$64:$C$83)-63)/(($C$64:$C$83&lt;&gt;"")*(COUNTIF($D$25:$D$35,$C$64:$C$83)=0)),ROWS($C$40:C48))),"")</f>
        <v/>
      </c>
      <c r="D48" s="195" t="str">
        <f t="shared" si="3"/>
        <v/>
      </c>
      <c r="E48" s="196" t="str">
        <f t="shared" si="4"/>
        <v/>
      </c>
      <c r="F48" s="197" t="str">
        <f t="shared" si="5"/>
        <v/>
      </c>
      <c r="G48" s="195" t="str">
        <f t="shared" si="6"/>
        <v/>
      </c>
    </row>
    <row r="49" spans="2:29" x14ac:dyDescent="0.45">
      <c r="B49" s="198" t="str">
        <f>IF($C49="","",ROWS($B$40:B49))</f>
        <v/>
      </c>
      <c r="C49" s="199" t="str" cm="1">
        <f t="array" ref="C49">IFERROR(INDEX($C$64:$C$83,_xlfn.AGGREGATE(15,6,(ROW($C$64:$C$83)-63)/(($C$64:$C$83&lt;&gt;"")*(COUNTIF($D$25:$D$35,$C$64:$C$83)=0)),ROWS($C$40:C49))),"")</f>
        <v/>
      </c>
      <c r="D49" s="200" t="str">
        <f t="shared" si="3"/>
        <v/>
      </c>
      <c r="E49" s="201" t="str">
        <f t="shared" si="4"/>
        <v/>
      </c>
      <c r="F49" s="202" t="str">
        <f t="shared" si="5"/>
        <v/>
      </c>
      <c r="G49" s="200" t="str">
        <f t="shared" si="6"/>
        <v/>
      </c>
    </row>
    <row r="50" spans="2:29" x14ac:dyDescent="0.45">
      <c r="B50" s="193" t="str">
        <f>IF($C50="","",ROWS($B$40:B50))</f>
        <v/>
      </c>
      <c r="C50" s="194" t="str" cm="1">
        <f t="array" ref="C50">IFERROR(INDEX($C$64:$C$83,_xlfn.AGGREGATE(15,6,(ROW($C$64:$C$83)-63)/(($C$64:$C$83&lt;&gt;"")*(COUNTIF($D$25:$D$35,$C$64:$C$83)=0)),ROWS($C$40:C50))),"")</f>
        <v/>
      </c>
      <c r="D50" s="195" t="str">
        <f t="shared" si="3"/>
        <v/>
      </c>
      <c r="E50" s="196" t="str">
        <f t="shared" si="4"/>
        <v/>
      </c>
      <c r="F50" s="197" t="str">
        <f t="shared" si="5"/>
        <v/>
      </c>
      <c r="G50" s="195" t="str">
        <f t="shared" si="6"/>
        <v/>
      </c>
    </row>
    <row r="51" spans="2:29" x14ac:dyDescent="0.45">
      <c r="B51" s="198" t="str">
        <f>IF($C51="","",ROWS($B$40:B51))</f>
        <v/>
      </c>
      <c r="C51" s="199" t="str" cm="1">
        <f t="array" ref="C51">IFERROR(INDEX($C$64:$C$83,_xlfn.AGGREGATE(15,6,(ROW($C$64:$C$83)-63)/(($C$64:$C$83&lt;&gt;"")*(COUNTIF($D$25:$D$35,$C$64:$C$83)=0)),ROWS($C$40:C51))),"")</f>
        <v/>
      </c>
      <c r="D51" s="200" t="str">
        <f t="shared" si="3"/>
        <v/>
      </c>
      <c r="E51" s="201" t="str">
        <f t="shared" si="4"/>
        <v/>
      </c>
      <c r="F51" s="202" t="str">
        <f t="shared" si="5"/>
        <v/>
      </c>
      <c r="G51" s="200" t="str">
        <f t="shared" si="6"/>
        <v/>
      </c>
    </row>
    <row r="52" spans="2:29" x14ac:dyDescent="0.45">
      <c r="B52" s="193" t="str">
        <f>IF($C52="","",ROWS($B$40:B52))</f>
        <v/>
      </c>
      <c r="C52" s="194" t="str" cm="1">
        <f t="array" ref="C52">IFERROR(INDEX($C$64:$C$83,_xlfn.AGGREGATE(15,6,(ROW($C$64:$C$83)-63)/(($C$64:$C$83&lt;&gt;"")*(COUNTIF($D$25:$D$35,$C$64:$C$83)=0)),ROWS($C$40:C52))),"")</f>
        <v/>
      </c>
      <c r="D52" s="195" t="str">
        <f t="shared" si="3"/>
        <v/>
      </c>
      <c r="E52" s="196" t="str">
        <f t="shared" si="4"/>
        <v/>
      </c>
      <c r="F52" s="197" t="str">
        <f t="shared" si="5"/>
        <v/>
      </c>
      <c r="G52" s="195" t="str">
        <f t="shared" si="6"/>
        <v/>
      </c>
    </row>
    <row r="53" spans="2:29" x14ac:dyDescent="0.45">
      <c r="B53" s="198" t="str">
        <f>IF($C53="","",ROWS($B$40:B53))</f>
        <v/>
      </c>
      <c r="C53" s="199" t="str" cm="1">
        <f t="array" ref="C53">IFERROR(INDEX($C$64:$C$83,_xlfn.AGGREGATE(15,6,(ROW($C$64:$C$83)-63)/(($C$64:$C$83&lt;&gt;"")*(COUNTIF($D$25:$D$35,$C$64:$C$83)=0)),ROWS($C$40:C53))),"")</f>
        <v/>
      </c>
      <c r="D53" s="200" t="str">
        <f t="shared" si="3"/>
        <v/>
      </c>
      <c r="E53" s="201" t="str">
        <f t="shared" si="4"/>
        <v/>
      </c>
      <c r="F53" s="202" t="str">
        <f t="shared" si="5"/>
        <v/>
      </c>
      <c r="G53" s="200" t="str">
        <f t="shared" si="6"/>
        <v/>
      </c>
    </row>
    <row r="54" spans="2:29" x14ac:dyDescent="0.45">
      <c r="B54" s="193" t="str">
        <f>IF($C54="","",ROWS($B$40:B54))</f>
        <v/>
      </c>
      <c r="C54" s="194" t="str" cm="1">
        <f t="array" ref="C54">IFERROR(INDEX($C$64:$C$83,_xlfn.AGGREGATE(15,6,(ROW($C$64:$C$83)-63)/(($C$64:$C$83&lt;&gt;"")*(COUNTIF($D$25:$D$35,$C$64:$C$83)=0)),ROWS($C$40:C54))),"")</f>
        <v/>
      </c>
      <c r="D54" s="195" t="str">
        <f t="shared" si="3"/>
        <v/>
      </c>
      <c r="E54" s="196" t="str">
        <f t="shared" si="4"/>
        <v/>
      </c>
      <c r="F54" s="197" t="str">
        <f t="shared" si="5"/>
        <v/>
      </c>
      <c r="G54" s="195" t="str">
        <f t="shared" si="6"/>
        <v/>
      </c>
    </row>
    <row r="55" spans="2:29" x14ac:dyDescent="0.45">
      <c r="B55" s="198" t="str">
        <f>IF($C55="","",ROWS($B$40:B55))</f>
        <v/>
      </c>
      <c r="C55" s="199" t="str" cm="1">
        <f t="array" ref="C55">IFERROR(INDEX($C$64:$C$83,_xlfn.AGGREGATE(15,6,(ROW($C$64:$C$83)-63)/(($C$64:$C$83&lt;&gt;"")*(COUNTIF($D$25:$D$35,$C$64:$C$83)=0)),ROWS($C$40:C55))),"")</f>
        <v/>
      </c>
      <c r="D55" s="200" t="str">
        <f t="shared" si="3"/>
        <v/>
      </c>
      <c r="E55" s="201" t="str">
        <f t="shared" si="4"/>
        <v/>
      </c>
      <c r="F55" s="202" t="str">
        <f t="shared" si="5"/>
        <v/>
      </c>
      <c r="G55" s="200" t="str">
        <f t="shared" si="6"/>
        <v/>
      </c>
    </row>
    <row r="56" spans="2:29" x14ac:dyDescent="0.45">
      <c r="B56" s="193" t="str">
        <f>IF($C56="","",ROWS($B$40:B56))</f>
        <v/>
      </c>
      <c r="C56" s="194" t="str" cm="1">
        <f t="array" ref="C56">IFERROR(INDEX($C$64:$C$83,_xlfn.AGGREGATE(15,6,(ROW($C$64:$C$83)-63)/(($C$64:$C$83&lt;&gt;"")*(COUNTIF($D$25:$D$35,$C$64:$C$83)=0)),ROWS($C$40:C56))),"")</f>
        <v/>
      </c>
      <c r="D56" s="195" t="str">
        <f t="shared" si="3"/>
        <v/>
      </c>
      <c r="E56" s="196" t="str">
        <f t="shared" si="4"/>
        <v/>
      </c>
      <c r="F56" s="197" t="str">
        <f t="shared" si="5"/>
        <v/>
      </c>
      <c r="G56" s="195" t="str">
        <f t="shared" si="6"/>
        <v/>
      </c>
    </row>
    <row r="57" spans="2:29" x14ac:dyDescent="0.45">
      <c r="B57" s="198" t="str">
        <f>IF($C57="","",ROWS($B$40:B57))</f>
        <v/>
      </c>
      <c r="C57" s="199" t="str" cm="1">
        <f t="array" ref="C57">IFERROR(INDEX($C$64:$C$83,_xlfn.AGGREGATE(15,6,(ROW($C$64:$C$83)-63)/(($C$64:$C$83&lt;&gt;"")*(COUNTIF($D$25:$D$35,$C$64:$C$83)=0)),ROWS($C$40:C57))),"")</f>
        <v/>
      </c>
      <c r="D57" s="200" t="str">
        <f t="shared" si="3"/>
        <v/>
      </c>
      <c r="E57" s="201" t="str">
        <f t="shared" si="4"/>
        <v/>
      </c>
      <c r="F57" s="202" t="str">
        <f t="shared" si="5"/>
        <v/>
      </c>
      <c r="G57" s="200" t="str">
        <f t="shared" si="6"/>
        <v/>
      </c>
    </row>
    <row r="58" spans="2:29" x14ac:dyDescent="0.45">
      <c r="B58" s="193" t="str">
        <f>IF($C58="","",ROWS($B$40:B58))</f>
        <v/>
      </c>
      <c r="C58" s="194" t="str" cm="1">
        <f t="array" ref="C58">IFERROR(INDEX($C$64:$C$83,_xlfn.AGGREGATE(15,6,(ROW($C$64:$C$83)-63)/(($C$64:$C$83&lt;&gt;"")*(COUNTIF($D$25:$D$35,$C$64:$C$83)=0)),ROWS($C$40:C58))),"")</f>
        <v/>
      </c>
      <c r="D58" s="195" t="str">
        <f t="shared" si="3"/>
        <v/>
      </c>
      <c r="E58" s="196" t="str">
        <f t="shared" si="4"/>
        <v/>
      </c>
      <c r="F58" s="197" t="str">
        <f t="shared" si="5"/>
        <v/>
      </c>
      <c r="G58" s="195" t="str">
        <f t="shared" si="6"/>
        <v/>
      </c>
    </row>
    <row r="59" spans="2:29" x14ac:dyDescent="0.45">
      <c r="B59" s="198" t="str">
        <f>IF($C59="","",ROWS($B$40:B59))</f>
        <v/>
      </c>
      <c r="C59" s="199" t="str" cm="1">
        <f t="array" ref="C59">IFERROR(INDEX($C$64:$C$83,_xlfn.AGGREGATE(15,6,(ROW($C$64:$C$83)-63)/(($C$64:$C$83&lt;&gt;"")*(COUNTIF($D$25:$D$35,$C$64:$C$83)=0)),ROWS($C$40:C59))),"")</f>
        <v/>
      </c>
      <c r="D59" s="200" t="str">
        <f t="shared" si="3"/>
        <v/>
      </c>
      <c r="E59" s="201" t="str">
        <f t="shared" si="4"/>
        <v/>
      </c>
      <c r="F59" s="202" t="str">
        <f t="shared" si="5"/>
        <v/>
      </c>
      <c r="G59" s="200" t="str">
        <f t="shared" si="6"/>
        <v/>
      </c>
    </row>
    <row r="62" spans="2:29" x14ac:dyDescent="0.45">
      <c r="B62" s="246" t="s">
        <v>175</v>
      </c>
      <c r="C62" s="246"/>
      <c r="D62" s="246"/>
      <c r="E62" s="246"/>
      <c r="F62" s="246"/>
      <c r="G62" s="266"/>
      <c r="H62" s="266"/>
      <c r="I62" s="266"/>
      <c r="J62" s="266"/>
      <c r="K62" s="266"/>
      <c r="L62" s="266"/>
      <c r="M62" s="266"/>
      <c r="N62" s="266"/>
      <c r="O62" s="266"/>
      <c r="P62" s="266"/>
      <c r="Q62" s="117"/>
      <c r="R62" s="266" t="s">
        <v>179</v>
      </c>
      <c r="S62" s="266"/>
      <c r="T62" s="266"/>
      <c r="U62" s="266"/>
      <c r="V62" s="266"/>
      <c r="W62" s="266"/>
      <c r="X62" s="266"/>
      <c r="Y62" s="266"/>
      <c r="Z62" s="266"/>
      <c r="AA62" s="266"/>
    </row>
    <row r="63" spans="2:29" ht="32" customHeight="1" x14ac:dyDescent="0.45">
      <c r="B63" s="98" t="s">
        <v>3</v>
      </c>
      <c r="C63" s="78" t="s">
        <v>4</v>
      </c>
      <c r="D63" s="78" t="s">
        <v>131</v>
      </c>
      <c r="E63" s="78" t="s">
        <v>176</v>
      </c>
      <c r="F63" s="78" t="s">
        <v>62</v>
      </c>
      <c r="G63" s="78" t="s">
        <v>141</v>
      </c>
      <c r="H63" s="78" t="s">
        <v>143</v>
      </c>
      <c r="I63" s="78" t="s">
        <v>147</v>
      </c>
      <c r="J63" s="78" t="s">
        <v>145</v>
      </c>
      <c r="K63" s="78" t="s">
        <v>149</v>
      </c>
      <c r="L63" s="78" t="s">
        <v>151</v>
      </c>
      <c r="M63" s="78" t="s">
        <v>153</v>
      </c>
      <c r="N63" s="78" t="s">
        <v>155</v>
      </c>
      <c r="O63" s="78" t="s">
        <v>157</v>
      </c>
      <c r="P63" s="78" t="s">
        <v>159</v>
      </c>
      <c r="Q63" s="78"/>
      <c r="R63" s="78" t="s">
        <v>141</v>
      </c>
      <c r="S63" s="78" t="s">
        <v>143</v>
      </c>
      <c r="T63" s="78" t="s">
        <v>147</v>
      </c>
      <c r="U63" s="78" t="s">
        <v>145</v>
      </c>
      <c r="V63" s="78" t="s">
        <v>149</v>
      </c>
      <c r="W63" s="78" t="s">
        <v>151</v>
      </c>
      <c r="X63" s="78" t="s">
        <v>153</v>
      </c>
      <c r="Y63" s="78" t="s">
        <v>155</v>
      </c>
      <c r="Z63" s="78" t="s">
        <v>157</v>
      </c>
      <c r="AA63" s="78" t="s">
        <v>159</v>
      </c>
      <c r="AB63" s="78" t="s">
        <v>177</v>
      </c>
      <c r="AC63" s="81" t="s">
        <v>178</v>
      </c>
    </row>
    <row r="64" spans="2:29" x14ac:dyDescent="0.45">
      <c r="B64" s="54">
        <f>IF($C64="","",Attendance!$C5)</f>
        <v>1</v>
      </c>
      <c r="C64" s="118" t="str">
        <f>IF(Attendance!$D5="","",Attendance!$D5)</f>
        <v>Aoife Kennan</v>
      </c>
      <c r="D64" s="119" t="str">
        <f>IF($C64="","",'Player Grading'!$D6)</f>
        <v>GK</v>
      </c>
      <c r="E64" s="119" t="str">
        <f>IF($C64="","",IF($E118="",IF(Attendance!$GP5="","Yes",Attendance!$GP5),IF($E118="Available","Yes","No")))</f>
        <v>Yes</v>
      </c>
      <c r="F64" s="120" t="str">
        <f>IF($C64="","",IF($E118="",Attendance!$GQ5&amp;"",IF($E118="Available","",$E118&amp;IF($F118="",""," - "&amp;$F118)&amp;IF($I118="",""," (back "&amp;TEXT($I118,"d mmm")&amp;")"))))</f>
        <v/>
      </c>
      <c r="G64" s="31" cm="1">
        <f t="array" ref="G64">IF($C64="","",IF(NOT(ISNUMBER(SEARCH(" GK "," "&amp;SUBSTITUTE($D64,"/"," ")&amp;" "))),"",IFERROR(SUMPRODUCT('Player Grading'!$E6:$AF6,$C$104:$AD$104)/SUMPRODUCT(($C$104:$AD$104)*('Player Grading'!$E6:$AF6&lt;&gt;"")),"")))</f>
        <v>5.8409090909090908</v>
      </c>
      <c r="H64" s="31" t="str" cm="1">
        <f t="array" ref="H64">IF($C64="","",IF(NOT(ISNUMBER(SEARCH(" RB "," "&amp;SUBSTITUTE($D64,"/"," ")&amp;" "))),"",IFERROR(SUMPRODUCT('Player Grading'!$E6:$AF6,$C$105:$AD$105)/SUMPRODUCT(($C$105:$AD$105)*('Player Grading'!$E6:$AF6&lt;&gt;"")),"")))</f>
        <v/>
      </c>
      <c r="I64" s="31" t="str" cm="1">
        <f t="array" ref="I64">IF($C64="","",IF(NOT(ISNUMBER(SEARCH(" CB "," "&amp;SUBSTITUTE($D64,"/"," ")&amp;" "))),"",IFERROR(SUMPRODUCT('Player Grading'!$E6:$AF6,$C$106:$AD$106)/SUMPRODUCT(($C$106:$AD$106)*('Player Grading'!$E6:$AF6&lt;&gt;"")),"")))</f>
        <v/>
      </c>
      <c r="J64" s="31" t="str" cm="1">
        <f t="array" ref="J64">IF($C64="","",IF(NOT(ISNUMBER(SEARCH(" LB "," "&amp;SUBSTITUTE($D64,"/"," ")&amp;" "))),"",IFERROR(SUMPRODUCT('Player Grading'!$E6:$AF6,$C$107:$AD$107)/SUMPRODUCT(($C$107:$AD$107)*('Player Grading'!$E6:$AF6&lt;&gt;"")),"")))</f>
        <v/>
      </c>
      <c r="K64" s="31" t="str" cm="1">
        <f t="array" ref="K64">IF($C64="","",IF(NOT(ISNUMBER(SEARCH(" DM "," "&amp;SUBSTITUTE($D64,"/"," ")&amp;" "))),"",IFERROR(SUMPRODUCT('Player Grading'!$E6:$AF6,$C$108:$AD$108)/SUMPRODUCT(($C$108:$AD$108)*('Player Grading'!$E6:$AF6&lt;&gt;"")),"")))</f>
        <v/>
      </c>
      <c r="L64" s="31" t="str" cm="1">
        <f t="array" ref="L64">IF($C64="","",IF(NOT(ISNUMBER(SEARCH(" CM "," "&amp;SUBSTITUTE($D64,"/"," ")&amp;" "))),"",IFERROR(SUMPRODUCT('Player Grading'!$E6:$AF6,$C$109:$AD$109)/SUMPRODUCT(($C$109:$AD$109)*('Player Grading'!$E6:$AF6&lt;&gt;"")),"")))</f>
        <v/>
      </c>
      <c r="M64" s="31" t="str" cm="1">
        <f t="array" ref="M64">IF($C64="","",IF(NOT(ISNUMBER(SEARCH(" ACM "," "&amp;SUBSTITUTE($D64,"/"," ")&amp;" "))),"",IFERROR(SUMPRODUCT('Player Grading'!$E6:$AF6,$C$110:$AD$110)/SUMPRODUCT(($C$110:$AD$110)*('Player Grading'!$E6:$AF6&lt;&gt;"")),"")))</f>
        <v/>
      </c>
      <c r="N64" s="31" t="str" cm="1">
        <f t="array" ref="N64">IF($C64="","",IF(NOT(ISNUMBER(SEARCH(" RW "," "&amp;SUBSTITUTE($D64,"/"," ")&amp;" "))),"",IFERROR(SUMPRODUCT('Player Grading'!$E6:$AF6,$C$111:$AD$111)/SUMPRODUCT(($C$111:$AD$111)*('Player Grading'!$E6:$AF6&lt;&gt;"")),"")))</f>
        <v/>
      </c>
      <c r="O64" s="31" t="str" cm="1">
        <f t="array" ref="O64">IF($C64="","",IF(NOT(ISNUMBER(SEARCH(" LW "," "&amp;SUBSTITUTE($D64,"/"," ")&amp;" "))),"",IFERROR(SUMPRODUCT('Player Grading'!$E6:$AF6,$C$112:$AD$112)/SUMPRODUCT(($C$112:$AD$112)*('Player Grading'!$E6:$AF6&lt;&gt;"")),"")))</f>
        <v/>
      </c>
      <c r="P64" s="31" t="str" cm="1">
        <f t="array" ref="P64">IF($C64="","",IF(NOT(ISNUMBER(SEARCH(" ST "," "&amp;SUBSTITUTE($D64,"/"," ")&amp;" "))),"",IFERROR(SUMPRODUCT('Player Grading'!$E6:$AF6,$C$113:$AD$113)/SUMPRODUCT(($C$113:$AD$113)*('Player Grading'!$E6:$AF6&lt;&gt;"")),"")))</f>
        <v/>
      </c>
      <c r="Q64" s="119"/>
      <c r="R64" s="31">
        <f>IF(G64="","",IF(AND($J$6="On",OR(Attendance!$GB5&gt;0,Attendance!$GF5&gt;0)),MEDIAN(1,G64+(N($AB64)-0.5)*$K$6,20),G64))</f>
        <v>5.8409090909090908</v>
      </c>
      <c r="S64" s="31" t="str">
        <f>IF(H64="","",IF(AND($J$6="On",OR(Attendance!$GB5&gt;0,Attendance!$GF5&gt;0)),MEDIAN(1,H64+(N($AB64)-0.5)*$K$6,20),H64))</f>
        <v/>
      </c>
      <c r="T64" s="31" t="str">
        <f>IF(I64="","",IF(AND($J$6="On",OR(Attendance!$GB5&gt;0,Attendance!$GF5&gt;0)),MEDIAN(1,I64+(N($AB64)-0.5)*$K$6,20),I64))</f>
        <v/>
      </c>
      <c r="U64" s="31" t="str">
        <f>IF(J64="","",IF(AND($J$6="On",OR(Attendance!$GB5&gt;0,Attendance!$GF5&gt;0)),MEDIAN(1,J64+(N($AB64)-0.5)*$K$6,20),J64))</f>
        <v/>
      </c>
      <c r="V64" s="31" t="str">
        <f>IF(K64="","",IF(AND($J$6="On",OR(Attendance!$GB5&gt;0,Attendance!$GF5&gt;0)),MEDIAN(1,K64+(N($AB64)-0.5)*$K$6,20),K64))</f>
        <v/>
      </c>
      <c r="W64" s="31" t="str">
        <f>IF(L64="","",IF(AND($J$6="On",OR(Attendance!$GB5&gt;0,Attendance!$GF5&gt;0)),MEDIAN(1,L64+(N($AB64)-0.5)*$K$6,20),L64))</f>
        <v/>
      </c>
      <c r="X64" s="31" t="str">
        <f>IF(M64="","",IF(AND($J$6="On",OR(Attendance!$GB5&gt;0,Attendance!$GF5&gt;0)),MEDIAN(1,M64+(N($AB64)-0.5)*$K$6,20),M64))</f>
        <v/>
      </c>
      <c r="Y64" s="31" t="str">
        <f>IF(N64="","",IF(AND($J$6="On",OR(Attendance!$GB5&gt;0,Attendance!$GF5&gt;0)),MEDIAN(1,N64+(N($AB64)-0.5)*$K$6,20),N64))</f>
        <v/>
      </c>
      <c r="Z64" s="31" t="str">
        <f>IF(O64="","",IF(AND($J$6="On",OR(Attendance!$GB5&gt;0,Attendance!$GF5&gt;0)),MEDIAN(1,O64+(N($AB64)-0.5)*$K$6,20),O64))</f>
        <v/>
      </c>
      <c r="AA64" s="31" t="str">
        <f>IF(P64="","",IF(AND($J$6="On",OR(Attendance!$GB5&gt;0,Attendance!$GF5&gt;0)),MEDIAN(1,P64+(N($AB64)-0.5)*$K$6,20),P64))</f>
        <v/>
      </c>
      <c r="AB64" s="30">
        <f>IF($C64="","",IFERROR(Attendance!$GN5,""))</f>
        <v>0</v>
      </c>
      <c r="AC64" s="121">
        <f>IF($C64="","",IFERROR('Player Grading'!$AL6,""))</f>
        <v>4.9097222222222223</v>
      </c>
    </row>
    <row r="65" spans="2:29" x14ac:dyDescent="0.45">
      <c r="B65" s="60">
        <f>IF($C65="","",Attendance!$C6)</f>
        <v>2</v>
      </c>
      <c r="C65" s="122" t="str">
        <f>IF(Attendance!$D6="","",Attendance!$D6)</f>
        <v>Stella McEvoy</v>
      </c>
      <c r="D65" s="123" t="str">
        <f>IF($C65="","",'Player Grading'!$D7)</f>
        <v>LB / RB</v>
      </c>
      <c r="E65" s="123" t="str">
        <f>IF($C65="","",IF($E119="",IF(Attendance!$GP6="","Yes",Attendance!$GP6),IF($E119="Available","Yes","No")))</f>
        <v>Yes</v>
      </c>
      <c r="F65" s="124" t="str">
        <f>IF($C65="","",IF($E119="",Attendance!$GQ6&amp;"",IF($E119="Available","",$E119&amp;IF($F119="",""," - "&amp;$F119)&amp;IF($I119="",""," (back "&amp;TEXT($I119,"d mmm")&amp;")"))))</f>
        <v/>
      </c>
      <c r="G65" s="39" t="str" cm="1">
        <f t="array" ref="G65">IF($C65="","",IF(NOT(ISNUMBER(SEARCH(" GK "," "&amp;SUBSTITUTE($D65,"/"," ")&amp;" "))),"",IFERROR(SUMPRODUCT('Player Grading'!$E7:$AF7,$C$104:$AD$104)/SUMPRODUCT(($C$104:$AD$104)*('Player Grading'!$E7:$AF7&lt;&gt;"")),"")))</f>
        <v/>
      </c>
      <c r="H65" s="39" cm="1">
        <f t="array" ref="H65">IF($C65="","",IF(NOT(ISNUMBER(SEARCH(" RB "," "&amp;SUBSTITUTE($D65,"/"," ")&amp;" "))),"",IFERROR(SUMPRODUCT('Player Grading'!$E7:$AF7,$C$105:$AD$105)/SUMPRODUCT(($C$105:$AD$105)*('Player Grading'!$E7:$AF7&lt;&gt;"")),"")))</f>
        <v>9.3777777777777782</v>
      </c>
      <c r="I65" s="39" t="str" cm="1">
        <f t="array" ref="I65">IF($C65="","",IF(NOT(ISNUMBER(SEARCH(" CB "," "&amp;SUBSTITUTE($D65,"/"," ")&amp;" "))),"",IFERROR(SUMPRODUCT('Player Grading'!$E7:$AF7,$C$106:$AD$106)/SUMPRODUCT(($C$106:$AD$106)*('Player Grading'!$E7:$AF7&lt;&gt;"")),"")))</f>
        <v/>
      </c>
      <c r="J65" s="39" cm="1">
        <f t="array" ref="J65">IF($C65="","",IF(NOT(ISNUMBER(SEARCH(" LB "," "&amp;SUBSTITUTE($D65,"/"," ")&amp;" "))),"",IFERROR(SUMPRODUCT('Player Grading'!$E7:$AF7,$C$107:$AD$107)/SUMPRODUCT(($C$107:$AD$107)*('Player Grading'!$E7:$AF7&lt;&gt;"")),"")))</f>
        <v>9.3777777777777782</v>
      </c>
      <c r="K65" s="39" t="str" cm="1">
        <f t="array" ref="K65">IF($C65="","",IF(NOT(ISNUMBER(SEARCH(" DM "," "&amp;SUBSTITUTE($D65,"/"," ")&amp;" "))),"",IFERROR(SUMPRODUCT('Player Grading'!$E7:$AF7,$C$108:$AD$108)/SUMPRODUCT(($C$108:$AD$108)*('Player Grading'!$E7:$AF7&lt;&gt;"")),"")))</f>
        <v/>
      </c>
      <c r="L65" s="39" t="str" cm="1">
        <f t="array" ref="L65">IF($C65="","",IF(NOT(ISNUMBER(SEARCH(" CM "," "&amp;SUBSTITUTE($D65,"/"," ")&amp;" "))),"",IFERROR(SUMPRODUCT('Player Grading'!$E7:$AF7,$C$109:$AD$109)/SUMPRODUCT(($C$109:$AD$109)*('Player Grading'!$E7:$AF7&lt;&gt;"")),"")))</f>
        <v/>
      </c>
      <c r="M65" s="39" t="str" cm="1">
        <f t="array" ref="M65">IF($C65="","",IF(NOT(ISNUMBER(SEARCH(" ACM "," "&amp;SUBSTITUTE($D65,"/"," ")&amp;" "))),"",IFERROR(SUMPRODUCT('Player Grading'!$E7:$AF7,$C$110:$AD$110)/SUMPRODUCT(($C$110:$AD$110)*('Player Grading'!$E7:$AF7&lt;&gt;"")),"")))</f>
        <v/>
      </c>
      <c r="N65" s="39" t="str" cm="1">
        <f t="array" ref="N65">IF($C65="","",IF(NOT(ISNUMBER(SEARCH(" RW "," "&amp;SUBSTITUTE($D65,"/"," ")&amp;" "))),"",IFERROR(SUMPRODUCT('Player Grading'!$E7:$AF7,$C$111:$AD$111)/SUMPRODUCT(($C$111:$AD$111)*('Player Grading'!$E7:$AF7&lt;&gt;"")),"")))</f>
        <v/>
      </c>
      <c r="O65" s="39" t="str" cm="1">
        <f t="array" ref="O65">IF($C65="","",IF(NOT(ISNUMBER(SEARCH(" LW "," "&amp;SUBSTITUTE($D65,"/"," ")&amp;" "))),"",IFERROR(SUMPRODUCT('Player Grading'!$E7:$AF7,$C$112:$AD$112)/SUMPRODUCT(($C$112:$AD$112)*('Player Grading'!$E7:$AF7&lt;&gt;"")),"")))</f>
        <v/>
      </c>
      <c r="P65" s="39" t="str" cm="1">
        <f t="array" ref="P65">IF($C65="","",IF(NOT(ISNUMBER(SEARCH(" ST "," "&amp;SUBSTITUTE($D65,"/"," ")&amp;" "))),"",IFERROR(SUMPRODUCT('Player Grading'!$E7:$AF7,$C$113:$AD$113)/SUMPRODUCT(($C$113:$AD$113)*('Player Grading'!$E7:$AF7&lt;&gt;"")),"")))</f>
        <v/>
      </c>
      <c r="Q65" s="123"/>
      <c r="R65" s="39" t="str">
        <f>IF(G65="","",IF(AND($J$6="On",OR(Attendance!$GB6&gt;0,Attendance!$GF6&gt;0)),MEDIAN(1,G65+(N($AB65)-0.5)*$K$6,20),G65))</f>
        <v/>
      </c>
      <c r="S65" s="39">
        <f>IF(H65="","",IF(AND($J$6="On",OR(Attendance!$GB6&gt;0,Attendance!$GF6&gt;0)),MEDIAN(1,H65+(N($AB65)-0.5)*$K$6,20),H65))</f>
        <v>9.3777777777777782</v>
      </c>
      <c r="T65" s="39" t="str">
        <f>IF(I65="","",IF(AND($J$6="On",OR(Attendance!$GB6&gt;0,Attendance!$GF6&gt;0)),MEDIAN(1,I65+(N($AB65)-0.5)*$K$6,20),I65))</f>
        <v/>
      </c>
      <c r="U65" s="39">
        <f>IF(J65="","",IF(AND($J$6="On",OR(Attendance!$GB6&gt;0,Attendance!$GF6&gt;0)),MEDIAN(1,J65+(N($AB65)-0.5)*$K$6,20),J65))</f>
        <v>9.3777777777777782</v>
      </c>
      <c r="V65" s="39" t="str">
        <f>IF(K65="","",IF(AND($J$6="On",OR(Attendance!$GB6&gt;0,Attendance!$GF6&gt;0)),MEDIAN(1,K65+(N($AB65)-0.5)*$K$6,20),K65))</f>
        <v/>
      </c>
      <c r="W65" s="39" t="str">
        <f>IF(L65="","",IF(AND($J$6="On",OR(Attendance!$GB6&gt;0,Attendance!$GF6&gt;0)),MEDIAN(1,L65+(N($AB65)-0.5)*$K$6,20),L65))</f>
        <v/>
      </c>
      <c r="X65" s="39" t="str">
        <f>IF(M65="","",IF(AND($J$6="On",OR(Attendance!$GB6&gt;0,Attendance!$GF6&gt;0)),MEDIAN(1,M65+(N($AB65)-0.5)*$K$6,20),M65))</f>
        <v/>
      </c>
      <c r="Y65" s="39" t="str">
        <f>IF(N65="","",IF(AND($J$6="On",OR(Attendance!$GB6&gt;0,Attendance!$GF6&gt;0)),MEDIAN(1,N65+(N($AB65)-0.5)*$K$6,20),N65))</f>
        <v/>
      </c>
      <c r="Z65" s="39" t="str">
        <f>IF(O65="","",IF(AND($J$6="On",OR(Attendance!$GB6&gt;0,Attendance!$GF6&gt;0)),MEDIAN(1,O65+(N($AB65)-0.5)*$K$6,20),O65))</f>
        <v/>
      </c>
      <c r="AA65" s="39" t="str">
        <f>IF(P65="","",IF(AND($J$6="On",OR(Attendance!$GB6&gt;0,Attendance!$GF6&gt;0)),MEDIAN(1,P65+(N($AB65)-0.5)*$K$6,20),P65))</f>
        <v/>
      </c>
      <c r="AB65" s="38">
        <f>IF($C65="","",IFERROR(Attendance!$GN6,""))</f>
        <v>0</v>
      </c>
      <c r="AC65" s="125">
        <f>IF($C65="","",IFERROR('Player Grading'!$AL7,""))</f>
        <v>8.6138888888888889</v>
      </c>
    </row>
    <row r="66" spans="2:29" x14ac:dyDescent="0.45">
      <c r="B66" s="54">
        <f>IF($C66="","",Attendance!$C7)</f>
        <v>3</v>
      </c>
      <c r="C66" s="118" t="str">
        <f>IF(Attendance!$D7="","",Attendance!$D7)</f>
        <v>Zara Power</v>
      </c>
      <c r="D66" s="119" t="str">
        <f>IF($C66="","",'Player Grading'!$D8)</f>
        <v>RB</v>
      </c>
      <c r="E66" s="119" t="str">
        <f>IF($C66="","",IF($E120="",IF(Attendance!$GP7="","Yes",Attendance!$GP7),IF($E120="Available","Yes","No")))</f>
        <v>No</v>
      </c>
      <c r="F66" s="120" t="str">
        <f>IF($C66="","",IF($E120="",Attendance!$GQ7&amp;"",IF($E120="Available","",$E120&amp;IF($F120="",""," - "&amp;$F120)&amp;IF($I120="",""," (back "&amp;TEXT($I120,"d mmm")&amp;")"))))</f>
        <v>Injured - Ankle injury out for 10 weeks (back 2 Oct)</v>
      </c>
      <c r="G66" s="31" t="str" cm="1">
        <f t="array" ref="G66">IF($C66="","",IF(NOT(ISNUMBER(SEARCH(" GK "," "&amp;SUBSTITUTE($D66,"/"," ")&amp;" "))),"",IFERROR(SUMPRODUCT('Player Grading'!$E8:$AF8,$C$104:$AD$104)/SUMPRODUCT(($C$104:$AD$104)*('Player Grading'!$E8:$AF8&lt;&gt;"")),"")))</f>
        <v/>
      </c>
      <c r="H66" s="31" cm="1">
        <f t="array" ref="H66">IF($C66="","",IF(NOT(ISNUMBER(SEARCH(" RB "," "&amp;SUBSTITUTE($D66,"/"," ")&amp;" "))),"",IFERROR(SUMPRODUCT('Player Grading'!$E8:$AF8,$C$105:$AD$105)/SUMPRODUCT(($C$105:$AD$105)*('Player Grading'!$E8:$AF8&lt;&gt;"")),"")))</f>
        <v>9.7111111111111104</v>
      </c>
      <c r="I66" s="31" t="str" cm="1">
        <f t="array" ref="I66">IF($C66="","",IF(NOT(ISNUMBER(SEARCH(" CB "," "&amp;SUBSTITUTE($D66,"/"," ")&amp;" "))),"",IFERROR(SUMPRODUCT('Player Grading'!$E8:$AF8,$C$106:$AD$106)/SUMPRODUCT(($C$106:$AD$106)*('Player Grading'!$E8:$AF8&lt;&gt;"")),"")))</f>
        <v/>
      </c>
      <c r="J66" s="31" t="str" cm="1">
        <f t="array" ref="J66">IF($C66="","",IF(NOT(ISNUMBER(SEARCH(" LB "," "&amp;SUBSTITUTE($D66,"/"," ")&amp;" "))),"",IFERROR(SUMPRODUCT('Player Grading'!$E8:$AF8,$C$107:$AD$107)/SUMPRODUCT(($C$107:$AD$107)*('Player Grading'!$E8:$AF8&lt;&gt;"")),"")))</f>
        <v/>
      </c>
      <c r="K66" s="31" t="str" cm="1">
        <f t="array" ref="K66">IF($C66="","",IF(NOT(ISNUMBER(SEARCH(" DM "," "&amp;SUBSTITUTE($D66,"/"," ")&amp;" "))),"",IFERROR(SUMPRODUCT('Player Grading'!$E8:$AF8,$C$108:$AD$108)/SUMPRODUCT(($C$108:$AD$108)*('Player Grading'!$E8:$AF8&lt;&gt;"")),"")))</f>
        <v/>
      </c>
      <c r="L66" s="31" t="str" cm="1">
        <f t="array" ref="L66">IF($C66="","",IF(NOT(ISNUMBER(SEARCH(" CM "," "&amp;SUBSTITUTE($D66,"/"," ")&amp;" "))),"",IFERROR(SUMPRODUCT('Player Grading'!$E8:$AF8,$C$109:$AD$109)/SUMPRODUCT(($C$109:$AD$109)*('Player Grading'!$E8:$AF8&lt;&gt;"")),"")))</f>
        <v/>
      </c>
      <c r="M66" s="31" t="str" cm="1">
        <f t="array" ref="M66">IF($C66="","",IF(NOT(ISNUMBER(SEARCH(" ACM "," "&amp;SUBSTITUTE($D66,"/"," ")&amp;" "))),"",IFERROR(SUMPRODUCT('Player Grading'!$E8:$AF8,$C$110:$AD$110)/SUMPRODUCT(($C$110:$AD$110)*('Player Grading'!$E8:$AF8&lt;&gt;"")),"")))</f>
        <v/>
      </c>
      <c r="N66" s="31" t="str" cm="1">
        <f t="array" ref="N66">IF($C66="","",IF(NOT(ISNUMBER(SEARCH(" RW "," "&amp;SUBSTITUTE($D66,"/"," ")&amp;" "))),"",IFERROR(SUMPRODUCT('Player Grading'!$E8:$AF8,$C$111:$AD$111)/SUMPRODUCT(($C$111:$AD$111)*('Player Grading'!$E8:$AF8&lt;&gt;"")),"")))</f>
        <v/>
      </c>
      <c r="O66" s="31" t="str" cm="1">
        <f t="array" ref="O66">IF($C66="","",IF(NOT(ISNUMBER(SEARCH(" LW "," "&amp;SUBSTITUTE($D66,"/"," ")&amp;" "))),"",IFERROR(SUMPRODUCT('Player Grading'!$E8:$AF8,$C$112:$AD$112)/SUMPRODUCT(($C$112:$AD$112)*('Player Grading'!$E8:$AF8&lt;&gt;"")),"")))</f>
        <v/>
      </c>
      <c r="P66" s="31" t="str" cm="1">
        <f t="array" ref="P66">IF($C66="","",IF(NOT(ISNUMBER(SEARCH(" ST "," "&amp;SUBSTITUTE($D66,"/"," ")&amp;" "))),"",IFERROR(SUMPRODUCT('Player Grading'!$E8:$AF8,$C$113:$AD$113)/SUMPRODUCT(($C$113:$AD$113)*('Player Grading'!$E8:$AF8&lt;&gt;"")),"")))</f>
        <v/>
      </c>
      <c r="Q66" s="119"/>
      <c r="R66" s="31" t="str">
        <f>IF(G66="","",IF(AND($J$6="On",OR(Attendance!$GB7&gt;0,Attendance!$GF7&gt;0)),MEDIAN(1,G66+(N($AB66)-0.5)*$K$6,20),G66))</f>
        <v/>
      </c>
      <c r="S66" s="31">
        <f>IF(H66="","",IF(AND($J$6="On",OR(Attendance!$GB7&gt;0,Attendance!$GF7&gt;0)),MEDIAN(1,H66+(N($AB66)-0.5)*$K$6,20),H66))</f>
        <v>9.7111111111111104</v>
      </c>
      <c r="T66" s="31" t="str">
        <f>IF(I66="","",IF(AND($J$6="On",OR(Attendance!$GB7&gt;0,Attendance!$GF7&gt;0)),MEDIAN(1,I66+(N($AB66)-0.5)*$K$6,20),I66))</f>
        <v/>
      </c>
      <c r="U66" s="31" t="str">
        <f>IF(J66="","",IF(AND($J$6="On",OR(Attendance!$GB7&gt;0,Attendance!$GF7&gt;0)),MEDIAN(1,J66+(N($AB66)-0.5)*$K$6,20),J66))</f>
        <v/>
      </c>
      <c r="V66" s="31" t="str">
        <f>IF(K66="","",IF(AND($J$6="On",OR(Attendance!$GB7&gt;0,Attendance!$GF7&gt;0)),MEDIAN(1,K66+(N($AB66)-0.5)*$K$6,20),K66))</f>
        <v/>
      </c>
      <c r="W66" s="31" t="str">
        <f>IF(L66="","",IF(AND($J$6="On",OR(Attendance!$GB7&gt;0,Attendance!$GF7&gt;0)),MEDIAN(1,L66+(N($AB66)-0.5)*$K$6,20),L66))</f>
        <v/>
      </c>
      <c r="X66" s="31" t="str">
        <f>IF(M66="","",IF(AND($J$6="On",OR(Attendance!$GB7&gt;0,Attendance!$GF7&gt;0)),MEDIAN(1,M66+(N($AB66)-0.5)*$K$6,20),M66))</f>
        <v/>
      </c>
      <c r="Y66" s="31" t="str">
        <f>IF(N66="","",IF(AND($J$6="On",OR(Attendance!$GB7&gt;0,Attendance!$GF7&gt;0)),MEDIAN(1,N66+(N($AB66)-0.5)*$K$6,20),N66))</f>
        <v/>
      </c>
      <c r="Z66" s="31" t="str">
        <f>IF(O66="","",IF(AND($J$6="On",OR(Attendance!$GB7&gt;0,Attendance!$GF7&gt;0)),MEDIAN(1,O66+(N($AB66)-0.5)*$K$6,20),O66))</f>
        <v/>
      </c>
      <c r="AA66" s="31" t="str">
        <f>IF(P66="","",IF(AND($J$6="On",OR(Attendance!$GB7&gt;0,Attendance!$GF7&gt;0)),MEDIAN(1,P66+(N($AB66)-0.5)*$K$6,20),P66))</f>
        <v/>
      </c>
      <c r="AB66" s="30">
        <f>IF($C66="","",IFERROR(Attendance!$GN7,""))</f>
        <v>0</v>
      </c>
      <c r="AC66" s="121">
        <f>IF($C66="","",IFERROR('Player Grading'!$AL8,""))</f>
        <v>8.650925925925927</v>
      </c>
    </row>
    <row r="67" spans="2:29" x14ac:dyDescent="0.45">
      <c r="B67" s="60">
        <f>IF($C67="","",Attendance!$C8)</f>
        <v>4</v>
      </c>
      <c r="C67" s="122" t="str">
        <f>IF(Attendance!$D8="","",Attendance!$D8)</f>
        <v>Heidi Cerubini Dunne</v>
      </c>
      <c r="D67" s="123" t="str">
        <f>IF($C67="","",'Player Grading'!$D9)</f>
        <v>LB / RB</v>
      </c>
      <c r="E67" s="123" t="str">
        <f>IF($C67="","",IF($E121="",IF(Attendance!$GP8="","Yes",Attendance!$GP8),IF($E121="Available","Yes","No")))</f>
        <v>Yes</v>
      </c>
      <c r="F67" s="124" t="str">
        <f>IF($C67="","",IF($E121="",Attendance!$GQ8&amp;"",IF($E121="Available","",$E121&amp;IF($F121="",""," - "&amp;$F121)&amp;IF($I121="",""," (back "&amp;TEXT($I121,"d mmm")&amp;")"))))</f>
        <v/>
      </c>
      <c r="G67" s="39" t="str" cm="1">
        <f t="array" ref="G67">IF($C67="","",IF(NOT(ISNUMBER(SEARCH(" GK "," "&amp;SUBSTITUTE($D67,"/"," ")&amp;" "))),"",IFERROR(SUMPRODUCT('Player Grading'!$E9:$AF9,$C$104:$AD$104)/SUMPRODUCT(($C$104:$AD$104)*('Player Grading'!$E9:$AF9&lt;&gt;"")),"")))</f>
        <v/>
      </c>
      <c r="H67" s="39" cm="1">
        <f t="array" ref="H67">IF($C67="","",IF(NOT(ISNUMBER(SEARCH(" RB "," "&amp;SUBSTITUTE($D67,"/"," ")&amp;" "))),"",IFERROR(SUMPRODUCT('Player Grading'!$E9:$AF9,$C$105:$AD$105)/SUMPRODUCT(($C$105:$AD$105)*('Player Grading'!$E9:$AF9&lt;&gt;"")),"")))</f>
        <v>4.7555555555555555</v>
      </c>
      <c r="I67" s="39" t="str" cm="1">
        <f t="array" ref="I67">IF($C67="","",IF(NOT(ISNUMBER(SEARCH(" CB "," "&amp;SUBSTITUTE($D67,"/"," ")&amp;" "))),"",IFERROR(SUMPRODUCT('Player Grading'!$E9:$AF9,$C$106:$AD$106)/SUMPRODUCT(($C$106:$AD$106)*('Player Grading'!$E9:$AF9&lt;&gt;"")),"")))</f>
        <v/>
      </c>
      <c r="J67" s="39" cm="1">
        <f t="array" ref="J67">IF($C67="","",IF(NOT(ISNUMBER(SEARCH(" LB "," "&amp;SUBSTITUTE($D67,"/"," ")&amp;" "))),"",IFERROR(SUMPRODUCT('Player Grading'!$E9:$AF9,$C$107:$AD$107)/SUMPRODUCT(($C$107:$AD$107)*('Player Grading'!$E9:$AF9&lt;&gt;"")),"")))</f>
        <v>4.7555555555555555</v>
      </c>
      <c r="K67" s="39" t="str" cm="1">
        <f t="array" ref="K67">IF($C67="","",IF(NOT(ISNUMBER(SEARCH(" DM "," "&amp;SUBSTITUTE($D67,"/"," ")&amp;" "))),"",IFERROR(SUMPRODUCT('Player Grading'!$E9:$AF9,$C$108:$AD$108)/SUMPRODUCT(($C$108:$AD$108)*('Player Grading'!$E9:$AF9&lt;&gt;"")),"")))</f>
        <v/>
      </c>
      <c r="L67" s="39" t="str" cm="1">
        <f t="array" ref="L67">IF($C67="","",IF(NOT(ISNUMBER(SEARCH(" CM "," "&amp;SUBSTITUTE($D67,"/"," ")&amp;" "))),"",IFERROR(SUMPRODUCT('Player Grading'!$E9:$AF9,$C$109:$AD$109)/SUMPRODUCT(($C$109:$AD$109)*('Player Grading'!$E9:$AF9&lt;&gt;"")),"")))</f>
        <v/>
      </c>
      <c r="M67" s="39" t="str" cm="1">
        <f t="array" ref="M67">IF($C67="","",IF(NOT(ISNUMBER(SEARCH(" ACM "," "&amp;SUBSTITUTE($D67,"/"," ")&amp;" "))),"",IFERROR(SUMPRODUCT('Player Grading'!$E9:$AF9,$C$110:$AD$110)/SUMPRODUCT(($C$110:$AD$110)*('Player Grading'!$E9:$AF9&lt;&gt;"")),"")))</f>
        <v/>
      </c>
      <c r="N67" s="39" t="str" cm="1">
        <f t="array" ref="N67">IF($C67="","",IF(NOT(ISNUMBER(SEARCH(" RW "," "&amp;SUBSTITUTE($D67,"/"," ")&amp;" "))),"",IFERROR(SUMPRODUCT('Player Grading'!$E9:$AF9,$C$111:$AD$111)/SUMPRODUCT(($C$111:$AD$111)*('Player Grading'!$E9:$AF9&lt;&gt;"")),"")))</f>
        <v/>
      </c>
      <c r="O67" s="39" t="str" cm="1">
        <f t="array" ref="O67">IF($C67="","",IF(NOT(ISNUMBER(SEARCH(" LW "," "&amp;SUBSTITUTE($D67,"/"," ")&amp;" "))),"",IFERROR(SUMPRODUCT('Player Grading'!$E9:$AF9,$C$112:$AD$112)/SUMPRODUCT(($C$112:$AD$112)*('Player Grading'!$E9:$AF9&lt;&gt;"")),"")))</f>
        <v/>
      </c>
      <c r="P67" s="39" t="str" cm="1">
        <f t="array" ref="P67">IF($C67="","",IF(NOT(ISNUMBER(SEARCH(" ST "," "&amp;SUBSTITUTE($D67,"/"," ")&amp;" "))),"",IFERROR(SUMPRODUCT('Player Grading'!$E9:$AF9,$C$113:$AD$113)/SUMPRODUCT(($C$113:$AD$113)*('Player Grading'!$E9:$AF9&lt;&gt;"")),"")))</f>
        <v/>
      </c>
      <c r="Q67" s="123"/>
      <c r="R67" s="39" t="str">
        <f>IF(G67="","",IF(AND($J$6="On",OR(Attendance!$GB8&gt;0,Attendance!$GF8&gt;0)),MEDIAN(1,G67+(N($AB67)-0.5)*$K$6,20),G67))</f>
        <v/>
      </c>
      <c r="S67" s="39">
        <f>IF(H67="","",IF(AND($J$6="On",OR(Attendance!$GB8&gt;0,Attendance!$GF8&gt;0)),MEDIAN(1,H67+(N($AB67)-0.5)*$K$6,20),H67))</f>
        <v>4.7555555555555555</v>
      </c>
      <c r="T67" s="39" t="str">
        <f>IF(I67="","",IF(AND($J$6="On",OR(Attendance!$GB8&gt;0,Attendance!$GF8&gt;0)),MEDIAN(1,I67+(N($AB67)-0.5)*$K$6,20),I67))</f>
        <v/>
      </c>
      <c r="U67" s="39">
        <f>IF(J67="","",IF(AND($J$6="On",OR(Attendance!$GB8&gt;0,Attendance!$GF8&gt;0)),MEDIAN(1,J67+(N($AB67)-0.5)*$K$6,20),J67))</f>
        <v>4.7555555555555555</v>
      </c>
      <c r="V67" s="39" t="str">
        <f>IF(K67="","",IF(AND($J$6="On",OR(Attendance!$GB8&gt;0,Attendance!$GF8&gt;0)),MEDIAN(1,K67+(N($AB67)-0.5)*$K$6,20),K67))</f>
        <v/>
      </c>
      <c r="W67" s="39" t="str">
        <f>IF(L67="","",IF(AND($J$6="On",OR(Attendance!$GB8&gt;0,Attendance!$GF8&gt;0)),MEDIAN(1,L67+(N($AB67)-0.5)*$K$6,20),L67))</f>
        <v/>
      </c>
      <c r="X67" s="39" t="str">
        <f>IF(M67="","",IF(AND($J$6="On",OR(Attendance!$GB8&gt;0,Attendance!$GF8&gt;0)),MEDIAN(1,M67+(N($AB67)-0.5)*$K$6,20),M67))</f>
        <v/>
      </c>
      <c r="Y67" s="39" t="str">
        <f>IF(N67="","",IF(AND($J$6="On",OR(Attendance!$GB8&gt;0,Attendance!$GF8&gt;0)),MEDIAN(1,N67+(N($AB67)-0.5)*$K$6,20),N67))</f>
        <v/>
      </c>
      <c r="Z67" s="39" t="str">
        <f>IF(O67="","",IF(AND($J$6="On",OR(Attendance!$GB8&gt;0,Attendance!$GF8&gt;0)),MEDIAN(1,O67+(N($AB67)-0.5)*$K$6,20),O67))</f>
        <v/>
      </c>
      <c r="AA67" s="39" t="str">
        <f>IF(P67="","",IF(AND($J$6="On",OR(Attendance!$GB8&gt;0,Attendance!$GF8&gt;0)),MEDIAN(1,P67+(N($AB67)-0.5)*$K$6,20),P67))</f>
        <v/>
      </c>
      <c r="AB67" s="38">
        <f>IF($C67="","",IFERROR(Attendance!$GN8,""))</f>
        <v>0</v>
      </c>
      <c r="AC67" s="125">
        <f>IF($C67="","",IFERROR('Player Grading'!$AL9,""))</f>
        <v>4.1879629629629633</v>
      </c>
    </row>
    <row r="68" spans="2:29" x14ac:dyDescent="0.45">
      <c r="B68" s="54">
        <f>IF($C68="","",Attendance!$C9)</f>
        <v>5</v>
      </c>
      <c r="C68" s="118" t="str">
        <f>IF(Attendance!$D9="","",Attendance!$D9)</f>
        <v>Roisin Offenhausen</v>
      </c>
      <c r="D68" s="119" t="str">
        <f>IF($C68="","",'Player Grading'!$D10)</f>
        <v>RW / ACM / ST</v>
      </c>
      <c r="E68" s="119" t="str">
        <f>IF($C68="","",IF($E122="",IF(Attendance!$GP9="","Yes",Attendance!$GP9),IF($E122="Available","Yes","No")))</f>
        <v>Yes</v>
      </c>
      <c r="F68" s="120" t="str">
        <f>IF($C68="","",IF($E122="",Attendance!$GQ9&amp;"",IF($E122="Available","",$E122&amp;IF($F122="",""," - "&amp;$F122)&amp;IF($I122="",""," (back "&amp;TEXT($I122,"d mmm")&amp;")"))))</f>
        <v/>
      </c>
      <c r="G68" s="31" t="str" cm="1">
        <f t="array" ref="G68">IF($C68="","",IF(NOT(ISNUMBER(SEARCH(" GK "," "&amp;SUBSTITUTE($D68,"/"," ")&amp;" "))),"",IFERROR(SUMPRODUCT('Player Grading'!$E10:$AF10,$C$104:$AD$104)/SUMPRODUCT(($C$104:$AD$104)*('Player Grading'!$E10:$AF10&lt;&gt;"")),"")))</f>
        <v/>
      </c>
      <c r="H68" s="31" t="str" cm="1">
        <f t="array" ref="H68">IF($C68="","",IF(NOT(ISNUMBER(SEARCH(" RB "," "&amp;SUBSTITUTE($D68,"/"," ")&amp;" "))),"",IFERROR(SUMPRODUCT('Player Grading'!$E10:$AF10,$C$105:$AD$105)/SUMPRODUCT(($C$105:$AD$105)*('Player Grading'!$E10:$AF10&lt;&gt;"")),"")))</f>
        <v/>
      </c>
      <c r="I68" s="31" t="str" cm="1">
        <f t="array" ref="I68">IF($C68="","",IF(NOT(ISNUMBER(SEARCH(" CB "," "&amp;SUBSTITUTE($D68,"/"," ")&amp;" "))),"",IFERROR(SUMPRODUCT('Player Grading'!$E10:$AF10,$C$106:$AD$106)/SUMPRODUCT(($C$106:$AD$106)*('Player Grading'!$E10:$AF10&lt;&gt;"")),"")))</f>
        <v/>
      </c>
      <c r="J68" s="31" t="str" cm="1">
        <f t="array" ref="J68">IF($C68="","",IF(NOT(ISNUMBER(SEARCH(" LB "," "&amp;SUBSTITUTE($D68,"/"," ")&amp;" "))),"",IFERROR(SUMPRODUCT('Player Grading'!$E10:$AF10,$C$107:$AD$107)/SUMPRODUCT(($C$107:$AD$107)*('Player Grading'!$E10:$AF10&lt;&gt;"")),"")))</f>
        <v/>
      </c>
      <c r="K68" s="31" t="str" cm="1">
        <f t="array" ref="K68">IF($C68="","",IF(NOT(ISNUMBER(SEARCH(" DM "," "&amp;SUBSTITUTE($D68,"/"," ")&amp;" "))),"",IFERROR(SUMPRODUCT('Player Grading'!$E10:$AF10,$C$108:$AD$108)/SUMPRODUCT(($C$108:$AD$108)*('Player Grading'!$E10:$AF10&lt;&gt;"")),"")))</f>
        <v/>
      </c>
      <c r="L68" s="31" t="str" cm="1">
        <f t="array" ref="L68">IF($C68="","",IF(NOT(ISNUMBER(SEARCH(" CM "," "&amp;SUBSTITUTE($D68,"/"," ")&amp;" "))),"",IFERROR(SUMPRODUCT('Player Grading'!$E10:$AF10,$C$109:$AD$109)/SUMPRODUCT(($C$109:$AD$109)*('Player Grading'!$E10:$AF10&lt;&gt;"")),"")))</f>
        <v/>
      </c>
      <c r="M68" s="31" cm="1">
        <f t="array" ref="M68">IF($C68="","",IF(NOT(ISNUMBER(SEARCH(" ACM "," "&amp;SUBSTITUTE($D68,"/"," ")&amp;" "))),"",IFERROR(SUMPRODUCT('Player Grading'!$E10:$AF10,$C$110:$AD$110)/SUMPRODUCT(($C$110:$AD$110)*('Player Grading'!$E10:$AF10&lt;&gt;"")),"")))</f>
        <v>10.304347826086957</v>
      </c>
      <c r="N68" s="31" cm="1">
        <f t="array" ref="N68">IF($C68="","",IF(NOT(ISNUMBER(SEARCH(" RW "," "&amp;SUBSTITUTE($D68,"/"," ")&amp;" "))),"",IFERROR(SUMPRODUCT('Player Grading'!$E10:$AF10,$C$111:$AD$111)/SUMPRODUCT(($C$111:$AD$111)*('Player Grading'!$E10:$AF10&lt;&gt;"")),"")))</f>
        <v>10.466666666666667</v>
      </c>
      <c r="O68" s="31" t="str" cm="1">
        <f t="array" ref="O68">IF($C68="","",IF(NOT(ISNUMBER(SEARCH(" LW "," "&amp;SUBSTITUTE($D68,"/"," ")&amp;" "))),"",IFERROR(SUMPRODUCT('Player Grading'!$E10:$AF10,$C$112:$AD$112)/SUMPRODUCT(($C$112:$AD$112)*('Player Grading'!$E10:$AF10&lt;&gt;"")),"")))</f>
        <v/>
      </c>
      <c r="P68" s="31" cm="1">
        <f t="array" ref="P68">IF($C68="","",IF(NOT(ISNUMBER(SEARCH(" ST "," "&amp;SUBSTITUTE($D68,"/"," ")&amp;" "))),"",IFERROR(SUMPRODUCT('Player Grading'!$E10:$AF10,$C$113:$AD$113)/SUMPRODUCT(($C$113:$AD$113)*('Player Grading'!$E10:$AF10&lt;&gt;"")),"")))</f>
        <v>9.58</v>
      </c>
      <c r="Q68" s="119"/>
      <c r="R68" s="31" t="str">
        <f>IF(G68="","",IF(AND($J$6="On",OR(Attendance!$GB9&gt;0,Attendance!$GF9&gt;0)),MEDIAN(1,G68+(N($AB68)-0.5)*$K$6,20),G68))</f>
        <v/>
      </c>
      <c r="S68" s="31" t="str">
        <f>IF(H68="","",IF(AND($J$6="On",OR(Attendance!$GB9&gt;0,Attendance!$GF9&gt;0)),MEDIAN(1,H68+(N($AB68)-0.5)*$K$6,20),H68))</f>
        <v/>
      </c>
      <c r="T68" s="31" t="str">
        <f>IF(I68="","",IF(AND($J$6="On",OR(Attendance!$GB9&gt;0,Attendance!$GF9&gt;0)),MEDIAN(1,I68+(N($AB68)-0.5)*$K$6,20),I68))</f>
        <v/>
      </c>
      <c r="U68" s="31" t="str">
        <f>IF(J68="","",IF(AND($J$6="On",OR(Attendance!$GB9&gt;0,Attendance!$GF9&gt;0)),MEDIAN(1,J68+(N($AB68)-0.5)*$K$6,20),J68))</f>
        <v/>
      </c>
      <c r="V68" s="31" t="str">
        <f>IF(K68="","",IF(AND($J$6="On",OR(Attendance!$GB9&gt;0,Attendance!$GF9&gt;0)),MEDIAN(1,K68+(N($AB68)-0.5)*$K$6,20),K68))</f>
        <v/>
      </c>
      <c r="W68" s="31" t="str">
        <f>IF(L68="","",IF(AND($J$6="On",OR(Attendance!$GB9&gt;0,Attendance!$GF9&gt;0)),MEDIAN(1,L68+(N($AB68)-0.5)*$K$6,20),L68))</f>
        <v/>
      </c>
      <c r="X68" s="31">
        <f>IF(M68="","",IF(AND($J$6="On",OR(Attendance!$GB9&gt;0,Attendance!$GF9&gt;0)),MEDIAN(1,M68+(N($AB68)-0.5)*$K$6,20),M68))</f>
        <v>10.304347826086957</v>
      </c>
      <c r="Y68" s="31">
        <f>IF(N68="","",IF(AND($J$6="On",OR(Attendance!$GB9&gt;0,Attendance!$GF9&gt;0)),MEDIAN(1,N68+(N($AB68)-0.5)*$K$6,20),N68))</f>
        <v>10.466666666666667</v>
      </c>
      <c r="Z68" s="31" t="str">
        <f>IF(O68="","",IF(AND($J$6="On",OR(Attendance!$GB9&gt;0,Attendance!$GF9&gt;0)),MEDIAN(1,O68+(N($AB68)-0.5)*$K$6,20),O68))</f>
        <v/>
      </c>
      <c r="AA68" s="31">
        <f>IF(P68="","",IF(AND($J$6="On",OR(Attendance!$GB9&gt;0,Attendance!$GF9&gt;0)),MEDIAN(1,P68+(N($AB68)-0.5)*$K$6,20),P68))</f>
        <v>9.58</v>
      </c>
      <c r="AB68" s="30">
        <f>IF($C68="","",IFERROR(Attendance!$GN9,""))</f>
        <v>0</v>
      </c>
      <c r="AC68" s="121">
        <f>IF($C68="","",IFERROR('Player Grading'!$AL10,""))</f>
        <v>9.7546296296296298</v>
      </c>
    </row>
    <row r="69" spans="2:29" x14ac:dyDescent="0.45">
      <c r="B69" s="60">
        <f>IF($C69="","",Attendance!$C10)</f>
        <v>6</v>
      </c>
      <c r="C69" s="122" t="str">
        <f>IF(Attendance!$D10="","",Attendance!$D10)</f>
        <v>Naomi Adewoyin</v>
      </c>
      <c r="D69" s="123" t="str">
        <f>IF($C69="","",'Player Grading'!$D11)</f>
        <v>ACM</v>
      </c>
      <c r="E69" s="123" t="str">
        <f>IF($C69="","",IF($E123="",IF(Attendance!$GP10="","Yes",Attendance!$GP10),IF($E123="Available","Yes","No")))</f>
        <v>Yes</v>
      </c>
      <c r="F69" s="124" t="str">
        <f>IF($C69="","",IF($E123="",Attendance!$GQ10&amp;"",IF($E123="Available","",$E123&amp;IF($F123="",""," - "&amp;$F123)&amp;IF($I123="",""," (back "&amp;TEXT($I123,"d mmm")&amp;")"))))</f>
        <v/>
      </c>
      <c r="G69" s="39" t="str" cm="1">
        <f t="array" ref="G69">IF($C69="","",IF(NOT(ISNUMBER(SEARCH(" GK "," "&amp;SUBSTITUTE($D69,"/"," ")&amp;" "))),"",IFERROR(SUMPRODUCT('Player Grading'!$E11:$AF11,$C$104:$AD$104)/SUMPRODUCT(($C$104:$AD$104)*('Player Grading'!$E11:$AF11&lt;&gt;"")),"")))</f>
        <v/>
      </c>
      <c r="H69" s="39" t="str" cm="1">
        <f t="array" ref="H69">IF($C69="","",IF(NOT(ISNUMBER(SEARCH(" RB "," "&amp;SUBSTITUTE($D69,"/"," ")&amp;" "))),"",IFERROR(SUMPRODUCT('Player Grading'!$E11:$AF11,$C$105:$AD$105)/SUMPRODUCT(($C$105:$AD$105)*('Player Grading'!$E11:$AF11&lt;&gt;"")),"")))</f>
        <v/>
      </c>
      <c r="I69" s="39" t="str" cm="1">
        <f t="array" ref="I69">IF($C69="","",IF(NOT(ISNUMBER(SEARCH(" CB "," "&amp;SUBSTITUTE($D69,"/"," ")&amp;" "))),"",IFERROR(SUMPRODUCT('Player Grading'!$E11:$AF11,$C$106:$AD$106)/SUMPRODUCT(($C$106:$AD$106)*('Player Grading'!$E11:$AF11&lt;&gt;"")),"")))</f>
        <v/>
      </c>
      <c r="J69" s="39" t="str" cm="1">
        <f t="array" ref="J69">IF($C69="","",IF(NOT(ISNUMBER(SEARCH(" LB "," "&amp;SUBSTITUTE($D69,"/"," ")&amp;" "))),"",IFERROR(SUMPRODUCT('Player Grading'!$E11:$AF11,$C$107:$AD$107)/SUMPRODUCT(($C$107:$AD$107)*('Player Grading'!$E11:$AF11&lt;&gt;"")),"")))</f>
        <v/>
      </c>
      <c r="K69" s="39" t="str" cm="1">
        <f t="array" ref="K69">IF($C69="","",IF(NOT(ISNUMBER(SEARCH(" DM "," "&amp;SUBSTITUTE($D69,"/"," ")&amp;" "))),"",IFERROR(SUMPRODUCT('Player Grading'!$E11:$AF11,$C$108:$AD$108)/SUMPRODUCT(($C$108:$AD$108)*('Player Grading'!$E11:$AF11&lt;&gt;"")),"")))</f>
        <v/>
      </c>
      <c r="L69" s="39" t="str" cm="1">
        <f t="array" ref="L69">IF($C69="","",IF(NOT(ISNUMBER(SEARCH(" CM "," "&amp;SUBSTITUTE($D69,"/"," ")&amp;" "))),"",IFERROR(SUMPRODUCT('Player Grading'!$E11:$AF11,$C$109:$AD$109)/SUMPRODUCT(($C$109:$AD$109)*('Player Grading'!$E11:$AF11&lt;&gt;"")),"")))</f>
        <v/>
      </c>
      <c r="M69" s="39" cm="1">
        <f t="array" ref="M69">IF($C69="","",IF(NOT(ISNUMBER(SEARCH(" ACM "," "&amp;SUBSTITUTE($D69,"/"," ")&amp;" "))),"",IFERROR(SUMPRODUCT('Player Grading'!$E11:$AF11,$C$110:$AD$110)/SUMPRODUCT(($C$110:$AD$110)*('Player Grading'!$E11:$AF11&lt;&gt;"")),"")))</f>
        <v>9.8913043478260878</v>
      </c>
      <c r="N69" s="39" t="str" cm="1">
        <f t="array" ref="N69">IF($C69="","",IF(NOT(ISNUMBER(SEARCH(" RW "," "&amp;SUBSTITUTE($D69,"/"," ")&amp;" "))),"",IFERROR(SUMPRODUCT('Player Grading'!$E11:$AF11,$C$111:$AD$111)/SUMPRODUCT(($C$111:$AD$111)*('Player Grading'!$E11:$AF11&lt;&gt;"")),"")))</f>
        <v/>
      </c>
      <c r="O69" s="39" t="str" cm="1">
        <f t="array" ref="O69">IF($C69="","",IF(NOT(ISNUMBER(SEARCH(" LW "," "&amp;SUBSTITUTE($D69,"/"," ")&amp;" "))),"",IFERROR(SUMPRODUCT('Player Grading'!$E11:$AF11,$C$112:$AD$112)/SUMPRODUCT(($C$112:$AD$112)*('Player Grading'!$E11:$AF11&lt;&gt;"")),"")))</f>
        <v/>
      </c>
      <c r="P69" s="39" t="str" cm="1">
        <f t="array" ref="P69">IF($C69="","",IF(NOT(ISNUMBER(SEARCH(" ST "," "&amp;SUBSTITUTE($D69,"/"," ")&amp;" "))),"",IFERROR(SUMPRODUCT('Player Grading'!$E11:$AF11,$C$113:$AD$113)/SUMPRODUCT(($C$113:$AD$113)*('Player Grading'!$E11:$AF11&lt;&gt;"")),"")))</f>
        <v/>
      </c>
      <c r="Q69" s="123"/>
      <c r="R69" s="39" t="str">
        <f>IF(G69="","",IF(AND($J$6="On",OR(Attendance!$GB10&gt;0,Attendance!$GF10&gt;0)),MEDIAN(1,G69+(N($AB69)-0.5)*$K$6,20),G69))</f>
        <v/>
      </c>
      <c r="S69" s="39" t="str">
        <f>IF(H69="","",IF(AND($J$6="On",OR(Attendance!$GB10&gt;0,Attendance!$GF10&gt;0)),MEDIAN(1,H69+(N($AB69)-0.5)*$K$6,20),H69))</f>
        <v/>
      </c>
      <c r="T69" s="39" t="str">
        <f>IF(I69="","",IF(AND($J$6="On",OR(Attendance!$GB10&gt;0,Attendance!$GF10&gt;0)),MEDIAN(1,I69+(N($AB69)-0.5)*$K$6,20),I69))</f>
        <v/>
      </c>
      <c r="U69" s="39" t="str">
        <f>IF(J69="","",IF(AND($J$6="On",OR(Attendance!$GB10&gt;0,Attendance!$GF10&gt;0)),MEDIAN(1,J69+(N($AB69)-0.5)*$K$6,20),J69))</f>
        <v/>
      </c>
      <c r="V69" s="39" t="str">
        <f>IF(K69="","",IF(AND($J$6="On",OR(Attendance!$GB10&gt;0,Attendance!$GF10&gt;0)),MEDIAN(1,K69+(N($AB69)-0.5)*$K$6,20),K69))</f>
        <v/>
      </c>
      <c r="W69" s="39" t="str">
        <f>IF(L69="","",IF(AND($J$6="On",OR(Attendance!$GB10&gt;0,Attendance!$GF10&gt;0)),MEDIAN(1,L69+(N($AB69)-0.5)*$K$6,20),L69))</f>
        <v/>
      </c>
      <c r="X69" s="39">
        <f>IF(M69="","",IF(AND($J$6="On",OR(Attendance!$GB10&gt;0,Attendance!$GF10&gt;0)),MEDIAN(1,M69+(N($AB69)-0.5)*$K$6,20),M69))</f>
        <v>9.8913043478260878</v>
      </c>
      <c r="Y69" s="39" t="str">
        <f>IF(N69="","",IF(AND($J$6="On",OR(Attendance!$GB10&gt;0,Attendance!$GF10&gt;0)),MEDIAN(1,N69+(N($AB69)-0.5)*$K$6,20),N69))</f>
        <v/>
      </c>
      <c r="Z69" s="39" t="str">
        <f>IF(O69="","",IF(AND($J$6="On",OR(Attendance!$GB10&gt;0,Attendance!$GF10&gt;0)),MEDIAN(1,O69+(N($AB69)-0.5)*$K$6,20),O69))</f>
        <v/>
      </c>
      <c r="AA69" s="39" t="str">
        <f>IF(P69="","",IF(AND($J$6="On",OR(Attendance!$GB10&gt;0,Attendance!$GF10&gt;0)),MEDIAN(1,P69+(N($AB69)-0.5)*$K$6,20),P69))</f>
        <v/>
      </c>
      <c r="AB69" s="38">
        <f>IF($C69="","",IFERROR(Attendance!$GN10,""))</f>
        <v>0</v>
      </c>
      <c r="AC69" s="125">
        <f>IF($C69="","",IFERROR('Player Grading'!$AL11,""))</f>
        <v>9.5509259259259256</v>
      </c>
    </row>
    <row r="70" spans="2:29" x14ac:dyDescent="0.45">
      <c r="B70" s="54">
        <f>IF($C70="","",Attendance!$C11)</f>
        <v>7</v>
      </c>
      <c r="C70" s="118" t="str">
        <f>IF(Attendance!$D11="","",Attendance!$D11)</f>
        <v>Amber Kilalee</v>
      </c>
      <c r="D70" s="119" t="str">
        <f>IF($C70="","",'Player Grading'!$D12)</f>
        <v>LW / ST</v>
      </c>
      <c r="E70" s="119" t="str">
        <f>IF($C70="","",IF($E124="",IF(Attendance!$GP11="","Yes",Attendance!$GP11),IF($E124="Available","Yes","No")))</f>
        <v>Yes</v>
      </c>
      <c r="F70" s="120" t="str">
        <f>IF($C70="","",IF($E124="",Attendance!$GQ11&amp;"",IF($E124="Available","",$E124&amp;IF($F124="",""," - "&amp;$F124)&amp;IF($I124="",""," (back "&amp;TEXT($I124,"d mmm")&amp;")"))))</f>
        <v/>
      </c>
      <c r="G70" s="31" t="str" cm="1">
        <f t="array" ref="G70">IF($C70="","",IF(NOT(ISNUMBER(SEARCH(" GK "," "&amp;SUBSTITUTE($D70,"/"," ")&amp;" "))),"",IFERROR(SUMPRODUCT('Player Grading'!$E12:$AF12,$C$104:$AD$104)/SUMPRODUCT(($C$104:$AD$104)*('Player Grading'!$E12:$AF12&lt;&gt;"")),"")))</f>
        <v/>
      </c>
      <c r="H70" s="31" t="str" cm="1">
        <f t="array" ref="H70">IF($C70="","",IF(NOT(ISNUMBER(SEARCH(" RB "," "&amp;SUBSTITUTE($D70,"/"," ")&amp;" "))),"",IFERROR(SUMPRODUCT('Player Grading'!$E12:$AF12,$C$105:$AD$105)/SUMPRODUCT(($C$105:$AD$105)*('Player Grading'!$E12:$AF12&lt;&gt;"")),"")))</f>
        <v/>
      </c>
      <c r="I70" s="31" t="str" cm="1">
        <f t="array" ref="I70">IF($C70="","",IF(NOT(ISNUMBER(SEARCH(" CB "," "&amp;SUBSTITUTE($D70,"/"," ")&amp;" "))),"",IFERROR(SUMPRODUCT('Player Grading'!$E12:$AF12,$C$106:$AD$106)/SUMPRODUCT(($C$106:$AD$106)*('Player Grading'!$E12:$AF12&lt;&gt;"")),"")))</f>
        <v/>
      </c>
      <c r="J70" s="31" t="str" cm="1">
        <f t="array" ref="J70">IF($C70="","",IF(NOT(ISNUMBER(SEARCH(" LB "," "&amp;SUBSTITUTE($D70,"/"," ")&amp;" "))),"",IFERROR(SUMPRODUCT('Player Grading'!$E12:$AF12,$C$107:$AD$107)/SUMPRODUCT(($C$107:$AD$107)*('Player Grading'!$E12:$AF12&lt;&gt;"")),"")))</f>
        <v/>
      </c>
      <c r="K70" s="31" t="str" cm="1">
        <f t="array" ref="K70">IF($C70="","",IF(NOT(ISNUMBER(SEARCH(" DM "," "&amp;SUBSTITUTE($D70,"/"," ")&amp;" "))),"",IFERROR(SUMPRODUCT('Player Grading'!$E12:$AF12,$C$108:$AD$108)/SUMPRODUCT(($C$108:$AD$108)*('Player Grading'!$E12:$AF12&lt;&gt;"")),"")))</f>
        <v/>
      </c>
      <c r="L70" s="31" t="str" cm="1">
        <f t="array" ref="L70">IF($C70="","",IF(NOT(ISNUMBER(SEARCH(" CM "," "&amp;SUBSTITUTE($D70,"/"," ")&amp;" "))),"",IFERROR(SUMPRODUCT('Player Grading'!$E12:$AF12,$C$109:$AD$109)/SUMPRODUCT(($C$109:$AD$109)*('Player Grading'!$E12:$AF12&lt;&gt;"")),"")))</f>
        <v/>
      </c>
      <c r="M70" s="31" t="str" cm="1">
        <f t="array" ref="M70">IF($C70="","",IF(NOT(ISNUMBER(SEARCH(" ACM "," "&amp;SUBSTITUTE($D70,"/"," ")&amp;" "))),"",IFERROR(SUMPRODUCT('Player Grading'!$E12:$AF12,$C$110:$AD$110)/SUMPRODUCT(($C$110:$AD$110)*('Player Grading'!$E12:$AF12&lt;&gt;"")),"")))</f>
        <v/>
      </c>
      <c r="N70" s="31" t="str" cm="1">
        <f t="array" ref="N70">IF($C70="","",IF(NOT(ISNUMBER(SEARCH(" RW "," "&amp;SUBSTITUTE($D70,"/"," ")&amp;" "))),"",IFERROR(SUMPRODUCT('Player Grading'!$E12:$AF12,$C$111:$AD$111)/SUMPRODUCT(($C$111:$AD$111)*('Player Grading'!$E12:$AF12&lt;&gt;"")),"")))</f>
        <v/>
      </c>
      <c r="O70" s="31" cm="1">
        <f t="array" ref="O70">IF($C70="","",IF(NOT(ISNUMBER(SEARCH(" LW "," "&amp;SUBSTITUTE($D70,"/"," ")&amp;" "))),"",IFERROR(SUMPRODUCT('Player Grading'!$E12:$AF12,$C$112:$AD$112)/SUMPRODUCT(($C$112:$AD$112)*('Player Grading'!$E12:$AF12&lt;&gt;"")),"")))</f>
        <v>9.2222222222222214</v>
      </c>
      <c r="P70" s="31" cm="1">
        <f t="array" ref="P70">IF($C70="","",IF(NOT(ISNUMBER(SEARCH(" ST "," "&amp;SUBSTITUTE($D70,"/"," ")&amp;" "))),"",IFERROR(SUMPRODUCT('Player Grading'!$E12:$AF12,$C$113:$AD$113)/SUMPRODUCT(($C$113:$AD$113)*('Player Grading'!$E12:$AF12&lt;&gt;"")),"")))</f>
        <v>8.9600000000000009</v>
      </c>
      <c r="Q70" s="119"/>
      <c r="R70" s="31" t="str">
        <f>IF(G70="","",IF(AND($J$6="On",OR(Attendance!$GB11&gt;0,Attendance!$GF11&gt;0)),MEDIAN(1,G70+(N($AB70)-0.5)*$K$6,20),G70))</f>
        <v/>
      </c>
      <c r="S70" s="31" t="str">
        <f>IF(H70="","",IF(AND($J$6="On",OR(Attendance!$GB11&gt;0,Attendance!$GF11&gt;0)),MEDIAN(1,H70+(N($AB70)-0.5)*$K$6,20),H70))</f>
        <v/>
      </c>
      <c r="T70" s="31" t="str">
        <f>IF(I70="","",IF(AND($J$6="On",OR(Attendance!$GB11&gt;0,Attendance!$GF11&gt;0)),MEDIAN(1,I70+(N($AB70)-0.5)*$K$6,20),I70))</f>
        <v/>
      </c>
      <c r="U70" s="31" t="str">
        <f>IF(J70="","",IF(AND($J$6="On",OR(Attendance!$GB11&gt;0,Attendance!$GF11&gt;0)),MEDIAN(1,J70+(N($AB70)-0.5)*$K$6,20),J70))</f>
        <v/>
      </c>
      <c r="V70" s="31" t="str">
        <f>IF(K70="","",IF(AND($J$6="On",OR(Attendance!$GB11&gt;0,Attendance!$GF11&gt;0)),MEDIAN(1,K70+(N($AB70)-0.5)*$K$6,20),K70))</f>
        <v/>
      </c>
      <c r="W70" s="31" t="str">
        <f>IF(L70="","",IF(AND($J$6="On",OR(Attendance!$GB11&gt;0,Attendance!$GF11&gt;0)),MEDIAN(1,L70+(N($AB70)-0.5)*$K$6,20),L70))</f>
        <v/>
      </c>
      <c r="X70" s="31" t="str">
        <f>IF(M70="","",IF(AND($J$6="On",OR(Attendance!$GB11&gt;0,Attendance!$GF11&gt;0)),MEDIAN(1,M70+(N($AB70)-0.5)*$K$6,20),M70))</f>
        <v/>
      </c>
      <c r="Y70" s="31" t="str">
        <f>IF(N70="","",IF(AND($J$6="On",OR(Attendance!$GB11&gt;0,Attendance!$GF11&gt;0)),MEDIAN(1,N70+(N($AB70)-0.5)*$K$6,20),N70))</f>
        <v/>
      </c>
      <c r="Z70" s="31">
        <f>IF(O70="","",IF(AND($J$6="On",OR(Attendance!$GB11&gt;0,Attendance!$GF11&gt;0)),MEDIAN(1,O70+(N($AB70)-0.5)*$K$6,20),O70))</f>
        <v>9.2222222222222214</v>
      </c>
      <c r="AA70" s="31">
        <f>IF(P70="","",IF(AND($J$6="On",OR(Attendance!$GB11&gt;0,Attendance!$GF11&gt;0)),MEDIAN(1,P70+(N($AB70)-0.5)*$K$6,20),P70))</f>
        <v>8.9600000000000009</v>
      </c>
      <c r="AB70" s="30">
        <f>IF($C70="","",IFERROR(Attendance!$GN11,""))</f>
        <v>0</v>
      </c>
      <c r="AC70" s="121">
        <f>IF($C70="","",IFERROR('Player Grading'!$AL12,""))</f>
        <v>8.780555555555555</v>
      </c>
    </row>
    <row r="71" spans="2:29" x14ac:dyDescent="0.45">
      <c r="B71" s="60">
        <f>IF($C71="","",Attendance!$C12)</f>
        <v>8</v>
      </c>
      <c r="C71" s="122" t="str">
        <f>IF(Attendance!$D12="","",Attendance!$D12)</f>
        <v>Shauna Kavanagh</v>
      </c>
      <c r="D71" s="123" t="str">
        <f>IF($C71="","",'Player Grading'!$D13)</f>
        <v>ST / RW</v>
      </c>
      <c r="E71" s="123" t="str">
        <f>IF($C71="","",IF($E125="",IF(Attendance!$GP12="","Yes",Attendance!$GP12),IF($E125="Available","Yes","No")))</f>
        <v>Yes</v>
      </c>
      <c r="F71" s="124" t="str">
        <f>IF($C71="","",IF($E125="",Attendance!$GQ12&amp;"",IF($E125="Available","",$E125&amp;IF($F125="",""," - "&amp;$F125)&amp;IF($I125="",""," (back "&amp;TEXT($I125,"d mmm")&amp;")"))))</f>
        <v/>
      </c>
      <c r="G71" s="39" t="str" cm="1">
        <f t="array" ref="G71">IF($C71="","",IF(NOT(ISNUMBER(SEARCH(" GK "," "&amp;SUBSTITUTE($D71,"/"," ")&amp;" "))),"",IFERROR(SUMPRODUCT('Player Grading'!$E13:$AF13,$C$104:$AD$104)/SUMPRODUCT(($C$104:$AD$104)*('Player Grading'!$E13:$AF13&lt;&gt;"")),"")))</f>
        <v/>
      </c>
      <c r="H71" s="39" t="str" cm="1">
        <f t="array" ref="H71">IF($C71="","",IF(NOT(ISNUMBER(SEARCH(" RB "," "&amp;SUBSTITUTE($D71,"/"," ")&amp;" "))),"",IFERROR(SUMPRODUCT('Player Grading'!$E13:$AF13,$C$105:$AD$105)/SUMPRODUCT(($C$105:$AD$105)*('Player Grading'!$E13:$AF13&lt;&gt;"")),"")))</f>
        <v/>
      </c>
      <c r="I71" s="39" t="str" cm="1">
        <f t="array" ref="I71">IF($C71="","",IF(NOT(ISNUMBER(SEARCH(" CB "," "&amp;SUBSTITUTE($D71,"/"," ")&amp;" "))),"",IFERROR(SUMPRODUCT('Player Grading'!$E13:$AF13,$C$106:$AD$106)/SUMPRODUCT(($C$106:$AD$106)*('Player Grading'!$E13:$AF13&lt;&gt;"")),"")))</f>
        <v/>
      </c>
      <c r="J71" s="39" t="str" cm="1">
        <f t="array" ref="J71">IF($C71="","",IF(NOT(ISNUMBER(SEARCH(" LB "," "&amp;SUBSTITUTE($D71,"/"," ")&amp;" "))),"",IFERROR(SUMPRODUCT('Player Grading'!$E13:$AF13,$C$107:$AD$107)/SUMPRODUCT(($C$107:$AD$107)*('Player Grading'!$E13:$AF13&lt;&gt;"")),"")))</f>
        <v/>
      </c>
      <c r="K71" s="39" t="str" cm="1">
        <f t="array" ref="K71">IF($C71="","",IF(NOT(ISNUMBER(SEARCH(" DM "," "&amp;SUBSTITUTE($D71,"/"," ")&amp;" "))),"",IFERROR(SUMPRODUCT('Player Grading'!$E13:$AF13,$C$108:$AD$108)/SUMPRODUCT(($C$108:$AD$108)*('Player Grading'!$E13:$AF13&lt;&gt;"")),"")))</f>
        <v/>
      </c>
      <c r="L71" s="39" t="str" cm="1">
        <f t="array" ref="L71">IF($C71="","",IF(NOT(ISNUMBER(SEARCH(" CM "," "&amp;SUBSTITUTE($D71,"/"," ")&amp;" "))),"",IFERROR(SUMPRODUCT('Player Grading'!$E13:$AF13,$C$109:$AD$109)/SUMPRODUCT(($C$109:$AD$109)*('Player Grading'!$E13:$AF13&lt;&gt;"")),"")))</f>
        <v/>
      </c>
      <c r="M71" s="39" t="str" cm="1">
        <f t="array" ref="M71">IF($C71="","",IF(NOT(ISNUMBER(SEARCH(" ACM "," "&amp;SUBSTITUTE($D71,"/"," ")&amp;" "))),"",IFERROR(SUMPRODUCT('Player Grading'!$E13:$AF13,$C$110:$AD$110)/SUMPRODUCT(($C$110:$AD$110)*('Player Grading'!$E13:$AF13&lt;&gt;"")),"")))</f>
        <v/>
      </c>
      <c r="N71" s="39" cm="1">
        <f t="array" ref="N71">IF($C71="","",IF(NOT(ISNUMBER(SEARCH(" RW "," "&amp;SUBSTITUTE($D71,"/"," ")&amp;" "))),"",IFERROR(SUMPRODUCT('Player Grading'!$E13:$AF13,$C$111:$AD$111)/SUMPRODUCT(($C$111:$AD$111)*('Player Grading'!$E13:$AF13&lt;&gt;"")),"")))</f>
        <v>8.4</v>
      </c>
      <c r="O71" s="39" t="str" cm="1">
        <f t="array" ref="O71">IF($C71="","",IF(NOT(ISNUMBER(SEARCH(" LW "," "&amp;SUBSTITUTE($D71,"/"," ")&amp;" "))),"",IFERROR(SUMPRODUCT('Player Grading'!$E13:$AF13,$C$112:$AD$112)/SUMPRODUCT(($C$112:$AD$112)*('Player Grading'!$E13:$AF13&lt;&gt;"")),"")))</f>
        <v/>
      </c>
      <c r="P71" s="39" cm="1">
        <f t="array" ref="P71">IF($C71="","",IF(NOT(ISNUMBER(SEARCH(" ST "," "&amp;SUBSTITUTE($D71,"/"," ")&amp;" "))),"",IFERROR(SUMPRODUCT('Player Grading'!$E13:$AF13,$C$113:$AD$113)/SUMPRODUCT(($C$113:$AD$113)*('Player Grading'!$E13:$AF13&lt;&gt;"")),"")))</f>
        <v>8.14</v>
      </c>
      <c r="Q71" s="123"/>
      <c r="R71" s="39" t="str">
        <f>IF(G71="","",IF(AND($J$6="On",OR(Attendance!$GB12&gt;0,Attendance!$GF12&gt;0)),MEDIAN(1,G71+(N($AB71)-0.5)*$K$6,20),G71))</f>
        <v/>
      </c>
      <c r="S71" s="39" t="str">
        <f>IF(H71="","",IF(AND($J$6="On",OR(Attendance!$GB12&gt;0,Attendance!$GF12&gt;0)),MEDIAN(1,H71+(N($AB71)-0.5)*$K$6,20),H71))</f>
        <v/>
      </c>
      <c r="T71" s="39" t="str">
        <f>IF(I71="","",IF(AND($J$6="On",OR(Attendance!$GB12&gt;0,Attendance!$GF12&gt;0)),MEDIAN(1,I71+(N($AB71)-0.5)*$K$6,20),I71))</f>
        <v/>
      </c>
      <c r="U71" s="39" t="str">
        <f>IF(J71="","",IF(AND($J$6="On",OR(Attendance!$GB12&gt;0,Attendance!$GF12&gt;0)),MEDIAN(1,J71+(N($AB71)-0.5)*$K$6,20),J71))</f>
        <v/>
      </c>
      <c r="V71" s="39" t="str">
        <f>IF(K71="","",IF(AND($J$6="On",OR(Attendance!$GB12&gt;0,Attendance!$GF12&gt;0)),MEDIAN(1,K71+(N($AB71)-0.5)*$K$6,20),K71))</f>
        <v/>
      </c>
      <c r="W71" s="39" t="str">
        <f>IF(L71="","",IF(AND($J$6="On",OR(Attendance!$GB12&gt;0,Attendance!$GF12&gt;0)),MEDIAN(1,L71+(N($AB71)-0.5)*$K$6,20),L71))</f>
        <v/>
      </c>
      <c r="X71" s="39" t="str">
        <f>IF(M71="","",IF(AND($J$6="On",OR(Attendance!$GB12&gt;0,Attendance!$GF12&gt;0)),MEDIAN(1,M71+(N($AB71)-0.5)*$K$6,20),M71))</f>
        <v/>
      </c>
      <c r="Y71" s="39">
        <f>IF(N71="","",IF(AND($J$6="On",OR(Attendance!$GB12&gt;0,Attendance!$GF12&gt;0)),MEDIAN(1,N71+(N($AB71)-0.5)*$K$6,20),N71))</f>
        <v>8.4</v>
      </c>
      <c r="Z71" s="39" t="str">
        <f>IF(O71="","",IF(AND($J$6="On",OR(Attendance!$GB12&gt;0,Attendance!$GF12&gt;0)),MEDIAN(1,O71+(N($AB71)-0.5)*$K$6,20),O71))</f>
        <v/>
      </c>
      <c r="AA71" s="39">
        <f>IF(P71="","",IF(AND($J$6="On",OR(Attendance!$GB12&gt;0,Attendance!$GF12&gt;0)),MEDIAN(1,P71+(N($AB71)-0.5)*$K$6,20),P71))</f>
        <v>8.14</v>
      </c>
      <c r="AB71" s="38">
        <f>IF($C71="","",IFERROR(Attendance!$GN12,""))</f>
        <v>0</v>
      </c>
      <c r="AC71" s="125">
        <f>IF($C71="","",IFERROR('Player Grading'!$AL13,""))</f>
        <v>7.9342592592592593</v>
      </c>
    </row>
    <row r="72" spans="2:29" x14ac:dyDescent="0.45">
      <c r="B72" s="54">
        <f>IF($C72="","",Attendance!$C13)</f>
        <v>9</v>
      </c>
      <c r="C72" s="118" t="str">
        <f>IF(Attendance!$D13="","",Attendance!$D13)</f>
        <v>Tara Brannigan</v>
      </c>
      <c r="D72" s="119" t="str">
        <f>IF($C72="","",'Player Grading'!$D14)</f>
        <v>DM / CM</v>
      </c>
      <c r="E72" s="119" t="str">
        <f>IF($C72="","",IF($E126="",IF(Attendance!$GP13="","Yes",Attendance!$GP13),IF($E126="Available","Yes","No")))</f>
        <v>No</v>
      </c>
      <c r="F72" s="120" t="str">
        <f>IF($C72="","",IF($E126="",Attendance!$GQ13&amp;"",IF($E126="Available","",$E126&amp;IF($F126="",""," - "&amp;$F126)&amp;IF($I126="",""," (back "&amp;TEXT($I126,"d mmm")&amp;")"))))</f>
        <v>Absent</v>
      </c>
      <c r="G72" s="31" t="str" cm="1">
        <f t="array" ref="G72">IF($C72="","",IF(NOT(ISNUMBER(SEARCH(" GK "," "&amp;SUBSTITUTE($D72,"/"," ")&amp;" "))),"",IFERROR(SUMPRODUCT('Player Grading'!$E14:$AF14,$C$104:$AD$104)/SUMPRODUCT(($C$104:$AD$104)*('Player Grading'!$E14:$AF14&lt;&gt;"")),"")))</f>
        <v/>
      </c>
      <c r="H72" s="31" t="str" cm="1">
        <f t="array" ref="H72">IF($C72="","",IF(NOT(ISNUMBER(SEARCH(" RB "," "&amp;SUBSTITUTE($D72,"/"," ")&amp;" "))),"",IFERROR(SUMPRODUCT('Player Grading'!$E14:$AF14,$C$105:$AD$105)/SUMPRODUCT(($C$105:$AD$105)*('Player Grading'!$E14:$AF14&lt;&gt;"")),"")))</f>
        <v/>
      </c>
      <c r="I72" s="31" t="str" cm="1">
        <f t="array" ref="I72">IF($C72="","",IF(NOT(ISNUMBER(SEARCH(" CB "," "&amp;SUBSTITUTE($D72,"/"," ")&amp;" "))),"",IFERROR(SUMPRODUCT('Player Grading'!$E14:$AF14,$C$106:$AD$106)/SUMPRODUCT(($C$106:$AD$106)*('Player Grading'!$E14:$AF14&lt;&gt;"")),"")))</f>
        <v/>
      </c>
      <c r="J72" s="31" t="str" cm="1">
        <f t="array" ref="J72">IF($C72="","",IF(NOT(ISNUMBER(SEARCH(" LB "," "&amp;SUBSTITUTE($D72,"/"," ")&amp;" "))),"",IFERROR(SUMPRODUCT('Player Grading'!$E14:$AF14,$C$107:$AD$107)/SUMPRODUCT(($C$107:$AD$107)*('Player Grading'!$E14:$AF14&lt;&gt;"")),"")))</f>
        <v/>
      </c>
      <c r="K72" s="31" cm="1">
        <f t="array" ref="K72">IF($C72="","",IF(NOT(ISNUMBER(SEARCH(" DM "," "&amp;SUBSTITUTE($D72,"/"," ")&amp;" "))),"",IFERROR(SUMPRODUCT('Player Grading'!$E14:$AF14,$C$108:$AD$108)/SUMPRODUCT(($C$108:$AD$108)*('Player Grading'!$E14:$AF14&lt;&gt;"")),"")))</f>
        <v>11.755555555555556</v>
      </c>
      <c r="L72" s="31" cm="1">
        <f t="array" ref="L72">IF($C72="","",IF(NOT(ISNUMBER(SEARCH(" CM "," "&amp;SUBSTITUTE($D72,"/"," ")&amp;" "))),"",IFERROR(SUMPRODUCT('Player Grading'!$E14:$AF14,$C$109:$AD$109)/SUMPRODUCT(($C$109:$AD$109)*('Player Grading'!$E14:$AF14&lt;&gt;"")),"")))</f>
        <v>10.857142857142858</v>
      </c>
      <c r="M72" s="31" t="str" cm="1">
        <f t="array" ref="M72">IF($C72="","",IF(NOT(ISNUMBER(SEARCH(" ACM "," "&amp;SUBSTITUTE($D72,"/"," ")&amp;" "))),"",IFERROR(SUMPRODUCT('Player Grading'!$E14:$AF14,$C$110:$AD$110)/SUMPRODUCT(($C$110:$AD$110)*('Player Grading'!$E14:$AF14&lt;&gt;"")),"")))</f>
        <v/>
      </c>
      <c r="N72" s="31" t="str" cm="1">
        <f t="array" ref="N72">IF($C72="","",IF(NOT(ISNUMBER(SEARCH(" RW "," "&amp;SUBSTITUTE($D72,"/"," ")&amp;" "))),"",IFERROR(SUMPRODUCT('Player Grading'!$E14:$AF14,$C$111:$AD$111)/SUMPRODUCT(($C$111:$AD$111)*('Player Grading'!$E14:$AF14&lt;&gt;"")),"")))</f>
        <v/>
      </c>
      <c r="O72" s="31" t="str" cm="1">
        <f t="array" ref="O72">IF($C72="","",IF(NOT(ISNUMBER(SEARCH(" LW "," "&amp;SUBSTITUTE($D72,"/"," ")&amp;" "))),"",IFERROR(SUMPRODUCT('Player Grading'!$E14:$AF14,$C$112:$AD$112)/SUMPRODUCT(($C$112:$AD$112)*('Player Grading'!$E14:$AF14&lt;&gt;"")),"")))</f>
        <v/>
      </c>
      <c r="P72" s="31" t="str" cm="1">
        <f t="array" ref="P72">IF($C72="","",IF(NOT(ISNUMBER(SEARCH(" ST "," "&amp;SUBSTITUTE($D72,"/"," ")&amp;" "))),"",IFERROR(SUMPRODUCT('Player Grading'!$E14:$AF14,$C$113:$AD$113)/SUMPRODUCT(($C$113:$AD$113)*('Player Grading'!$E14:$AF14&lt;&gt;"")),"")))</f>
        <v/>
      </c>
      <c r="Q72" s="119"/>
      <c r="R72" s="31" t="str">
        <f>IF(G72="","",IF(AND($J$6="On",OR(Attendance!$GB13&gt;0,Attendance!$GF13&gt;0)),MEDIAN(1,G72+(N($AB72)-0.5)*$K$6,20),G72))</f>
        <v/>
      </c>
      <c r="S72" s="31" t="str">
        <f>IF(H72="","",IF(AND($J$6="On",OR(Attendance!$GB13&gt;0,Attendance!$GF13&gt;0)),MEDIAN(1,H72+(N($AB72)-0.5)*$K$6,20),H72))</f>
        <v/>
      </c>
      <c r="T72" s="31" t="str">
        <f>IF(I72="","",IF(AND($J$6="On",OR(Attendance!$GB13&gt;0,Attendance!$GF13&gt;0)),MEDIAN(1,I72+(N($AB72)-0.5)*$K$6,20),I72))</f>
        <v/>
      </c>
      <c r="U72" s="31" t="str">
        <f>IF(J72="","",IF(AND($J$6="On",OR(Attendance!$GB13&gt;0,Attendance!$GF13&gt;0)),MEDIAN(1,J72+(N($AB72)-0.5)*$K$6,20),J72))</f>
        <v/>
      </c>
      <c r="V72" s="31">
        <f>IF(K72="","",IF(AND($J$6="On",OR(Attendance!$GB13&gt;0,Attendance!$GF13&gt;0)),MEDIAN(1,K72+(N($AB72)-0.5)*$K$6,20),K72))</f>
        <v>11.755555555555556</v>
      </c>
      <c r="W72" s="31">
        <f>IF(L72="","",IF(AND($J$6="On",OR(Attendance!$GB13&gt;0,Attendance!$GF13&gt;0)),MEDIAN(1,L72+(N($AB72)-0.5)*$K$6,20),L72))</f>
        <v>10.857142857142858</v>
      </c>
      <c r="X72" s="31" t="str">
        <f>IF(M72="","",IF(AND($J$6="On",OR(Attendance!$GB13&gt;0,Attendance!$GF13&gt;0)),MEDIAN(1,M72+(N($AB72)-0.5)*$K$6,20),M72))</f>
        <v/>
      </c>
      <c r="Y72" s="31" t="str">
        <f>IF(N72="","",IF(AND($J$6="On",OR(Attendance!$GB13&gt;0,Attendance!$GF13&gt;0)),MEDIAN(1,N72+(N($AB72)-0.5)*$K$6,20),N72))</f>
        <v/>
      </c>
      <c r="Z72" s="31" t="str">
        <f>IF(O72="","",IF(AND($J$6="On",OR(Attendance!$GB13&gt;0,Attendance!$GF13&gt;0)),MEDIAN(1,O72+(N($AB72)-0.5)*$K$6,20),O72))</f>
        <v/>
      </c>
      <c r="AA72" s="31" t="str">
        <f>IF(P72="","",IF(AND($J$6="On",OR(Attendance!$GB13&gt;0,Attendance!$GF13&gt;0)),MEDIAN(1,P72+(N($AB72)-0.5)*$K$6,20),P72))</f>
        <v/>
      </c>
      <c r="AB72" s="30">
        <f>IF($C72="","",IFERROR(Attendance!$GN13,""))</f>
        <v>0</v>
      </c>
      <c r="AC72" s="121">
        <f>IF($C72="","",IFERROR('Player Grading'!$AL14,""))</f>
        <v>10.669444444444446</v>
      </c>
    </row>
    <row r="73" spans="2:29" x14ac:dyDescent="0.45">
      <c r="B73" s="60">
        <f>IF($C73="","",Attendance!$C14)</f>
        <v>10</v>
      </c>
      <c r="C73" s="122" t="str">
        <f>IF(Attendance!$D14="","",Attendance!$D14)</f>
        <v>Semilore Adesanya</v>
      </c>
      <c r="D73" s="123" t="str">
        <f>IF($C73="","",'Player Grading'!$D15)</f>
        <v>CB / CM</v>
      </c>
      <c r="E73" s="123" t="str">
        <f>IF($C73="","",IF($E127="",IF(Attendance!$GP14="","Yes",Attendance!$GP14),IF($E127="Available","Yes","No")))</f>
        <v>Yes</v>
      </c>
      <c r="F73" s="124" t="str">
        <f>IF($C73="","",IF($E127="",Attendance!$GQ14&amp;"",IF($E127="Available","",$E127&amp;IF($F127="",""," - "&amp;$F127)&amp;IF($I127="",""," (back "&amp;TEXT($I127,"d mmm")&amp;")"))))</f>
        <v/>
      </c>
      <c r="G73" s="39" t="str" cm="1">
        <f t="array" ref="G73">IF($C73="","",IF(NOT(ISNUMBER(SEARCH(" GK "," "&amp;SUBSTITUTE($D73,"/"," ")&amp;" "))),"",IFERROR(SUMPRODUCT('Player Grading'!$E15:$AF15,$C$104:$AD$104)/SUMPRODUCT(($C$104:$AD$104)*('Player Grading'!$E15:$AF15&lt;&gt;"")),"")))</f>
        <v/>
      </c>
      <c r="H73" s="39" t="str" cm="1">
        <f t="array" ref="H73">IF($C73="","",IF(NOT(ISNUMBER(SEARCH(" RB "," "&amp;SUBSTITUTE($D73,"/"," ")&amp;" "))),"",IFERROR(SUMPRODUCT('Player Grading'!$E15:$AF15,$C$105:$AD$105)/SUMPRODUCT(($C$105:$AD$105)*('Player Grading'!$E15:$AF15&lt;&gt;"")),"")))</f>
        <v/>
      </c>
      <c r="I73" s="39" cm="1">
        <f t="array" ref="I73">IF($C73="","",IF(NOT(ISNUMBER(SEARCH(" CB "," "&amp;SUBSTITUTE($D73,"/"," ")&amp;" "))),"",IFERROR(SUMPRODUCT('Player Grading'!$E15:$AF15,$C$106:$AD$106)/SUMPRODUCT(($C$106:$AD$106)*('Player Grading'!$E15:$AF15&lt;&gt;"")),"")))</f>
        <v>12.195121951219512</v>
      </c>
      <c r="J73" s="39" t="str" cm="1">
        <f t="array" ref="J73">IF($C73="","",IF(NOT(ISNUMBER(SEARCH(" LB "," "&amp;SUBSTITUTE($D73,"/"," ")&amp;" "))),"",IFERROR(SUMPRODUCT('Player Grading'!$E15:$AF15,$C$107:$AD$107)/SUMPRODUCT(($C$107:$AD$107)*('Player Grading'!$E15:$AF15&lt;&gt;"")),"")))</f>
        <v/>
      </c>
      <c r="K73" s="39" t="str" cm="1">
        <f t="array" ref="K73">IF($C73="","",IF(NOT(ISNUMBER(SEARCH(" DM "," "&amp;SUBSTITUTE($D73,"/"," ")&amp;" "))),"",IFERROR(SUMPRODUCT('Player Grading'!$E15:$AF15,$C$108:$AD$108)/SUMPRODUCT(($C$108:$AD$108)*('Player Grading'!$E15:$AF15&lt;&gt;"")),"")))</f>
        <v/>
      </c>
      <c r="L73" s="39" cm="1">
        <f t="array" ref="L73">IF($C73="","",IF(NOT(ISNUMBER(SEARCH(" CM "," "&amp;SUBSTITUTE($D73,"/"," ")&amp;" "))),"",IFERROR(SUMPRODUCT('Player Grading'!$E15:$AF15,$C$109:$AD$109)/SUMPRODUCT(($C$109:$AD$109)*('Player Grading'!$E15:$AF15&lt;&gt;"")),"")))</f>
        <v>10.693877551020408</v>
      </c>
      <c r="M73" s="39" t="str" cm="1">
        <f t="array" ref="M73">IF($C73="","",IF(NOT(ISNUMBER(SEARCH(" ACM "," "&amp;SUBSTITUTE($D73,"/"," ")&amp;" "))),"",IFERROR(SUMPRODUCT('Player Grading'!$E15:$AF15,$C$110:$AD$110)/SUMPRODUCT(($C$110:$AD$110)*('Player Grading'!$E15:$AF15&lt;&gt;"")),"")))</f>
        <v/>
      </c>
      <c r="N73" s="39" t="str" cm="1">
        <f t="array" ref="N73">IF($C73="","",IF(NOT(ISNUMBER(SEARCH(" RW "," "&amp;SUBSTITUTE($D73,"/"," ")&amp;" "))),"",IFERROR(SUMPRODUCT('Player Grading'!$E15:$AF15,$C$111:$AD$111)/SUMPRODUCT(($C$111:$AD$111)*('Player Grading'!$E15:$AF15&lt;&gt;"")),"")))</f>
        <v/>
      </c>
      <c r="O73" s="39" t="str" cm="1">
        <f t="array" ref="O73">IF($C73="","",IF(NOT(ISNUMBER(SEARCH(" LW "," "&amp;SUBSTITUTE($D73,"/"," ")&amp;" "))),"",IFERROR(SUMPRODUCT('Player Grading'!$E15:$AF15,$C$112:$AD$112)/SUMPRODUCT(($C$112:$AD$112)*('Player Grading'!$E15:$AF15&lt;&gt;"")),"")))</f>
        <v/>
      </c>
      <c r="P73" s="39" t="str" cm="1">
        <f t="array" ref="P73">IF($C73="","",IF(NOT(ISNUMBER(SEARCH(" ST "," "&amp;SUBSTITUTE($D73,"/"," ")&amp;" "))),"",IFERROR(SUMPRODUCT('Player Grading'!$E15:$AF15,$C$113:$AD$113)/SUMPRODUCT(($C$113:$AD$113)*('Player Grading'!$E15:$AF15&lt;&gt;"")),"")))</f>
        <v/>
      </c>
      <c r="Q73" s="123"/>
      <c r="R73" s="39" t="str">
        <f>IF(G73="","",IF(AND($J$6="On",OR(Attendance!$GB14&gt;0,Attendance!$GF14&gt;0)),MEDIAN(1,G73+(N($AB73)-0.5)*$K$6,20),G73))</f>
        <v/>
      </c>
      <c r="S73" s="39" t="str">
        <f>IF(H73="","",IF(AND($J$6="On",OR(Attendance!$GB14&gt;0,Attendance!$GF14&gt;0)),MEDIAN(1,H73+(N($AB73)-0.5)*$K$6,20),H73))</f>
        <v/>
      </c>
      <c r="T73" s="39">
        <f>IF(I73="","",IF(AND($J$6="On",OR(Attendance!$GB14&gt;0,Attendance!$GF14&gt;0)),MEDIAN(1,I73+(N($AB73)-0.5)*$K$6,20),I73))</f>
        <v>12.195121951219512</v>
      </c>
      <c r="U73" s="39" t="str">
        <f>IF(J73="","",IF(AND($J$6="On",OR(Attendance!$GB14&gt;0,Attendance!$GF14&gt;0)),MEDIAN(1,J73+(N($AB73)-0.5)*$K$6,20),J73))</f>
        <v/>
      </c>
      <c r="V73" s="39" t="str">
        <f>IF(K73="","",IF(AND($J$6="On",OR(Attendance!$GB14&gt;0,Attendance!$GF14&gt;0)),MEDIAN(1,K73+(N($AB73)-0.5)*$K$6,20),K73))</f>
        <v/>
      </c>
      <c r="W73" s="39">
        <f>IF(L73="","",IF(AND($J$6="On",OR(Attendance!$GB14&gt;0,Attendance!$GF14&gt;0)),MEDIAN(1,L73+(N($AB73)-0.5)*$K$6,20),L73))</f>
        <v>10.693877551020408</v>
      </c>
      <c r="X73" s="39" t="str">
        <f>IF(M73="","",IF(AND($J$6="On",OR(Attendance!$GB14&gt;0,Attendance!$GF14&gt;0)),MEDIAN(1,M73+(N($AB73)-0.5)*$K$6,20),M73))</f>
        <v/>
      </c>
      <c r="Y73" s="39" t="str">
        <f>IF(N73="","",IF(AND($J$6="On",OR(Attendance!$GB14&gt;0,Attendance!$GF14&gt;0)),MEDIAN(1,N73+(N($AB73)-0.5)*$K$6,20),N73))</f>
        <v/>
      </c>
      <c r="Z73" s="39" t="str">
        <f>IF(O73="","",IF(AND($J$6="On",OR(Attendance!$GB14&gt;0,Attendance!$GF14&gt;0)),MEDIAN(1,O73+(N($AB73)-0.5)*$K$6,20),O73))</f>
        <v/>
      </c>
      <c r="AA73" s="39" t="str">
        <f>IF(P73="","",IF(AND($J$6="On",OR(Attendance!$GB14&gt;0,Attendance!$GF14&gt;0)),MEDIAN(1,P73+(N($AB73)-0.5)*$K$6,20),P73))</f>
        <v/>
      </c>
      <c r="AB73" s="38">
        <f>IF($C73="","",IFERROR(Attendance!$GN14,""))</f>
        <v>0</v>
      </c>
      <c r="AC73" s="125">
        <f>IF($C73="","",IFERROR('Player Grading'!$AL15,""))</f>
        <v>10.478703703703703</v>
      </c>
    </row>
    <row r="74" spans="2:29" x14ac:dyDescent="0.45">
      <c r="B74" s="54">
        <f>IF($C74="","",Attendance!$C15)</f>
        <v>11</v>
      </c>
      <c r="C74" s="118" t="str">
        <f>IF(Attendance!$D15="","",Attendance!$D15)</f>
        <v>Hannah Fleming</v>
      </c>
      <c r="D74" s="119" t="str">
        <f>IF($C74="","",'Player Grading'!$D16)</f>
        <v>LB / LW</v>
      </c>
      <c r="E74" s="119" t="str">
        <f>IF($C74="","",IF($E128="",IF(Attendance!$GP15="","Yes",Attendance!$GP15),IF($E128="Available","Yes","No")))</f>
        <v>Yes</v>
      </c>
      <c r="F74" s="120" t="str">
        <f>IF($C74="","",IF($E128="",Attendance!$GQ15&amp;"",IF($E128="Available","",$E128&amp;IF($F128="",""," - "&amp;$F128)&amp;IF($I128="",""," (back "&amp;TEXT($I128,"d mmm")&amp;")"))))</f>
        <v/>
      </c>
      <c r="G74" s="31" t="str" cm="1">
        <f t="array" ref="G74">IF($C74="","",IF(NOT(ISNUMBER(SEARCH(" GK "," "&amp;SUBSTITUTE($D74,"/"," ")&amp;" "))),"",IFERROR(SUMPRODUCT('Player Grading'!$E16:$AF16,$C$104:$AD$104)/SUMPRODUCT(($C$104:$AD$104)*('Player Grading'!$E16:$AF16&lt;&gt;"")),"")))</f>
        <v/>
      </c>
      <c r="H74" s="31" t="str" cm="1">
        <f t="array" ref="H74">IF($C74="","",IF(NOT(ISNUMBER(SEARCH(" RB "," "&amp;SUBSTITUTE($D74,"/"," ")&amp;" "))),"",IFERROR(SUMPRODUCT('Player Grading'!$E16:$AF16,$C$105:$AD$105)/SUMPRODUCT(($C$105:$AD$105)*('Player Grading'!$E16:$AF16&lt;&gt;"")),"")))</f>
        <v/>
      </c>
      <c r="I74" s="31" t="str" cm="1">
        <f t="array" ref="I74">IF($C74="","",IF(NOT(ISNUMBER(SEARCH(" CB "," "&amp;SUBSTITUTE($D74,"/"," ")&amp;" "))),"",IFERROR(SUMPRODUCT('Player Grading'!$E16:$AF16,$C$106:$AD$106)/SUMPRODUCT(($C$106:$AD$106)*('Player Grading'!$E16:$AF16&lt;&gt;"")),"")))</f>
        <v/>
      </c>
      <c r="J74" s="31" cm="1">
        <f t="array" ref="J74">IF($C74="","",IF(NOT(ISNUMBER(SEARCH(" LB "," "&amp;SUBSTITUTE($D74,"/"," ")&amp;" "))),"",IFERROR(SUMPRODUCT('Player Grading'!$E16:$AF16,$C$107:$AD$107)/SUMPRODUCT(($C$107:$AD$107)*('Player Grading'!$E16:$AF16&lt;&gt;"")),"")))</f>
        <v>10.488888888888889</v>
      </c>
      <c r="K74" s="31" t="str" cm="1">
        <f t="array" ref="K74">IF($C74="","",IF(NOT(ISNUMBER(SEARCH(" DM "," "&amp;SUBSTITUTE($D74,"/"," ")&amp;" "))),"",IFERROR(SUMPRODUCT('Player Grading'!$E16:$AF16,$C$108:$AD$108)/SUMPRODUCT(($C$108:$AD$108)*('Player Grading'!$E16:$AF16&lt;&gt;"")),"")))</f>
        <v/>
      </c>
      <c r="L74" s="31" t="str" cm="1">
        <f t="array" ref="L74">IF($C74="","",IF(NOT(ISNUMBER(SEARCH(" CM "," "&amp;SUBSTITUTE($D74,"/"," ")&amp;" "))),"",IFERROR(SUMPRODUCT('Player Grading'!$E16:$AF16,$C$109:$AD$109)/SUMPRODUCT(($C$109:$AD$109)*('Player Grading'!$E16:$AF16&lt;&gt;"")),"")))</f>
        <v/>
      </c>
      <c r="M74" s="31" t="str" cm="1">
        <f t="array" ref="M74">IF($C74="","",IF(NOT(ISNUMBER(SEARCH(" ACM "," "&amp;SUBSTITUTE($D74,"/"," ")&amp;" "))),"",IFERROR(SUMPRODUCT('Player Grading'!$E16:$AF16,$C$110:$AD$110)/SUMPRODUCT(($C$110:$AD$110)*('Player Grading'!$E16:$AF16&lt;&gt;"")),"")))</f>
        <v/>
      </c>
      <c r="N74" s="31" t="str" cm="1">
        <f t="array" ref="N74">IF($C74="","",IF(NOT(ISNUMBER(SEARCH(" RW "," "&amp;SUBSTITUTE($D74,"/"," ")&amp;" "))),"",IFERROR(SUMPRODUCT('Player Grading'!$E16:$AF16,$C$111:$AD$111)/SUMPRODUCT(($C$111:$AD$111)*('Player Grading'!$E16:$AF16&lt;&gt;"")),"")))</f>
        <v/>
      </c>
      <c r="O74" s="31" cm="1">
        <f t="array" ref="O74">IF($C74="","",IF(NOT(ISNUMBER(SEARCH(" LW "," "&amp;SUBSTITUTE($D74,"/"," ")&amp;" "))),"",IFERROR(SUMPRODUCT('Player Grading'!$E16:$AF16,$C$112:$AD$112)/SUMPRODUCT(($C$112:$AD$112)*('Player Grading'!$E16:$AF16&lt;&gt;"")),"")))</f>
        <v>10.333333333333334</v>
      </c>
      <c r="P74" s="31" t="str" cm="1">
        <f t="array" ref="P74">IF($C74="","",IF(NOT(ISNUMBER(SEARCH(" ST "," "&amp;SUBSTITUTE($D74,"/"," ")&amp;" "))),"",IFERROR(SUMPRODUCT('Player Grading'!$E16:$AF16,$C$113:$AD$113)/SUMPRODUCT(($C$113:$AD$113)*('Player Grading'!$E16:$AF16&lt;&gt;"")),"")))</f>
        <v/>
      </c>
      <c r="Q74" s="119"/>
      <c r="R74" s="31" t="str">
        <f>IF(G74="","",IF(AND($J$6="On",OR(Attendance!$GB15&gt;0,Attendance!$GF15&gt;0)),MEDIAN(1,G74+(N($AB74)-0.5)*$K$6,20),G74))</f>
        <v/>
      </c>
      <c r="S74" s="31" t="str">
        <f>IF(H74="","",IF(AND($J$6="On",OR(Attendance!$GB15&gt;0,Attendance!$GF15&gt;0)),MEDIAN(1,H74+(N($AB74)-0.5)*$K$6,20),H74))</f>
        <v/>
      </c>
      <c r="T74" s="31" t="str">
        <f>IF(I74="","",IF(AND($J$6="On",OR(Attendance!$GB15&gt;0,Attendance!$GF15&gt;0)),MEDIAN(1,I74+(N($AB74)-0.5)*$K$6,20),I74))</f>
        <v/>
      </c>
      <c r="U74" s="31">
        <f>IF(J74="","",IF(AND($J$6="On",OR(Attendance!$GB15&gt;0,Attendance!$GF15&gt;0)),MEDIAN(1,J74+(N($AB74)-0.5)*$K$6,20),J74))</f>
        <v>10.488888888888889</v>
      </c>
      <c r="V74" s="31" t="str">
        <f>IF(K74="","",IF(AND($J$6="On",OR(Attendance!$GB15&gt;0,Attendance!$GF15&gt;0)),MEDIAN(1,K74+(N($AB74)-0.5)*$K$6,20),K74))</f>
        <v/>
      </c>
      <c r="W74" s="31" t="str">
        <f>IF(L74="","",IF(AND($J$6="On",OR(Attendance!$GB15&gt;0,Attendance!$GF15&gt;0)),MEDIAN(1,L74+(N($AB74)-0.5)*$K$6,20),L74))</f>
        <v/>
      </c>
      <c r="X74" s="31" t="str">
        <f>IF(M74="","",IF(AND($J$6="On",OR(Attendance!$GB15&gt;0,Attendance!$GF15&gt;0)),MEDIAN(1,M74+(N($AB74)-0.5)*$K$6,20),M74))</f>
        <v/>
      </c>
      <c r="Y74" s="31" t="str">
        <f>IF(N74="","",IF(AND($J$6="On",OR(Attendance!$GB15&gt;0,Attendance!$GF15&gt;0)),MEDIAN(1,N74+(N($AB74)-0.5)*$K$6,20),N74))</f>
        <v/>
      </c>
      <c r="Z74" s="31">
        <f>IF(O74="","",IF(AND($J$6="On",OR(Attendance!$GB15&gt;0,Attendance!$GF15&gt;0)),MEDIAN(1,O74+(N($AB74)-0.5)*$K$6,20),O74))</f>
        <v>10.333333333333334</v>
      </c>
      <c r="AA74" s="31" t="str">
        <f>IF(P74="","",IF(AND($J$6="On",OR(Attendance!$GB15&gt;0,Attendance!$GF15&gt;0)),MEDIAN(1,P74+(N($AB74)-0.5)*$K$6,20),P74))</f>
        <v/>
      </c>
      <c r="AB74" s="30">
        <f>IF($C74="","",IFERROR(Attendance!$GN15,""))</f>
        <v>0</v>
      </c>
      <c r="AC74" s="121">
        <f>IF($C74="","",IFERROR('Player Grading'!$AL16,""))</f>
        <v>10.1</v>
      </c>
    </row>
    <row r="75" spans="2:29" x14ac:dyDescent="0.45">
      <c r="B75" s="60">
        <f>IF($C75="","",Attendance!$C16)</f>
        <v>12</v>
      </c>
      <c r="C75" s="122" t="str">
        <f>IF(Attendance!$D16="","",Attendance!$D16)</f>
        <v>Emma Kelly</v>
      </c>
      <c r="D75" s="123" t="str">
        <f>IF($C75="","",'Player Grading'!$D17)</f>
        <v>CB</v>
      </c>
      <c r="E75" s="123" t="str">
        <f>IF($C75="","",IF($E129="",IF(Attendance!$GP16="","Yes",Attendance!$GP16),IF($E129="Available","Yes","No")))</f>
        <v>Yes</v>
      </c>
      <c r="F75" s="124" t="str">
        <f>IF($C75="","",IF($E129="",Attendance!$GQ16&amp;"",IF($E129="Available","",$E129&amp;IF($F129="",""," - "&amp;$F129)&amp;IF($I129="",""," (back "&amp;TEXT($I129,"d mmm")&amp;")"))))</f>
        <v/>
      </c>
      <c r="G75" s="39" t="str" cm="1">
        <f t="array" ref="G75">IF($C75="","",IF(NOT(ISNUMBER(SEARCH(" GK "," "&amp;SUBSTITUTE($D75,"/"," ")&amp;" "))),"",IFERROR(SUMPRODUCT('Player Grading'!$E17:$AF17,$C$104:$AD$104)/SUMPRODUCT(($C$104:$AD$104)*('Player Grading'!$E17:$AF17&lt;&gt;"")),"")))</f>
        <v/>
      </c>
      <c r="H75" s="39" t="str" cm="1">
        <f t="array" ref="H75">IF($C75="","",IF(NOT(ISNUMBER(SEARCH(" RB "," "&amp;SUBSTITUTE($D75,"/"," ")&amp;" "))),"",IFERROR(SUMPRODUCT('Player Grading'!$E17:$AF17,$C$105:$AD$105)/SUMPRODUCT(($C$105:$AD$105)*('Player Grading'!$E17:$AF17&lt;&gt;"")),"")))</f>
        <v/>
      </c>
      <c r="I75" s="39" cm="1">
        <f t="array" ref="I75">IF($C75="","",IF(NOT(ISNUMBER(SEARCH(" CB "," "&amp;SUBSTITUTE($D75,"/"," ")&amp;" "))),"",IFERROR(SUMPRODUCT('Player Grading'!$E17:$AF17,$C$106:$AD$106)/SUMPRODUCT(($C$106:$AD$106)*('Player Grading'!$E17:$AF17&lt;&gt;"")),"")))</f>
        <v>12.780487804878049</v>
      </c>
      <c r="J75" s="39" t="str" cm="1">
        <f t="array" ref="J75">IF($C75="","",IF(NOT(ISNUMBER(SEARCH(" LB "," "&amp;SUBSTITUTE($D75,"/"," ")&amp;" "))),"",IFERROR(SUMPRODUCT('Player Grading'!$E17:$AF17,$C$107:$AD$107)/SUMPRODUCT(($C$107:$AD$107)*('Player Grading'!$E17:$AF17&lt;&gt;"")),"")))</f>
        <v/>
      </c>
      <c r="K75" s="39" t="str" cm="1">
        <f t="array" ref="K75">IF($C75="","",IF(NOT(ISNUMBER(SEARCH(" DM "," "&amp;SUBSTITUTE($D75,"/"," ")&amp;" "))),"",IFERROR(SUMPRODUCT('Player Grading'!$E17:$AF17,$C$108:$AD$108)/SUMPRODUCT(($C$108:$AD$108)*('Player Grading'!$E17:$AF17&lt;&gt;"")),"")))</f>
        <v/>
      </c>
      <c r="L75" s="39" t="str" cm="1">
        <f t="array" ref="L75">IF($C75="","",IF(NOT(ISNUMBER(SEARCH(" CM "," "&amp;SUBSTITUTE($D75,"/"," ")&amp;" "))),"",IFERROR(SUMPRODUCT('Player Grading'!$E17:$AF17,$C$109:$AD$109)/SUMPRODUCT(($C$109:$AD$109)*('Player Grading'!$E17:$AF17&lt;&gt;"")),"")))</f>
        <v/>
      </c>
      <c r="M75" s="39" t="str" cm="1">
        <f t="array" ref="M75">IF($C75="","",IF(NOT(ISNUMBER(SEARCH(" ACM "," "&amp;SUBSTITUTE($D75,"/"," ")&amp;" "))),"",IFERROR(SUMPRODUCT('Player Grading'!$E17:$AF17,$C$110:$AD$110)/SUMPRODUCT(($C$110:$AD$110)*('Player Grading'!$E17:$AF17&lt;&gt;"")),"")))</f>
        <v/>
      </c>
      <c r="N75" s="39" t="str" cm="1">
        <f t="array" ref="N75">IF($C75="","",IF(NOT(ISNUMBER(SEARCH(" RW "," "&amp;SUBSTITUTE($D75,"/"," ")&amp;" "))),"",IFERROR(SUMPRODUCT('Player Grading'!$E17:$AF17,$C$111:$AD$111)/SUMPRODUCT(($C$111:$AD$111)*('Player Grading'!$E17:$AF17&lt;&gt;"")),"")))</f>
        <v/>
      </c>
      <c r="O75" s="39" t="str" cm="1">
        <f t="array" ref="O75">IF($C75="","",IF(NOT(ISNUMBER(SEARCH(" LW "," "&amp;SUBSTITUTE($D75,"/"," ")&amp;" "))),"",IFERROR(SUMPRODUCT('Player Grading'!$E17:$AF17,$C$112:$AD$112)/SUMPRODUCT(($C$112:$AD$112)*('Player Grading'!$E17:$AF17&lt;&gt;"")),"")))</f>
        <v/>
      </c>
      <c r="P75" s="39" t="str" cm="1">
        <f t="array" ref="P75">IF($C75="","",IF(NOT(ISNUMBER(SEARCH(" ST "," "&amp;SUBSTITUTE($D75,"/"," ")&amp;" "))),"",IFERROR(SUMPRODUCT('Player Grading'!$E17:$AF17,$C$113:$AD$113)/SUMPRODUCT(($C$113:$AD$113)*('Player Grading'!$E17:$AF17&lt;&gt;"")),"")))</f>
        <v/>
      </c>
      <c r="Q75" s="123"/>
      <c r="R75" s="39" t="str">
        <f>IF(G75="","",IF(AND($J$6="On",OR(Attendance!$GB16&gt;0,Attendance!$GF16&gt;0)),MEDIAN(1,G75+(N($AB75)-0.5)*$K$6,20),G75))</f>
        <v/>
      </c>
      <c r="S75" s="39" t="str">
        <f>IF(H75="","",IF(AND($J$6="On",OR(Attendance!$GB16&gt;0,Attendance!$GF16&gt;0)),MEDIAN(1,H75+(N($AB75)-0.5)*$K$6,20),H75))</f>
        <v/>
      </c>
      <c r="T75" s="39">
        <f>IF(I75="","",IF(AND($J$6="On",OR(Attendance!$GB16&gt;0,Attendance!$GF16&gt;0)),MEDIAN(1,I75+(N($AB75)-0.5)*$K$6,20),I75))</f>
        <v>12.780487804878049</v>
      </c>
      <c r="U75" s="39" t="str">
        <f>IF(J75="","",IF(AND($J$6="On",OR(Attendance!$GB16&gt;0,Attendance!$GF16&gt;0)),MEDIAN(1,J75+(N($AB75)-0.5)*$K$6,20),J75))</f>
        <v/>
      </c>
      <c r="V75" s="39" t="str">
        <f>IF(K75="","",IF(AND($J$6="On",OR(Attendance!$GB16&gt;0,Attendance!$GF16&gt;0)),MEDIAN(1,K75+(N($AB75)-0.5)*$K$6,20),K75))</f>
        <v/>
      </c>
      <c r="W75" s="39" t="str">
        <f>IF(L75="","",IF(AND($J$6="On",OR(Attendance!$GB16&gt;0,Attendance!$GF16&gt;0)),MEDIAN(1,L75+(N($AB75)-0.5)*$K$6,20),L75))</f>
        <v/>
      </c>
      <c r="X75" s="39" t="str">
        <f>IF(M75="","",IF(AND($J$6="On",OR(Attendance!$GB16&gt;0,Attendance!$GF16&gt;0)),MEDIAN(1,M75+(N($AB75)-0.5)*$K$6,20),M75))</f>
        <v/>
      </c>
      <c r="Y75" s="39" t="str">
        <f>IF(N75="","",IF(AND($J$6="On",OR(Attendance!$GB16&gt;0,Attendance!$GF16&gt;0)),MEDIAN(1,N75+(N($AB75)-0.5)*$K$6,20),N75))</f>
        <v/>
      </c>
      <c r="Z75" s="39" t="str">
        <f>IF(O75="","",IF(AND($J$6="On",OR(Attendance!$GB16&gt;0,Attendance!$GF16&gt;0)),MEDIAN(1,O75+(N($AB75)-0.5)*$K$6,20),O75))</f>
        <v/>
      </c>
      <c r="AA75" s="39" t="str">
        <f>IF(P75="","",IF(AND($J$6="On",OR(Attendance!$GB16&gt;0,Attendance!$GF16&gt;0)),MEDIAN(1,P75+(N($AB75)-0.5)*$K$6,20),P75))</f>
        <v/>
      </c>
      <c r="AB75" s="38">
        <f>IF($C75="","",IFERROR(Attendance!$GN16,""))</f>
        <v>0</v>
      </c>
      <c r="AC75" s="125">
        <f>IF($C75="","",IFERROR('Player Grading'!$AL17,""))</f>
        <v>11.184259259259258</v>
      </c>
    </row>
    <row r="76" spans="2:29" x14ac:dyDescent="0.45">
      <c r="B76" s="54">
        <f>IF($C76="","",Attendance!$C17)</f>
        <v>13</v>
      </c>
      <c r="C76" s="118" t="str">
        <f>IF(Attendance!$D17="","",Attendance!$D17)</f>
        <v>Roma Memon</v>
      </c>
      <c r="D76" s="119" t="str">
        <f>IF($C76="","",'Player Grading'!$D18)</f>
        <v>DM / CM</v>
      </c>
      <c r="E76" s="119" t="str">
        <f>IF($C76="","",IF($E130="",IF(Attendance!$GP17="","Yes",Attendance!$GP17),IF($E130="Available","Yes","No")))</f>
        <v>Yes</v>
      </c>
      <c r="F76" s="120" t="str">
        <f>IF($C76="","",IF($E130="",Attendance!$GQ17&amp;"",IF($E130="Available","",$E130&amp;IF($F130="",""," - "&amp;$F130)&amp;IF($I130="",""," (back "&amp;TEXT($I130,"d mmm")&amp;")"))))</f>
        <v/>
      </c>
      <c r="G76" s="31" t="str" cm="1">
        <f t="array" ref="G76">IF($C76="","",IF(NOT(ISNUMBER(SEARCH(" GK "," "&amp;SUBSTITUTE($D76,"/"," ")&amp;" "))),"",IFERROR(SUMPRODUCT('Player Grading'!$E18:$AF18,$C$104:$AD$104)/SUMPRODUCT(($C$104:$AD$104)*('Player Grading'!$E18:$AF18&lt;&gt;"")),"")))</f>
        <v/>
      </c>
      <c r="H76" s="31" t="str" cm="1">
        <f t="array" ref="H76">IF($C76="","",IF(NOT(ISNUMBER(SEARCH(" RB "," "&amp;SUBSTITUTE($D76,"/"," ")&amp;" "))),"",IFERROR(SUMPRODUCT('Player Grading'!$E18:$AF18,$C$105:$AD$105)/SUMPRODUCT(($C$105:$AD$105)*('Player Grading'!$E18:$AF18&lt;&gt;"")),"")))</f>
        <v/>
      </c>
      <c r="I76" s="31" t="str" cm="1">
        <f t="array" ref="I76">IF($C76="","",IF(NOT(ISNUMBER(SEARCH(" CB "," "&amp;SUBSTITUTE($D76,"/"," ")&amp;" "))),"",IFERROR(SUMPRODUCT('Player Grading'!$E18:$AF18,$C$106:$AD$106)/SUMPRODUCT(($C$106:$AD$106)*('Player Grading'!$E18:$AF18&lt;&gt;"")),"")))</f>
        <v/>
      </c>
      <c r="J76" s="31" t="str" cm="1">
        <f t="array" ref="J76">IF($C76="","",IF(NOT(ISNUMBER(SEARCH(" LB "," "&amp;SUBSTITUTE($D76,"/"," ")&amp;" "))),"",IFERROR(SUMPRODUCT('Player Grading'!$E18:$AF18,$C$107:$AD$107)/SUMPRODUCT(($C$107:$AD$107)*('Player Grading'!$E18:$AF18&lt;&gt;"")),"")))</f>
        <v/>
      </c>
      <c r="K76" s="31" cm="1">
        <f t="array" ref="K76">IF($C76="","",IF(NOT(ISNUMBER(SEARCH(" DM "," "&amp;SUBSTITUTE($D76,"/"," ")&amp;" "))),"",IFERROR(SUMPRODUCT('Player Grading'!$E18:$AF18,$C$108:$AD$108)/SUMPRODUCT(($C$108:$AD$108)*('Player Grading'!$E18:$AF18&lt;&gt;"")),"")))</f>
        <v>8.9777777777777779</v>
      </c>
      <c r="L76" s="31" cm="1">
        <f t="array" ref="L76">IF($C76="","",IF(NOT(ISNUMBER(SEARCH(" CM "," "&amp;SUBSTITUTE($D76,"/"," ")&amp;" "))),"",IFERROR(SUMPRODUCT('Player Grading'!$E18:$AF18,$C$109:$AD$109)/SUMPRODUCT(($C$109:$AD$109)*('Player Grading'!$E18:$AF18&lt;&gt;"")),"")))</f>
        <v>7.8979591836734695</v>
      </c>
      <c r="M76" s="31" t="str" cm="1">
        <f t="array" ref="M76">IF($C76="","",IF(NOT(ISNUMBER(SEARCH(" ACM "," "&amp;SUBSTITUTE($D76,"/"," ")&amp;" "))),"",IFERROR(SUMPRODUCT('Player Grading'!$E18:$AF18,$C$110:$AD$110)/SUMPRODUCT(($C$110:$AD$110)*('Player Grading'!$E18:$AF18&lt;&gt;"")),"")))</f>
        <v/>
      </c>
      <c r="N76" s="31" t="str" cm="1">
        <f t="array" ref="N76">IF($C76="","",IF(NOT(ISNUMBER(SEARCH(" RW "," "&amp;SUBSTITUTE($D76,"/"," ")&amp;" "))),"",IFERROR(SUMPRODUCT('Player Grading'!$E18:$AF18,$C$111:$AD$111)/SUMPRODUCT(($C$111:$AD$111)*('Player Grading'!$E18:$AF18&lt;&gt;"")),"")))</f>
        <v/>
      </c>
      <c r="O76" s="31" t="str" cm="1">
        <f t="array" ref="O76">IF($C76="","",IF(NOT(ISNUMBER(SEARCH(" LW "," "&amp;SUBSTITUTE($D76,"/"," ")&amp;" "))),"",IFERROR(SUMPRODUCT('Player Grading'!$E18:$AF18,$C$112:$AD$112)/SUMPRODUCT(($C$112:$AD$112)*('Player Grading'!$E18:$AF18&lt;&gt;"")),"")))</f>
        <v/>
      </c>
      <c r="P76" s="31" t="str" cm="1">
        <f t="array" ref="P76">IF($C76="","",IF(NOT(ISNUMBER(SEARCH(" ST "," "&amp;SUBSTITUTE($D76,"/"," ")&amp;" "))),"",IFERROR(SUMPRODUCT('Player Grading'!$E18:$AF18,$C$113:$AD$113)/SUMPRODUCT(($C$113:$AD$113)*('Player Grading'!$E18:$AF18&lt;&gt;"")),"")))</f>
        <v/>
      </c>
      <c r="Q76" s="119"/>
      <c r="R76" s="31" t="str">
        <f>IF(G76="","",IF(AND($J$6="On",OR(Attendance!$GB17&gt;0,Attendance!$GF17&gt;0)),MEDIAN(1,G76+(N($AB76)-0.5)*$K$6,20),G76))</f>
        <v/>
      </c>
      <c r="S76" s="31" t="str">
        <f>IF(H76="","",IF(AND($J$6="On",OR(Attendance!$GB17&gt;0,Attendance!$GF17&gt;0)),MEDIAN(1,H76+(N($AB76)-0.5)*$K$6,20),H76))</f>
        <v/>
      </c>
      <c r="T76" s="31" t="str">
        <f>IF(I76="","",IF(AND($J$6="On",OR(Attendance!$GB17&gt;0,Attendance!$GF17&gt;0)),MEDIAN(1,I76+(N($AB76)-0.5)*$K$6,20),I76))</f>
        <v/>
      </c>
      <c r="U76" s="31" t="str">
        <f>IF(J76="","",IF(AND($J$6="On",OR(Attendance!$GB17&gt;0,Attendance!$GF17&gt;0)),MEDIAN(1,J76+(N($AB76)-0.5)*$K$6,20),J76))</f>
        <v/>
      </c>
      <c r="V76" s="31">
        <f>IF(K76="","",IF(AND($J$6="On",OR(Attendance!$GB17&gt;0,Attendance!$GF17&gt;0)),MEDIAN(1,K76+(N($AB76)-0.5)*$K$6,20),K76))</f>
        <v>8.9777777777777779</v>
      </c>
      <c r="W76" s="31">
        <f>IF(L76="","",IF(AND($J$6="On",OR(Attendance!$GB17&gt;0,Attendance!$GF17&gt;0)),MEDIAN(1,L76+(N($AB76)-0.5)*$K$6,20),L76))</f>
        <v>7.8979591836734695</v>
      </c>
      <c r="X76" s="31" t="str">
        <f>IF(M76="","",IF(AND($J$6="On",OR(Attendance!$GB17&gt;0,Attendance!$GF17&gt;0)),MEDIAN(1,M76+(N($AB76)-0.5)*$K$6,20),M76))</f>
        <v/>
      </c>
      <c r="Y76" s="31" t="str">
        <f>IF(N76="","",IF(AND($J$6="On",OR(Attendance!$GB17&gt;0,Attendance!$GF17&gt;0)),MEDIAN(1,N76+(N($AB76)-0.5)*$K$6,20),N76))</f>
        <v/>
      </c>
      <c r="Z76" s="31" t="str">
        <f>IF(O76="","",IF(AND($J$6="On",OR(Attendance!$GB17&gt;0,Attendance!$GF17&gt;0)),MEDIAN(1,O76+(N($AB76)-0.5)*$K$6,20),O76))</f>
        <v/>
      </c>
      <c r="AA76" s="31" t="str">
        <f>IF(P76="","",IF(AND($J$6="On",OR(Attendance!$GB17&gt;0,Attendance!$GF17&gt;0)),MEDIAN(1,P76+(N($AB76)-0.5)*$K$6,20),P76))</f>
        <v/>
      </c>
      <c r="AB76" s="30">
        <f>IF($C76="","",IFERROR(Attendance!$GN17,""))</f>
        <v>0</v>
      </c>
      <c r="AC76" s="121">
        <f>IF($C76="","",IFERROR('Player Grading'!$AL18,""))</f>
        <v>7.8138888888888891</v>
      </c>
    </row>
    <row r="77" spans="2:29" x14ac:dyDescent="0.45">
      <c r="B77" s="60">
        <f>IF($C77="","",Attendance!$C18)</f>
        <v>14</v>
      </c>
      <c r="C77" s="122" t="str">
        <f>IF(Attendance!$D18="","",Attendance!$D18)</f>
        <v>Emma Dromgoole</v>
      </c>
      <c r="D77" s="123" t="str">
        <f>IF($C77="","",'Player Grading'!$D19)</f>
        <v>RW / ST</v>
      </c>
      <c r="E77" s="123" t="str">
        <f>IF($C77="","",IF($E131="",IF(Attendance!$GP18="","Yes",Attendance!$GP18),IF($E131="Available","Yes","No")))</f>
        <v>Yes</v>
      </c>
      <c r="F77" s="124" t="str">
        <f>IF($C77="","",IF($E131="",Attendance!$GQ18&amp;"",IF($E131="Available","",$E131&amp;IF($F131="",""," - "&amp;$F131)&amp;IF($I131="",""," (back "&amp;TEXT($I131,"d mmm")&amp;")"))))</f>
        <v/>
      </c>
      <c r="G77" s="39" t="str" cm="1">
        <f t="array" ref="G77">IF($C77="","",IF(NOT(ISNUMBER(SEARCH(" GK "," "&amp;SUBSTITUTE($D77,"/"," ")&amp;" "))),"",IFERROR(SUMPRODUCT('Player Grading'!$E19:$AF19,$C$104:$AD$104)/SUMPRODUCT(($C$104:$AD$104)*('Player Grading'!$E19:$AF19&lt;&gt;"")),"")))</f>
        <v/>
      </c>
      <c r="H77" s="39" t="str" cm="1">
        <f t="array" ref="H77">IF($C77="","",IF(NOT(ISNUMBER(SEARCH(" RB "," "&amp;SUBSTITUTE($D77,"/"," ")&amp;" "))),"",IFERROR(SUMPRODUCT('Player Grading'!$E19:$AF19,$C$105:$AD$105)/SUMPRODUCT(($C$105:$AD$105)*('Player Grading'!$E19:$AF19&lt;&gt;"")),"")))</f>
        <v/>
      </c>
      <c r="I77" s="39" t="str" cm="1">
        <f t="array" ref="I77">IF($C77="","",IF(NOT(ISNUMBER(SEARCH(" CB "," "&amp;SUBSTITUTE($D77,"/"," ")&amp;" "))),"",IFERROR(SUMPRODUCT('Player Grading'!$E19:$AF19,$C$106:$AD$106)/SUMPRODUCT(($C$106:$AD$106)*('Player Grading'!$E19:$AF19&lt;&gt;"")),"")))</f>
        <v/>
      </c>
      <c r="J77" s="39" t="str" cm="1">
        <f t="array" ref="J77">IF($C77="","",IF(NOT(ISNUMBER(SEARCH(" LB "," "&amp;SUBSTITUTE($D77,"/"," ")&amp;" "))),"",IFERROR(SUMPRODUCT('Player Grading'!$E19:$AF19,$C$107:$AD$107)/SUMPRODUCT(($C$107:$AD$107)*('Player Grading'!$E19:$AF19&lt;&gt;"")),"")))</f>
        <v/>
      </c>
      <c r="K77" s="39" t="str" cm="1">
        <f t="array" ref="K77">IF($C77="","",IF(NOT(ISNUMBER(SEARCH(" DM "," "&amp;SUBSTITUTE($D77,"/"," ")&amp;" "))),"",IFERROR(SUMPRODUCT('Player Grading'!$E19:$AF19,$C$108:$AD$108)/SUMPRODUCT(($C$108:$AD$108)*('Player Grading'!$E19:$AF19&lt;&gt;"")),"")))</f>
        <v/>
      </c>
      <c r="L77" s="39" t="str" cm="1">
        <f t="array" ref="L77">IF($C77="","",IF(NOT(ISNUMBER(SEARCH(" CM "," "&amp;SUBSTITUTE($D77,"/"," ")&amp;" "))),"",IFERROR(SUMPRODUCT('Player Grading'!$E19:$AF19,$C$109:$AD$109)/SUMPRODUCT(($C$109:$AD$109)*('Player Grading'!$E19:$AF19&lt;&gt;"")),"")))</f>
        <v/>
      </c>
      <c r="M77" s="39" t="str" cm="1">
        <f t="array" ref="M77">IF($C77="","",IF(NOT(ISNUMBER(SEARCH(" ACM "," "&amp;SUBSTITUTE($D77,"/"," ")&amp;" "))),"",IFERROR(SUMPRODUCT('Player Grading'!$E19:$AF19,$C$110:$AD$110)/SUMPRODUCT(($C$110:$AD$110)*('Player Grading'!$E19:$AF19&lt;&gt;"")),"")))</f>
        <v/>
      </c>
      <c r="N77" s="39" cm="1">
        <f t="array" ref="N77">IF($C77="","",IF(NOT(ISNUMBER(SEARCH(" RW "," "&amp;SUBSTITUTE($D77,"/"," ")&amp;" "))),"",IFERROR(SUMPRODUCT('Player Grading'!$E19:$AF19,$C$111:$AD$111)/SUMPRODUCT(($C$111:$AD$111)*('Player Grading'!$E19:$AF19&lt;&gt;"")),"")))</f>
        <v>9.5111111111111111</v>
      </c>
      <c r="O77" s="39" t="str" cm="1">
        <f t="array" ref="O77">IF($C77="","",IF(NOT(ISNUMBER(SEARCH(" LW "," "&amp;SUBSTITUTE($D77,"/"," ")&amp;" "))),"",IFERROR(SUMPRODUCT('Player Grading'!$E19:$AF19,$C$112:$AD$112)/SUMPRODUCT(($C$112:$AD$112)*('Player Grading'!$E19:$AF19&lt;&gt;"")),"")))</f>
        <v/>
      </c>
      <c r="P77" s="39" cm="1">
        <f t="array" ref="P77">IF($C77="","",IF(NOT(ISNUMBER(SEARCH(" ST "," "&amp;SUBSTITUTE($D77,"/"," ")&amp;" "))),"",IFERROR(SUMPRODUCT('Player Grading'!$E19:$AF19,$C$113:$AD$113)/SUMPRODUCT(($C$113:$AD$113)*('Player Grading'!$E19:$AF19&lt;&gt;"")),"")))</f>
        <v>9.64</v>
      </c>
      <c r="Q77" s="123"/>
      <c r="R77" s="39" t="str">
        <f>IF(G77="","",IF(AND($J$6="On",OR(Attendance!$GB18&gt;0,Attendance!$GF18&gt;0)),MEDIAN(1,G77+(N($AB77)-0.5)*$K$6,20),G77))</f>
        <v/>
      </c>
      <c r="S77" s="39" t="str">
        <f>IF(H77="","",IF(AND($J$6="On",OR(Attendance!$GB18&gt;0,Attendance!$GF18&gt;0)),MEDIAN(1,H77+(N($AB77)-0.5)*$K$6,20),H77))</f>
        <v/>
      </c>
      <c r="T77" s="39" t="str">
        <f>IF(I77="","",IF(AND($J$6="On",OR(Attendance!$GB18&gt;0,Attendance!$GF18&gt;0)),MEDIAN(1,I77+(N($AB77)-0.5)*$K$6,20),I77))</f>
        <v/>
      </c>
      <c r="U77" s="39" t="str">
        <f>IF(J77="","",IF(AND($J$6="On",OR(Attendance!$GB18&gt;0,Attendance!$GF18&gt;0)),MEDIAN(1,J77+(N($AB77)-0.5)*$K$6,20),J77))</f>
        <v/>
      </c>
      <c r="V77" s="39" t="str">
        <f>IF(K77="","",IF(AND($J$6="On",OR(Attendance!$GB18&gt;0,Attendance!$GF18&gt;0)),MEDIAN(1,K77+(N($AB77)-0.5)*$K$6,20),K77))</f>
        <v/>
      </c>
      <c r="W77" s="39" t="str">
        <f>IF(L77="","",IF(AND($J$6="On",OR(Attendance!$GB18&gt;0,Attendance!$GF18&gt;0)),MEDIAN(1,L77+(N($AB77)-0.5)*$K$6,20),L77))</f>
        <v/>
      </c>
      <c r="X77" s="39" t="str">
        <f>IF(M77="","",IF(AND($J$6="On",OR(Attendance!$GB18&gt;0,Attendance!$GF18&gt;0)),MEDIAN(1,M77+(N($AB77)-0.5)*$K$6,20),M77))</f>
        <v/>
      </c>
      <c r="Y77" s="39">
        <f>IF(N77="","",IF(AND($J$6="On",OR(Attendance!$GB18&gt;0,Attendance!$GF18&gt;0)),MEDIAN(1,N77+(N($AB77)-0.5)*$K$6,20),N77))</f>
        <v>9.5111111111111111</v>
      </c>
      <c r="Z77" s="39" t="str">
        <f>IF(O77="","",IF(AND($J$6="On",OR(Attendance!$GB18&gt;0,Attendance!$GF18&gt;0)),MEDIAN(1,O77+(N($AB77)-0.5)*$K$6,20),O77))</f>
        <v/>
      </c>
      <c r="AA77" s="39">
        <f>IF(P77="","",IF(AND($J$6="On",OR(Attendance!$GB18&gt;0,Attendance!$GF18&gt;0)),MEDIAN(1,P77+(N($AB77)-0.5)*$K$6,20),P77))</f>
        <v>9.64</v>
      </c>
      <c r="AB77" s="38">
        <f>IF($C77="","",IFERROR(Attendance!$GN18,""))</f>
        <v>0</v>
      </c>
      <c r="AC77" s="125">
        <f>IF($C77="","",IFERROR('Player Grading'!$AL19,""))</f>
        <v>9.2175925925925934</v>
      </c>
    </row>
    <row r="78" spans="2:29" x14ac:dyDescent="0.45">
      <c r="B78" s="54">
        <f>IF($C78="","",Attendance!$C19)</f>
        <v>15</v>
      </c>
      <c r="C78" s="118" t="str">
        <f>IF(Attendance!$D19="","",Attendance!$D19)</f>
        <v>Elsie Morrison</v>
      </c>
      <c r="D78" s="119" t="str">
        <f>IF($C78="","",'Player Grading'!$D20)</f>
        <v>LW / ST / GK</v>
      </c>
      <c r="E78" s="119" t="str">
        <f>IF($C78="","",IF($E132="",IF(Attendance!$GP19="","Yes",Attendance!$GP19),IF($E132="Available","Yes","No")))</f>
        <v>Yes</v>
      </c>
      <c r="F78" s="120" t="str">
        <f>IF($C78="","",IF($E132="",Attendance!$GQ19&amp;"",IF($E132="Available","",$E132&amp;IF($F132="",""," - "&amp;$F132)&amp;IF($I132="",""," (back "&amp;TEXT($I132,"d mmm")&amp;")"))))</f>
        <v/>
      </c>
      <c r="G78" s="31" cm="1">
        <f t="array" ref="G78">IF($C78="","",IF(NOT(ISNUMBER(SEARCH(" GK "," "&amp;SUBSTITUTE($D78,"/"," ")&amp;" "))),"",IFERROR(SUMPRODUCT('Player Grading'!$E20:$AF20,$C$104:$AD$104)/SUMPRODUCT(($C$104:$AD$104)*('Player Grading'!$E20:$AF20&lt;&gt;"")),"")))</f>
        <v>9.9090909090909083</v>
      </c>
      <c r="H78" s="31" t="str" cm="1">
        <f t="array" ref="H78">IF($C78="","",IF(NOT(ISNUMBER(SEARCH(" RB "," "&amp;SUBSTITUTE($D78,"/"," ")&amp;" "))),"",IFERROR(SUMPRODUCT('Player Grading'!$E20:$AF20,$C$105:$AD$105)/SUMPRODUCT(($C$105:$AD$105)*('Player Grading'!$E20:$AF20&lt;&gt;"")),"")))</f>
        <v/>
      </c>
      <c r="I78" s="31" t="str" cm="1">
        <f t="array" ref="I78">IF($C78="","",IF(NOT(ISNUMBER(SEARCH(" CB "," "&amp;SUBSTITUTE($D78,"/"," ")&amp;" "))),"",IFERROR(SUMPRODUCT('Player Grading'!$E20:$AF20,$C$106:$AD$106)/SUMPRODUCT(($C$106:$AD$106)*('Player Grading'!$E20:$AF20&lt;&gt;"")),"")))</f>
        <v/>
      </c>
      <c r="J78" s="31" t="str" cm="1">
        <f t="array" ref="J78">IF($C78="","",IF(NOT(ISNUMBER(SEARCH(" LB "," "&amp;SUBSTITUTE($D78,"/"," ")&amp;" "))),"",IFERROR(SUMPRODUCT('Player Grading'!$E20:$AF20,$C$107:$AD$107)/SUMPRODUCT(($C$107:$AD$107)*('Player Grading'!$E20:$AF20&lt;&gt;"")),"")))</f>
        <v/>
      </c>
      <c r="K78" s="31" t="str" cm="1">
        <f t="array" ref="K78">IF($C78="","",IF(NOT(ISNUMBER(SEARCH(" DM "," "&amp;SUBSTITUTE($D78,"/"," ")&amp;" "))),"",IFERROR(SUMPRODUCT('Player Grading'!$E20:$AF20,$C$108:$AD$108)/SUMPRODUCT(($C$108:$AD$108)*('Player Grading'!$E20:$AF20&lt;&gt;"")),"")))</f>
        <v/>
      </c>
      <c r="L78" s="31" t="str" cm="1">
        <f t="array" ref="L78">IF($C78="","",IF(NOT(ISNUMBER(SEARCH(" CM "," "&amp;SUBSTITUTE($D78,"/"," ")&amp;" "))),"",IFERROR(SUMPRODUCT('Player Grading'!$E20:$AF20,$C$109:$AD$109)/SUMPRODUCT(($C$109:$AD$109)*('Player Grading'!$E20:$AF20&lt;&gt;"")),"")))</f>
        <v/>
      </c>
      <c r="M78" s="31" t="str" cm="1">
        <f t="array" ref="M78">IF($C78="","",IF(NOT(ISNUMBER(SEARCH(" ACM "," "&amp;SUBSTITUTE($D78,"/"," ")&amp;" "))),"",IFERROR(SUMPRODUCT('Player Grading'!$E20:$AF20,$C$110:$AD$110)/SUMPRODUCT(($C$110:$AD$110)*('Player Grading'!$E20:$AF20&lt;&gt;"")),"")))</f>
        <v/>
      </c>
      <c r="N78" s="31" t="str" cm="1">
        <f t="array" ref="N78">IF($C78="","",IF(NOT(ISNUMBER(SEARCH(" RW "," "&amp;SUBSTITUTE($D78,"/"," ")&amp;" "))),"",IFERROR(SUMPRODUCT('Player Grading'!$E20:$AF20,$C$111:$AD$111)/SUMPRODUCT(($C$111:$AD$111)*('Player Grading'!$E20:$AF20&lt;&gt;"")),"")))</f>
        <v/>
      </c>
      <c r="O78" s="31" cm="1">
        <f t="array" ref="O78">IF($C78="","",IF(NOT(ISNUMBER(SEARCH(" LW "," "&amp;SUBSTITUTE($D78,"/"," ")&amp;" "))),"",IFERROR(SUMPRODUCT('Player Grading'!$E20:$AF20,$C$112:$AD$112)/SUMPRODUCT(($C$112:$AD$112)*('Player Grading'!$E20:$AF20&lt;&gt;"")),"")))</f>
        <v>10.266666666666667</v>
      </c>
      <c r="P78" s="31" cm="1">
        <f t="array" ref="P78">IF($C78="","",IF(NOT(ISNUMBER(SEARCH(" ST "," "&amp;SUBSTITUTE($D78,"/"," ")&amp;" "))),"",IFERROR(SUMPRODUCT('Player Grading'!$E20:$AF20,$C$113:$AD$113)/SUMPRODUCT(($C$113:$AD$113)*('Player Grading'!$E20:$AF20&lt;&gt;"")),"")))</f>
        <v>9.9600000000000009</v>
      </c>
      <c r="Q78" s="119"/>
      <c r="R78" s="31">
        <f>IF(G78="","",IF(AND($J$6="On",OR(Attendance!$GB19&gt;0,Attendance!$GF19&gt;0)),MEDIAN(1,G78+(N($AB78)-0.5)*$K$6,20),G78))</f>
        <v>9.9090909090909083</v>
      </c>
      <c r="S78" s="31" t="str">
        <f>IF(H78="","",IF(AND($J$6="On",OR(Attendance!$GB19&gt;0,Attendance!$GF19&gt;0)),MEDIAN(1,H78+(N($AB78)-0.5)*$K$6,20),H78))</f>
        <v/>
      </c>
      <c r="T78" s="31" t="str">
        <f>IF(I78="","",IF(AND($J$6="On",OR(Attendance!$GB19&gt;0,Attendance!$GF19&gt;0)),MEDIAN(1,I78+(N($AB78)-0.5)*$K$6,20),I78))</f>
        <v/>
      </c>
      <c r="U78" s="31" t="str">
        <f>IF(J78="","",IF(AND($J$6="On",OR(Attendance!$GB19&gt;0,Attendance!$GF19&gt;0)),MEDIAN(1,J78+(N($AB78)-0.5)*$K$6,20),J78))</f>
        <v/>
      </c>
      <c r="V78" s="31" t="str">
        <f>IF(K78="","",IF(AND($J$6="On",OR(Attendance!$GB19&gt;0,Attendance!$GF19&gt;0)),MEDIAN(1,K78+(N($AB78)-0.5)*$K$6,20),K78))</f>
        <v/>
      </c>
      <c r="W78" s="31" t="str">
        <f>IF(L78="","",IF(AND($J$6="On",OR(Attendance!$GB19&gt;0,Attendance!$GF19&gt;0)),MEDIAN(1,L78+(N($AB78)-0.5)*$K$6,20),L78))</f>
        <v/>
      </c>
      <c r="X78" s="31" t="str">
        <f>IF(M78="","",IF(AND($J$6="On",OR(Attendance!$GB19&gt;0,Attendance!$GF19&gt;0)),MEDIAN(1,M78+(N($AB78)-0.5)*$K$6,20),M78))</f>
        <v/>
      </c>
      <c r="Y78" s="31" t="str">
        <f>IF(N78="","",IF(AND($J$6="On",OR(Attendance!$GB19&gt;0,Attendance!$GF19&gt;0)),MEDIAN(1,N78+(N($AB78)-0.5)*$K$6,20),N78))</f>
        <v/>
      </c>
      <c r="Z78" s="31">
        <f>IF(O78="","",IF(AND($J$6="On",OR(Attendance!$GB19&gt;0,Attendance!$GF19&gt;0)),MEDIAN(1,O78+(N($AB78)-0.5)*$K$6,20),O78))</f>
        <v>10.266666666666667</v>
      </c>
      <c r="AA78" s="31">
        <f>IF(P78="","",IF(AND($J$6="On",OR(Attendance!$GB19&gt;0,Attendance!$GF19&gt;0)),MEDIAN(1,P78+(N($AB78)-0.5)*$K$6,20),P78))</f>
        <v>9.9600000000000009</v>
      </c>
      <c r="AB78" s="30">
        <f>IF($C78="","",IFERROR(Attendance!$GN19,""))</f>
        <v>0</v>
      </c>
      <c r="AC78" s="121">
        <f>IF($C78="","",IFERROR('Player Grading'!$AL20,""))</f>
        <v>9.6694444444444443</v>
      </c>
    </row>
    <row r="79" spans="2:29" x14ac:dyDescent="0.45">
      <c r="B79" s="60">
        <f>IF($C79="","",Attendance!$C20)</f>
        <v>16</v>
      </c>
      <c r="C79" s="122" t="str">
        <f>IF(Attendance!$D20="","",Attendance!$D20)</f>
        <v>Zara Freeman</v>
      </c>
      <c r="D79" s="123" t="str">
        <f>IF($C79="","",'Player Grading'!$D21)</f>
        <v xml:space="preserve">ST </v>
      </c>
      <c r="E79" s="123" t="str">
        <f>IF($C79="","",IF($E133="",IF(Attendance!$GP20="","Yes",Attendance!$GP20),IF($E133="Available","Yes","No")))</f>
        <v>Yes</v>
      </c>
      <c r="F79" s="124" t="str">
        <f>IF($C79="","",IF($E133="",Attendance!$GQ20&amp;"",IF($E133="Available","",$E133&amp;IF($F133="",""," - "&amp;$F133)&amp;IF($I133="",""," (back "&amp;TEXT($I133,"d mmm")&amp;")"))))</f>
        <v/>
      </c>
      <c r="G79" s="39" t="str" cm="1">
        <f t="array" ref="G79">IF($C79="","",IF(NOT(ISNUMBER(SEARCH(" GK "," "&amp;SUBSTITUTE($D79,"/"," ")&amp;" "))),"",IFERROR(SUMPRODUCT('Player Grading'!$E21:$AF21,$C$104:$AD$104)/SUMPRODUCT(($C$104:$AD$104)*('Player Grading'!$E21:$AF21&lt;&gt;"")),"")))</f>
        <v/>
      </c>
      <c r="H79" s="39" t="str" cm="1">
        <f t="array" ref="H79">IF($C79="","",IF(NOT(ISNUMBER(SEARCH(" RB "," "&amp;SUBSTITUTE($D79,"/"," ")&amp;" "))),"",IFERROR(SUMPRODUCT('Player Grading'!$E21:$AF21,$C$105:$AD$105)/SUMPRODUCT(($C$105:$AD$105)*('Player Grading'!$E21:$AF21&lt;&gt;"")),"")))</f>
        <v/>
      </c>
      <c r="I79" s="39" t="str" cm="1">
        <f t="array" ref="I79">IF($C79="","",IF(NOT(ISNUMBER(SEARCH(" CB "," "&amp;SUBSTITUTE($D79,"/"," ")&amp;" "))),"",IFERROR(SUMPRODUCT('Player Grading'!$E21:$AF21,$C$106:$AD$106)/SUMPRODUCT(($C$106:$AD$106)*('Player Grading'!$E21:$AF21&lt;&gt;"")),"")))</f>
        <v/>
      </c>
      <c r="J79" s="39" t="str" cm="1">
        <f t="array" ref="J79">IF($C79="","",IF(NOT(ISNUMBER(SEARCH(" LB "," "&amp;SUBSTITUTE($D79,"/"," ")&amp;" "))),"",IFERROR(SUMPRODUCT('Player Grading'!$E21:$AF21,$C$107:$AD$107)/SUMPRODUCT(($C$107:$AD$107)*('Player Grading'!$E21:$AF21&lt;&gt;"")),"")))</f>
        <v/>
      </c>
      <c r="K79" s="39" t="str" cm="1">
        <f t="array" ref="K79">IF($C79="","",IF(NOT(ISNUMBER(SEARCH(" DM "," "&amp;SUBSTITUTE($D79,"/"," ")&amp;" "))),"",IFERROR(SUMPRODUCT('Player Grading'!$E21:$AF21,$C$108:$AD$108)/SUMPRODUCT(($C$108:$AD$108)*('Player Grading'!$E21:$AF21&lt;&gt;"")),"")))</f>
        <v/>
      </c>
      <c r="L79" s="39" t="str" cm="1">
        <f t="array" ref="L79">IF($C79="","",IF(NOT(ISNUMBER(SEARCH(" CM "," "&amp;SUBSTITUTE($D79,"/"," ")&amp;" "))),"",IFERROR(SUMPRODUCT('Player Grading'!$E21:$AF21,$C$109:$AD$109)/SUMPRODUCT(($C$109:$AD$109)*('Player Grading'!$E21:$AF21&lt;&gt;"")),"")))</f>
        <v/>
      </c>
      <c r="M79" s="39" t="str" cm="1">
        <f t="array" ref="M79">IF($C79="","",IF(NOT(ISNUMBER(SEARCH(" ACM "," "&amp;SUBSTITUTE($D79,"/"," ")&amp;" "))),"",IFERROR(SUMPRODUCT('Player Grading'!$E21:$AF21,$C$110:$AD$110)/SUMPRODUCT(($C$110:$AD$110)*('Player Grading'!$E21:$AF21&lt;&gt;"")),"")))</f>
        <v/>
      </c>
      <c r="N79" s="39" t="str" cm="1">
        <f t="array" ref="N79">IF($C79="","",IF(NOT(ISNUMBER(SEARCH(" RW "," "&amp;SUBSTITUTE($D79,"/"," ")&amp;" "))),"",IFERROR(SUMPRODUCT('Player Grading'!$E21:$AF21,$C$111:$AD$111)/SUMPRODUCT(($C$111:$AD$111)*('Player Grading'!$E21:$AF21&lt;&gt;"")),"")))</f>
        <v/>
      </c>
      <c r="O79" s="39" t="str" cm="1">
        <f t="array" ref="O79">IF($C79="","",IF(NOT(ISNUMBER(SEARCH(" LW "," "&amp;SUBSTITUTE($D79,"/"," ")&amp;" "))),"",IFERROR(SUMPRODUCT('Player Grading'!$E21:$AF21,$C$112:$AD$112)/SUMPRODUCT(($C$112:$AD$112)*('Player Grading'!$E21:$AF21&lt;&gt;"")),"")))</f>
        <v/>
      </c>
      <c r="P79" s="39" cm="1">
        <f t="array" ref="P79">IF($C79="","",IF(NOT(ISNUMBER(SEARCH(" ST "," "&amp;SUBSTITUTE($D79,"/"," ")&amp;" "))),"",IFERROR(SUMPRODUCT('Player Grading'!$E21:$AF21,$C$113:$AD$113)/SUMPRODUCT(($C$113:$AD$113)*('Player Grading'!$E21:$AF21&lt;&gt;"")),"")))</f>
        <v>11.52</v>
      </c>
      <c r="Q79" s="123"/>
      <c r="R79" s="39" t="str">
        <f>IF(G79="","",IF(AND($J$6="On",OR(Attendance!$GB20&gt;0,Attendance!$GF20&gt;0)),MEDIAN(1,G79+(N($AB79)-0.5)*$K$6,20),G79))</f>
        <v/>
      </c>
      <c r="S79" s="39" t="str">
        <f>IF(H79="","",IF(AND($J$6="On",OR(Attendance!$GB20&gt;0,Attendance!$GF20&gt;0)),MEDIAN(1,H79+(N($AB79)-0.5)*$K$6,20),H79))</f>
        <v/>
      </c>
      <c r="T79" s="39" t="str">
        <f>IF(I79="","",IF(AND($J$6="On",OR(Attendance!$GB20&gt;0,Attendance!$GF20&gt;0)),MEDIAN(1,I79+(N($AB79)-0.5)*$K$6,20),I79))</f>
        <v/>
      </c>
      <c r="U79" s="39" t="str">
        <f>IF(J79="","",IF(AND($J$6="On",OR(Attendance!$GB20&gt;0,Attendance!$GF20&gt;0)),MEDIAN(1,J79+(N($AB79)-0.5)*$K$6,20),J79))</f>
        <v/>
      </c>
      <c r="V79" s="39" t="str">
        <f>IF(K79="","",IF(AND($J$6="On",OR(Attendance!$GB20&gt;0,Attendance!$GF20&gt;0)),MEDIAN(1,K79+(N($AB79)-0.5)*$K$6,20),K79))</f>
        <v/>
      </c>
      <c r="W79" s="39" t="str">
        <f>IF(L79="","",IF(AND($J$6="On",OR(Attendance!$GB20&gt;0,Attendance!$GF20&gt;0)),MEDIAN(1,L79+(N($AB79)-0.5)*$K$6,20),L79))</f>
        <v/>
      </c>
      <c r="X79" s="39" t="str">
        <f>IF(M79="","",IF(AND($J$6="On",OR(Attendance!$GB20&gt;0,Attendance!$GF20&gt;0)),MEDIAN(1,M79+(N($AB79)-0.5)*$K$6,20),M79))</f>
        <v/>
      </c>
      <c r="Y79" s="39" t="str">
        <f>IF(N79="","",IF(AND($J$6="On",OR(Attendance!$GB20&gt;0,Attendance!$GF20&gt;0)),MEDIAN(1,N79+(N($AB79)-0.5)*$K$6,20),N79))</f>
        <v/>
      </c>
      <c r="Z79" s="39" t="str">
        <f>IF(O79="","",IF(AND($J$6="On",OR(Attendance!$GB20&gt;0,Attendance!$GF20&gt;0)),MEDIAN(1,O79+(N($AB79)-0.5)*$K$6,20),O79))</f>
        <v/>
      </c>
      <c r="AA79" s="39">
        <f>IF(P79="","",IF(AND($J$6="On",OR(Attendance!$GB20&gt;0,Attendance!$GF20&gt;0)),MEDIAN(1,P79+(N($AB79)-0.5)*$K$6,20),P79))</f>
        <v>11.52</v>
      </c>
      <c r="AB79" s="38">
        <f>IF($C79="","",IFERROR(Attendance!$GN20,""))</f>
        <v>0</v>
      </c>
      <c r="AC79" s="125">
        <f>IF($C79="","",IFERROR('Player Grading'!$AL21,""))</f>
        <v>10.643518518518519</v>
      </c>
    </row>
    <row r="80" spans="2:29" x14ac:dyDescent="0.45">
      <c r="B80" s="54">
        <f>IF($C80="","",Attendance!$C21)</f>
        <v>17</v>
      </c>
      <c r="C80" s="118" t="str">
        <f>IF(Attendance!$D21="","",Attendance!$D21)</f>
        <v>Marianna</v>
      </c>
      <c r="D80" s="119" t="str">
        <f>IF($C80="","",'Player Grading'!$D22)</f>
        <v>RB / CB</v>
      </c>
      <c r="E80" s="119" t="str">
        <f>IF($C80="","",IF($E134="",IF(Attendance!$GP21="","Yes",Attendance!$GP21),IF($E134="Available","Yes","No")))</f>
        <v>Yes</v>
      </c>
      <c r="F80" s="120" t="str">
        <f>IF($C80="","",IF($E134="",Attendance!$GQ21&amp;"",IF($E134="Available","",$E134&amp;IF($F134="",""," - "&amp;$F134)&amp;IF($I134="",""," (back "&amp;TEXT($I134,"d mmm")&amp;")"))))</f>
        <v/>
      </c>
      <c r="G80" s="31" t="str" cm="1">
        <f t="array" ref="G80">IF($C80="","",IF(NOT(ISNUMBER(SEARCH(" GK "," "&amp;SUBSTITUTE($D80,"/"," ")&amp;" "))),"",IFERROR(SUMPRODUCT('Player Grading'!$E22:$AF22,$C$104:$AD$104)/SUMPRODUCT(($C$104:$AD$104)*('Player Grading'!$E22:$AF22&lt;&gt;"")),"")))</f>
        <v/>
      </c>
      <c r="H80" s="31" cm="1">
        <f t="array" ref="H80">IF($C80="","",IF(NOT(ISNUMBER(SEARCH(" RB "," "&amp;SUBSTITUTE($D80,"/"," ")&amp;" "))),"",IFERROR(SUMPRODUCT('Player Grading'!$E22:$AF22,$C$105:$AD$105)/SUMPRODUCT(($C$105:$AD$105)*('Player Grading'!$E22:$AF22&lt;&gt;"")),"")))</f>
        <v>9.7777777777777786</v>
      </c>
      <c r="I80" s="31" cm="1">
        <f t="array" ref="I80">IF($C80="","",IF(NOT(ISNUMBER(SEARCH(" CB "," "&amp;SUBSTITUTE($D80,"/"," ")&amp;" "))),"",IFERROR(SUMPRODUCT('Player Grading'!$E22:$AF22,$C$106:$AD$106)/SUMPRODUCT(($C$106:$AD$106)*('Player Grading'!$E22:$AF22&lt;&gt;"")),"")))</f>
        <v>11.121951219512194</v>
      </c>
      <c r="J80" s="31" t="str" cm="1">
        <f t="array" ref="J80">IF($C80="","",IF(NOT(ISNUMBER(SEARCH(" LB "," "&amp;SUBSTITUTE($D80,"/"," ")&amp;" "))),"",IFERROR(SUMPRODUCT('Player Grading'!$E22:$AF22,$C$107:$AD$107)/SUMPRODUCT(($C$107:$AD$107)*('Player Grading'!$E22:$AF22&lt;&gt;"")),"")))</f>
        <v/>
      </c>
      <c r="K80" s="31" t="str" cm="1">
        <f t="array" ref="K80">IF($C80="","",IF(NOT(ISNUMBER(SEARCH(" DM "," "&amp;SUBSTITUTE($D80,"/"," ")&amp;" "))),"",IFERROR(SUMPRODUCT('Player Grading'!$E22:$AF22,$C$108:$AD$108)/SUMPRODUCT(($C$108:$AD$108)*('Player Grading'!$E22:$AF22&lt;&gt;"")),"")))</f>
        <v/>
      </c>
      <c r="L80" s="31" t="str" cm="1">
        <f t="array" ref="L80">IF($C80="","",IF(NOT(ISNUMBER(SEARCH(" CM "," "&amp;SUBSTITUTE($D80,"/"," ")&amp;" "))),"",IFERROR(SUMPRODUCT('Player Grading'!$E22:$AF22,$C$109:$AD$109)/SUMPRODUCT(($C$109:$AD$109)*('Player Grading'!$E22:$AF22&lt;&gt;"")),"")))</f>
        <v/>
      </c>
      <c r="M80" s="31" t="str" cm="1">
        <f t="array" ref="M80">IF($C80="","",IF(NOT(ISNUMBER(SEARCH(" ACM "," "&amp;SUBSTITUTE($D80,"/"," ")&amp;" "))),"",IFERROR(SUMPRODUCT('Player Grading'!$E22:$AF22,$C$110:$AD$110)/SUMPRODUCT(($C$110:$AD$110)*('Player Grading'!$E22:$AF22&lt;&gt;"")),"")))</f>
        <v/>
      </c>
      <c r="N80" s="31" t="str" cm="1">
        <f t="array" ref="N80">IF($C80="","",IF(NOT(ISNUMBER(SEARCH(" RW "," "&amp;SUBSTITUTE($D80,"/"," ")&amp;" "))),"",IFERROR(SUMPRODUCT('Player Grading'!$E22:$AF22,$C$111:$AD$111)/SUMPRODUCT(($C$111:$AD$111)*('Player Grading'!$E22:$AF22&lt;&gt;"")),"")))</f>
        <v/>
      </c>
      <c r="O80" s="31" t="str" cm="1">
        <f t="array" ref="O80">IF($C80="","",IF(NOT(ISNUMBER(SEARCH(" LW "," "&amp;SUBSTITUTE($D80,"/"," ")&amp;" "))),"",IFERROR(SUMPRODUCT('Player Grading'!$E22:$AF22,$C$112:$AD$112)/SUMPRODUCT(($C$112:$AD$112)*('Player Grading'!$E22:$AF22&lt;&gt;"")),"")))</f>
        <v/>
      </c>
      <c r="P80" s="31" t="str" cm="1">
        <f t="array" ref="P80">IF($C80="","",IF(NOT(ISNUMBER(SEARCH(" ST "," "&amp;SUBSTITUTE($D80,"/"," ")&amp;" "))),"",IFERROR(SUMPRODUCT('Player Grading'!$E22:$AF22,$C$113:$AD$113)/SUMPRODUCT(($C$113:$AD$113)*('Player Grading'!$E22:$AF22&lt;&gt;"")),"")))</f>
        <v/>
      </c>
      <c r="Q80" s="119"/>
      <c r="R80" s="31" t="str">
        <f>IF(G80="","",IF(AND($J$6="On",OR(Attendance!$GB21&gt;0,Attendance!$GF21&gt;0)),MEDIAN(1,G80+(N($AB80)-0.5)*$K$6,20),G80))</f>
        <v/>
      </c>
      <c r="S80" s="31">
        <f>IF(H80="","",IF(AND($J$6="On",OR(Attendance!$GB21&gt;0,Attendance!$GF21&gt;0)),MEDIAN(1,H80+(N($AB80)-0.5)*$K$6,20),H80))</f>
        <v>9.7777777777777786</v>
      </c>
      <c r="T80" s="31">
        <f>IF(I80="","",IF(AND($J$6="On",OR(Attendance!$GB21&gt;0,Attendance!$GF21&gt;0)),MEDIAN(1,I80+(N($AB80)-0.5)*$K$6,20),I80))</f>
        <v>11.121951219512194</v>
      </c>
      <c r="U80" s="31" t="str">
        <f>IF(J80="","",IF(AND($J$6="On",OR(Attendance!$GB21&gt;0,Attendance!$GF21&gt;0)),MEDIAN(1,J80+(N($AB80)-0.5)*$K$6,20),J80))</f>
        <v/>
      </c>
      <c r="V80" s="31" t="str">
        <f>IF(K80="","",IF(AND($J$6="On",OR(Attendance!$GB21&gt;0,Attendance!$GF21&gt;0)),MEDIAN(1,K80+(N($AB80)-0.5)*$K$6,20),K80))</f>
        <v/>
      </c>
      <c r="W80" s="31" t="str">
        <f>IF(L80="","",IF(AND($J$6="On",OR(Attendance!$GB21&gt;0,Attendance!$GF21&gt;0)),MEDIAN(1,L80+(N($AB80)-0.5)*$K$6,20),L80))</f>
        <v/>
      </c>
      <c r="X80" s="31" t="str">
        <f>IF(M80="","",IF(AND($J$6="On",OR(Attendance!$GB21&gt;0,Attendance!$GF21&gt;0)),MEDIAN(1,M80+(N($AB80)-0.5)*$K$6,20),M80))</f>
        <v/>
      </c>
      <c r="Y80" s="31" t="str">
        <f>IF(N80="","",IF(AND($J$6="On",OR(Attendance!$GB21&gt;0,Attendance!$GF21&gt;0)),MEDIAN(1,N80+(N($AB80)-0.5)*$K$6,20),N80))</f>
        <v/>
      </c>
      <c r="Z80" s="31" t="str">
        <f>IF(O80="","",IF(AND($J$6="On",OR(Attendance!$GB21&gt;0,Attendance!$GF21&gt;0)),MEDIAN(1,O80+(N($AB80)-0.5)*$K$6,20),O80))</f>
        <v/>
      </c>
      <c r="AA80" s="31" t="str">
        <f>IF(P80="","",IF(AND($J$6="On",OR(Attendance!$GB21&gt;0,Attendance!$GF21&gt;0)),MEDIAN(1,P80+(N($AB80)-0.5)*$K$6,20),P80))</f>
        <v/>
      </c>
      <c r="AB80" s="30">
        <f>IF($C80="","",IFERROR(Attendance!$GN21,""))</f>
        <v>0</v>
      </c>
      <c r="AC80" s="121">
        <f>IF($C80="","",IFERROR('Player Grading'!$AL22,""))</f>
        <v>8.7472222222222218</v>
      </c>
    </row>
    <row r="81" spans="2:29" x14ac:dyDescent="0.45">
      <c r="B81" s="60" t="str">
        <f>IF($C81="","",Attendance!$C22)</f>
        <v/>
      </c>
      <c r="C81" s="122" t="str">
        <f>IF(Attendance!$D22="","",Attendance!$D22)</f>
        <v/>
      </c>
      <c r="D81" s="123" t="str">
        <f>IF($C81="","",'Player Grading'!$D23)</f>
        <v/>
      </c>
      <c r="E81" s="123" t="str">
        <f>IF($C81="","",IF($E135="",IF(Attendance!$GP22="","Yes",Attendance!$GP22),IF($E135="Available","Yes","No")))</f>
        <v/>
      </c>
      <c r="F81" s="124" t="str">
        <f>IF($C81="","",IF($E135="",Attendance!$GQ22&amp;"",IF($E135="Available","",$E135&amp;IF($F135="",""," - "&amp;$F135)&amp;IF($I135="",""," (back "&amp;TEXT($I135,"d mmm")&amp;")"))))</f>
        <v/>
      </c>
      <c r="G81" s="39" t="str" cm="1">
        <f t="array" ref="G81">IF($C81="","",IF(NOT(ISNUMBER(SEARCH(" GK "," "&amp;SUBSTITUTE($D81,"/"," ")&amp;" "))),"",IFERROR(SUMPRODUCT('Player Grading'!$E23:$AF23,$C$104:$AD$104)/SUMPRODUCT(($C$104:$AD$104)*('Player Grading'!$E23:$AF23&lt;&gt;"")),"")))</f>
        <v/>
      </c>
      <c r="H81" s="39" t="str" cm="1">
        <f t="array" ref="H81">IF($C81="","",IF(NOT(ISNUMBER(SEARCH(" RB "," "&amp;SUBSTITUTE($D81,"/"," ")&amp;" "))),"",IFERROR(SUMPRODUCT('Player Grading'!$E23:$AF23,$C$105:$AD$105)/SUMPRODUCT(($C$105:$AD$105)*('Player Grading'!$E23:$AF23&lt;&gt;"")),"")))</f>
        <v/>
      </c>
      <c r="I81" s="39" t="str" cm="1">
        <f t="array" ref="I81">IF($C81="","",IF(NOT(ISNUMBER(SEARCH(" CB "," "&amp;SUBSTITUTE($D81,"/"," ")&amp;" "))),"",IFERROR(SUMPRODUCT('Player Grading'!$E23:$AF23,$C$106:$AD$106)/SUMPRODUCT(($C$106:$AD$106)*('Player Grading'!$E23:$AF23&lt;&gt;"")),"")))</f>
        <v/>
      </c>
      <c r="J81" s="39" t="str" cm="1">
        <f t="array" ref="J81">IF($C81="","",IF(NOT(ISNUMBER(SEARCH(" LB "," "&amp;SUBSTITUTE($D81,"/"," ")&amp;" "))),"",IFERROR(SUMPRODUCT('Player Grading'!$E23:$AF23,$C$107:$AD$107)/SUMPRODUCT(($C$107:$AD$107)*('Player Grading'!$E23:$AF23&lt;&gt;"")),"")))</f>
        <v/>
      </c>
      <c r="K81" s="39" t="str" cm="1">
        <f t="array" ref="K81">IF($C81="","",IF(NOT(ISNUMBER(SEARCH(" DM "," "&amp;SUBSTITUTE($D81,"/"," ")&amp;" "))),"",IFERROR(SUMPRODUCT('Player Grading'!$E23:$AF23,$C$108:$AD$108)/SUMPRODUCT(($C$108:$AD$108)*('Player Grading'!$E23:$AF23&lt;&gt;"")),"")))</f>
        <v/>
      </c>
      <c r="L81" s="39" t="str" cm="1">
        <f t="array" ref="L81">IF($C81="","",IF(NOT(ISNUMBER(SEARCH(" CM "," "&amp;SUBSTITUTE($D81,"/"," ")&amp;" "))),"",IFERROR(SUMPRODUCT('Player Grading'!$E23:$AF23,$C$109:$AD$109)/SUMPRODUCT(($C$109:$AD$109)*('Player Grading'!$E23:$AF23&lt;&gt;"")),"")))</f>
        <v/>
      </c>
      <c r="M81" s="39" t="str" cm="1">
        <f t="array" ref="M81">IF($C81="","",IF(NOT(ISNUMBER(SEARCH(" ACM "," "&amp;SUBSTITUTE($D81,"/"," ")&amp;" "))),"",IFERROR(SUMPRODUCT('Player Grading'!$E23:$AF23,$C$110:$AD$110)/SUMPRODUCT(($C$110:$AD$110)*('Player Grading'!$E23:$AF23&lt;&gt;"")),"")))</f>
        <v/>
      </c>
      <c r="N81" s="39" t="str" cm="1">
        <f t="array" ref="N81">IF($C81="","",IF(NOT(ISNUMBER(SEARCH(" RW "," "&amp;SUBSTITUTE($D81,"/"," ")&amp;" "))),"",IFERROR(SUMPRODUCT('Player Grading'!$E23:$AF23,$C$111:$AD$111)/SUMPRODUCT(($C$111:$AD$111)*('Player Grading'!$E23:$AF23&lt;&gt;"")),"")))</f>
        <v/>
      </c>
      <c r="O81" s="39" t="str" cm="1">
        <f t="array" ref="O81">IF($C81="","",IF(NOT(ISNUMBER(SEARCH(" LW "," "&amp;SUBSTITUTE($D81,"/"," ")&amp;" "))),"",IFERROR(SUMPRODUCT('Player Grading'!$E23:$AF23,$C$112:$AD$112)/SUMPRODUCT(($C$112:$AD$112)*('Player Grading'!$E23:$AF23&lt;&gt;"")),"")))</f>
        <v/>
      </c>
      <c r="P81" s="39" t="str" cm="1">
        <f t="array" ref="P81">IF($C81="","",IF(NOT(ISNUMBER(SEARCH(" ST "," "&amp;SUBSTITUTE($D81,"/"," ")&amp;" "))),"",IFERROR(SUMPRODUCT('Player Grading'!$E23:$AF23,$C$113:$AD$113)/SUMPRODUCT(($C$113:$AD$113)*('Player Grading'!$E23:$AF23&lt;&gt;"")),"")))</f>
        <v/>
      </c>
      <c r="Q81" s="123"/>
      <c r="R81" s="39" t="str">
        <f>IF(G81="","",IF(AND($J$6="On",OR(Attendance!$GB22&gt;0,Attendance!$GF22&gt;0)),MEDIAN(1,G81+(N($AB81)-0.5)*$K$6,20),G81))</f>
        <v/>
      </c>
      <c r="S81" s="39" t="str">
        <f>IF(H81="","",IF(AND($J$6="On",OR(Attendance!$GB22&gt;0,Attendance!$GF22&gt;0)),MEDIAN(1,H81+(N($AB81)-0.5)*$K$6,20),H81))</f>
        <v/>
      </c>
      <c r="T81" s="39" t="str">
        <f>IF(I81="","",IF(AND($J$6="On",OR(Attendance!$GB22&gt;0,Attendance!$GF22&gt;0)),MEDIAN(1,I81+(N($AB81)-0.5)*$K$6,20),I81))</f>
        <v/>
      </c>
      <c r="U81" s="39" t="str">
        <f>IF(J81="","",IF(AND($J$6="On",OR(Attendance!$GB22&gt;0,Attendance!$GF22&gt;0)),MEDIAN(1,J81+(N($AB81)-0.5)*$K$6,20),J81))</f>
        <v/>
      </c>
      <c r="V81" s="39" t="str">
        <f>IF(K81="","",IF(AND($J$6="On",OR(Attendance!$GB22&gt;0,Attendance!$GF22&gt;0)),MEDIAN(1,K81+(N($AB81)-0.5)*$K$6,20),K81))</f>
        <v/>
      </c>
      <c r="W81" s="39" t="str">
        <f>IF(L81="","",IF(AND($J$6="On",OR(Attendance!$GB22&gt;0,Attendance!$GF22&gt;0)),MEDIAN(1,L81+(N($AB81)-0.5)*$K$6,20),L81))</f>
        <v/>
      </c>
      <c r="X81" s="39" t="str">
        <f>IF(M81="","",IF(AND($J$6="On",OR(Attendance!$GB22&gt;0,Attendance!$GF22&gt;0)),MEDIAN(1,M81+(N($AB81)-0.5)*$K$6,20),M81))</f>
        <v/>
      </c>
      <c r="Y81" s="39" t="str">
        <f>IF(N81="","",IF(AND($J$6="On",OR(Attendance!$GB22&gt;0,Attendance!$GF22&gt;0)),MEDIAN(1,N81+(N($AB81)-0.5)*$K$6,20),N81))</f>
        <v/>
      </c>
      <c r="Z81" s="39" t="str">
        <f>IF(O81="","",IF(AND($J$6="On",OR(Attendance!$GB22&gt;0,Attendance!$GF22&gt;0)),MEDIAN(1,O81+(N($AB81)-0.5)*$K$6,20),O81))</f>
        <v/>
      </c>
      <c r="AA81" s="39" t="str">
        <f>IF(P81="","",IF(AND($J$6="On",OR(Attendance!$GB22&gt;0,Attendance!$GF22&gt;0)),MEDIAN(1,P81+(N($AB81)-0.5)*$K$6,20),P81))</f>
        <v/>
      </c>
      <c r="AB81" s="38" t="str">
        <f>IF($C81="","",IFERROR(Attendance!$GN22,""))</f>
        <v/>
      </c>
      <c r="AC81" s="125" t="str">
        <f>IF($C81="","",IFERROR('Player Grading'!$AL23,""))</f>
        <v/>
      </c>
    </row>
    <row r="82" spans="2:29" x14ac:dyDescent="0.45">
      <c r="B82" s="54" t="str">
        <f>IF($C82="","",Attendance!$C23)</f>
        <v/>
      </c>
      <c r="C82" s="118" t="str">
        <f>IF(Attendance!$D23="","",Attendance!$D23)</f>
        <v/>
      </c>
      <c r="D82" s="119" t="str">
        <f>IF($C82="","",'Player Grading'!$D24)</f>
        <v/>
      </c>
      <c r="E82" s="119" t="str">
        <f>IF($C82="","",IF($E136="",IF(Attendance!$GP23="","Yes",Attendance!$GP23),IF($E136="Available","Yes","No")))</f>
        <v/>
      </c>
      <c r="F82" s="120" t="str">
        <f>IF($C82="","",IF($E136="",Attendance!$GQ23&amp;"",IF($E136="Available","",$E136&amp;IF($F136="",""," - "&amp;$F136)&amp;IF($I136="",""," (back "&amp;TEXT($I136,"d mmm")&amp;")"))))</f>
        <v/>
      </c>
      <c r="G82" s="31" t="str" cm="1">
        <f t="array" ref="G82">IF($C82="","",IF(NOT(ISNUMBER(SEARCH(" GK "," "&amp;SUBSTITUTE($D82,"/"," ")&amp;" "))),"",IFERROR(SUMPRODUCT('Player Grading'!$E24:$AF24,$C$104:$AD$104)/SUMPRODUCT(($C$104:$AD$104)*('Player Grading'!$E24:$AF24&lt;&gt;"")),"")))</f>
        <v/>
      </c>
      <c r="H82" s="31" t="str" cm="1">
        <f t="array" ref="H82">IF($C82="","",IF(NOT(ISNUMBER(SEARCH(" RB "," "&amp;SUBSTITUTE($D82,"/"," ")&amp;" "))),"",IFERROR(SUMPRODUCT('Player Grading'!$E24:$AF24,$C$105:$AD$105)/SUMPRODUCT(($C$105:$AD$105)*('Player Grading'!$E24:$AF24&lt;&gt;"")),"")))</f>
        <v/>
      </c>
      <c r="I82" s="31" t="str" cm="1">
        <f t="array" ref="I82">IF($C82="","",IF(NOT(ISNUMBER(SEARCH(" CB "," "&amp;SUBSTITUTE($D82,"/"," ")&amp;" "))),"",IFERROR(SUMPRODUCT('Player Grading'!$E24:$AF24,$C$106:$AD$106)/SUMPRODUCT(($C$106:$AD$106)*('Player Grading'!$E24:$AF24&lt;&gt;"")),"")))</f>
        <v/>
      </c>
      <c r="J82" s="31" t="str" cm="1">
        <f t="array" ref="J82">IF($C82="","",IF(NOT(ISNUMBER(SEARCH(" LB "," "&amp;SUBSTITUTE($D82,"/"," ")&amp;" "))),"",IFERROR(SUMPRODUCT('Player Grading'!$E24:$AF24,$C$107:$AD$107)/SUMPRODUCT(($C$107:$AD$107)*('Player Grading'!$E24:$AF24&lt;&gt;"")),"")))</f>
        <v/>
      </c>
      <c r="K82" s="31" t="str" cm="1">
        <f t="array" ref="K82">IF($C82="","",IF(NOT(ISNUMBER(SEARCH(" DM "," "&amp;SUBSTITUTE($D82,"/"," ")&amp;" "))),"",IFERROR(SUMPRODUCT('Player Grading'!$E24:$AF24,$C$108:$AD$108)/SUMPRODUCT(($C$108:$AD$108)*('Player Grading'!$E24:$AF24&lt;&gt;"")),"")))</f>
        <v/>
      </c>
      <c r="L82" s="31" t="str" cm="1">
        <f t="array" ref="L82">IF($C82="","",IF(NOT(ISNUMBER(SEARCH(" CM "," "&amp;SUBSTITUTE($D82,"/"," ")&amp;" "))),"",IFERROR(SUMPRODUCT('Player Grading'!$E24:$AF24,$C$109:$AD$109)/SUMPRODUCT(($C$109:$AD$109)*('Player Grading'!$E24:$AF24&lt;&gt;"")),"")))</f>
        <v/>
      </c>
      <c r="M82" s="31" t="str" cm="1">
        <f t="array" ref="M82">IF($C82="","",IF(NOT(ISNUMBER(SEARCH(" ACM "," "&amp;SUBSTITUTE($D82,"/"," ")&amp;" "))),"",IFERROR(SUMPRODUCT('Player Grading'!$E24:$AF24,$C$110:$AD$110)/SUMPRODUCT(($C$110:$AD$110)*('Player Grading'!$E24:$AF24&lt;&gt;"")),"")))</f>
        <v/>
      </c>
      <c r="N82" s="31" t="str" cm="1">
        <f t="array" ref="N82">IF($C82="","",IF(NOT(ISNUMBER(SEARCH(" RW "," "&amp;SUBSTITUTE($D82,"/"," ")&amp;" "))),"",IFERROR(SUMPRODUCT('Player Grading'!$E24:$AF24,$C$111:$AD$111)/SUMPRODUCT(($C$111:$AD$111)*('Player Grading'!$E24:$AF24&lt;&gt;"")),"")))</f>
        <v/>
      </c>
      <c r="O82" s="31" t="str" cm="1">
        <f t="array" ref="O82">IF($C82="","",IF(NOT(ISNUMBER(SEARCH(" LW "," "&amp;SUBSTITUTE($D82,"/"," ")&amp;" "))),"",IFERROR(SUMPRODUCT('Player Grading'!$E24:$AF24,$C$112:$AD$112)/SUMPRODUCT(($C$112:$AD$112)*('Player Grading'!$E24:$AF24&lt;&gt;"")),"")))</f>
        <v/>
      </c>
      <c r="P82" s="31" t="str" cm="1">
        <f t="array" ref="P82">IF($C82="","",IF(NOT(ISNUMBER(SEARCH(" ST "," "&amp;SUBSTITUTE($D82,"/"," ")&amp;" "))),"",IFERROR(SUMPRODUCT('Player Grading'!$E24:$AF24,$C$113:$AD$113)/SUMPRODUCT(($C$113:$AD$113)*('Player Grading'!$E24:$AF24&lt;&gt;"")),"")))</f>
        <v/>
      </c>
      <c r="Q82" s="119"/>
      <c r="R82" s="31" t="str">
        <f>IF(G82="","",IF(AND($J$6="On",OR(Attendance!$GB23&gt;0,Attendance!$GF23&gt;0)),MEDIAN(1,G82+(N($AB82)-0.5)*$K$6,20),G82))</f>
        <v/>
      </c>
      <c r="S82" s="31" t="str">
        <f>IF(H82="","",IF(AND($J$6="On",OR(Attendance!$GB23&gt;0,Attendance!$GF23&gt;0)),MEDIAN(1,H82+(N($AB82)-0.5)*$K$6,20),H82))</f>
        <v/>
      </c>
      <c r="T82" s="31" t="str">
        <f>IF(I82="","",IF(AND($J$6="On",OR(Attendance!$GB23&gt;0,Attendance!$GF23&gt;0)),MEDIAN(1,I82+(N($AB82)-0.5)*$K$6,20),I82))</f>
        <v/>
      </c>
      <c r="U82" s="31" t="str">
        <f>IF(J82="","",IF(AND($J$6="On",OR(Attendance!$GB23&gt;0,Attendance!$GF23&gt;0)),MEDIAN(1,J82+(N($AB82)-0.5)*$K$6,20),J82))</f>
        <v/>
      </c>
      <c r="V82" s="31" t="str">
        <f>IF(K82="","",IF(AND($J$6="On",OR(Attendance!$GB23&gt;0,Attendance!$GF23&gt;0)),MEDIAN(1,K82+(N($AB82)-0.5)*$K$6,20),K82))</f>
        <v/>
      </c>
      <c r="W82" s="31" t="str">
        <f>IF(L82="","",IF(AND($J$6="On",OR(Attendance!$GB23&gt;0,Attendance!$GF23&gt;0)),MEDIAN(1,L82+(N($AB82)-0.5)*$K$6,20),L82))</f>
        <v/>
      </c>
      <c r="X82" s="31" t="str">
        <f>IF(M82="","",IF(AND($J$6="On",OR(Attendance!$GB23&gt;0,Attendance!$GF23&gt;0)),MEDIAN(1,M82+(N($AB82)-0.5)*$K$6,20),M82))</f>
        <v/>
      </c>
      <c r="Y82" s="31" t="str">
        <f>IF(N82="","",IF(AND($J$6="On",OR(Attendance!$GB23&gt;0,Attendance!$GF23&gt;0)),MEDIAN(1,N82+(N($AB82)-0.5)*$K$6,20),N82))</f>
        <v/>
      </c>
      <c r="Z82" s="31" t="str">
        <f>IF(O82="","",IF(AND($J$6="On",OR(Attendance!$GB23&gt;0,Attendance!$GF23&gt;0)),MEDIAN(1,O82+(N($AB82)-0.5)*$K$6,20),O82))</f>
        <v/>
      </c>
      <c r="AA82" s="31" t="str">
        <f>IF(P82="","",IF(AND($J$6="On",OR(Attendance!$GB23&gt;0,Attendance!$GF23&gt;0)),MEDIAN(1,P82+(N($AB82)-0.5)*$K$6,20),P82))</f>
        <v/>
      </c>
      <c r="AB82" s="30" t="str">
        <f>IF($C82="","",IFERROR(Attendance!$GN23,""))</f>
        <v/>
      </c>
      <c r="AC82" s="121" t="str">
        <f>IF($C82="","",IFERROR('Player Grading'!$AL24,""))</f>
        <v/>
      </c>
    </row>
    <row r="83" spans="2:29" x14ac:dyDescent="0.45">
      <c r="B83" s="62" t="str">
        <f>IF($C83="","",Attendance!$C24)</f>
        <v/>
      </c>
      <c r="C83" s="126" t="str">
        <f>IF(Attendance!$D24="","",Attendance!$D24)</f>
        <v/>
      </c>
      <c r="D83" s="127" t="str">
        <f>IF($C83="","",'Player Grading'!$D25)</f>
        <v/>
      </c>
      <c r="E83" s="127" t="str">
        <f>IF($C83="","",IF($E137="",IF(Attendance!$GP24="","Yes",Attendance!$GP24),IF($E137="Available","Yes","No")))</f>
        <v/>
      </c>
      <c r="F83" s="128" t="str">
        <f>IF($C83="","",IF($E137="",Attendance!$GQ24&amp;"",IF($E137="Available","",$E137&amp;IF($F137="",""," - "&amp;$F137)&amp;IF($I137="",""," (back "&amp;TEXT($I137,"d mmm")&amp;")"))))</f>
        <v/>
      </c>
      <c r="G83" s="45" t="str" cm="1">
        <f t="array" ref="G83">IF($C83="","",IF(NOT(ISNUMBER(SEARCH(" GK "," "&amp;SUBSTITUTE($D83,"/"," ")&amp;" "))),"",IFERROR(SUMPRODUCT('Player Grading'!$E25:$AF25,$C$104:$AD$104)/SUMPRODUCT(($C$104:$AD$104)*('Player Grading'!$E25:$AF25&lt;&gt;"")),"")))</f>
        <v/>
      </c>
      <c r="H83" s="45" t="str" cm="1">
        <f t="array" ref="H83">IF($C83="","",IF(NOT(ISNUMBER(SEARCH(" RB "," "&amp;SUBSTITUTE($D83,"/"," ")&amp;" "))),"",IFERROR(SUMPRODUCT('Player Grading'!$E25:$AF25,$C$105:$AD$105)/SUMPRODUCT(($C$105:$AD$105)*('Player Grading'!$E25:$AF25&lt;&gt;"")),"")))</f>
        <v/>
      </c>
      <c r="I83" s="45" t="str" cm="1">
        <f t="array" ref="I83">IF($C83="","",IF(NOT(ISNUMBER(SEARCH(" CB "," "&amp;SUBSTITUTE($D83,"/"," ")&amp;" "))),"",IFERROR(SUMPRODUCT('Player Grading'!$E25:$AF25,$C$106:$AD$106)/SUMPRODUCT(($C$106:$AD$106)*('Player Grading'!$E25:$AF25&lt;&gt;"")),"")))</f>
        <v/>
      </c>
      <c r="J83" s="45" t="str" cm="1">
        <f t="array" ref="J83">IF($C83="","",IF(NOT(ISNUMBER(SEARCH(" LB "," "&amp;SUBSTITUTE($D83,"/"," ")&amp;" "))),"",IFERROR(SUMPRODUCT('Player Grading'!$E25:$AF25,$C$107:$AD$107)/SUMPRODUCT(($C$107:$AD$107)*('Player Grading'!$E25:$AF25&lt;&gt;"")),"")))</f>
        <v/>
      </c>
      <c r="K83" s="45" t="str" cm="1">
        <f t="array" ref="K83">IF($C83="","",IF(NOT(ISNUMBER(SEARCH(" DM "," "&amp;SUBSTITUTE($D83,"/"," ")&amp;" "))),"",IFERROR(SUMPRODUCT('Player Grading'!$E25:$AF25,$C$108:$AD$108)/SUMPRODUCT(($C$108:$AD$108)*('Player Grading'!$E25:$AF25&lt;&gt;"")),"")))</f>
        <v/>
      </c>
      <c r="L83" s="45" t="str" cm="1">
        <f t="array" ref="L83">IF($C83="","",IF(NOT(ISNUMBER(SEARCH(" CM "," "&amp;SUBSTITUTE($D83,"/"," ")&amp;" "))),"",IFERROR(SUMPRODUCT('Player Grading'!$E25:$AF25,$C$109:$AD$109)/SUMPRODUCT(($C$109:$AD$109)*('Player Grading'!$E25:$AF25&lt;&gt;"")),"")))</f>
        <v/>
      </c>
      <c r="M83" s="45" t="str" cm="1">
        <f t="array" ref="M83">IF($C83="","",IF(NOT(ISNUMBER(SEARCH(" ACM "," "&amp;SUBSTITUTE($D83,"/"," ")&amp;" "))),"",IFERROR(SUMPRODUCT('Player Grading'!$E25:$AF25,$C$110:$AD$110)/SUMPRODUCT(($C$110:$AD$110)*('Player Grading'!$E25:$AF25&lt;&gt;"")),"")))</f>
        <v/>
      </c>
      <c r="N83" s="45" t="str" cm="1">
        <f t="array" ref="N83">IF($C83="","",IF(NOT(ISNUMBER(SEARCH(" RW "," "&amp;SUBSTITUTE($D83,"/"," ")&amp;" "))),"",IFERROR(SUMPRODUCT('Player Grading'!$E25:$AF25,$C$111:$AD$111)/SUMPRODUCT(($C$111:$AD$111)*('Player Grading'!$E25:$AF25&lt;&gt;"")),"")))</f>
        <v/>
      </c>
      <c r="O83" s="45" t="str" cm="1">
        <f t="array" ref="O83">IF($C83="","",IF(NOT(ISNUMBER(SEARCH(" LW "," "&amp;SUBSTITUTE($D83,"/"," ")&amp;" "))),"",IFERROR(SUMPRODUCT('Player Grading'!$E25:$AF25,$C$112:$AD$112)/SUMPRODUCT(($C$112:$AD$112)*('Player Grading'!$E25:$AF25&lt;&gt;"")),"")))</f>
        <v/>
      </c>
      <c r="P83" s="45" t="str" cm="1">
        <f t="array" ref="P83">IF($C83="","",IF(NOT(ISNUMBER(SEARCH(" ST "," "&amp;SUBSTITUTE($D83,"/"," ")&amp;" "))),"",IFERROR(SUMPRODUCT('Player Grading'!$E25:$AF25,$C$113:$AD$113)/SUMPRODUCT(($C$113:$AD$113)*('Player Grading'!$E25:$AF25&lt;&gt;"")),"")))</f>
        <v/>
      </c>
      <c r="Q83" s="127"/>
      <c r="R83" s="45" t="str">
        <f>IF(G83="","",IF(AND($J$6="On",OR(Attendance!$GB24&gt;0,Attendance!$GF24&gt;0)),MEDIAN(1,G83+(N($AB83)-0.5)*$K$6,20),G83))</f>
        <v/>
      </c>
      <c r="S83" s="45" t="str">
        <f>IF(H83="","",IF(AND($J$6="On",OR(Attendance!$GB24&gt;0,Attendance!$GF24&gt;0)),MEDIAN(1,H83+(N($AB83)-0.5)*$K$6,20),H83))</f>
        <v/>
      </c>
      <c r="T83" s="45" t="str">
        <f>IF(I83="","",IF(AND($J$6="On",OR(Attendance!$GB24&gt;0,Attendance!$GF24&gt;0)),MEDIAN(1,I83+(N($AB83)-0.5)*$K$6,20),I83))</f>
        <v/>
      </c>
      <c r="U83" s="45" t="str">
        <f>IF(J83="","",IF(AND($J$6="On",OR(Attendance!$GB24&gt;0,Attendance!$GF24&gt;0)),MEDIAN(1,J83+(N($AB83)-0.5)*$K$6,20),J83))</f>
        <v/>
      </c>
      <c r="V83" s="45" t="str">
        <f>IF(K83="","",IF(AND($J$6="On",OR(Attendance!$GB24&gt;0,Attendance!$GF24&gt;0)),MEDIAN(1,K83+(N($AB83)-0.5)*$K$6,20),K83))</f>
        <v/>
      </c>
      <c r="W83" s="45" t="str">
        <f>IF(L83="","",IF(AND($J$6="On",OR(Attendance!$GB24&gt;0,Attendance!$GF24&gt;0)),MEDIAN(1,L83+(N($AB83)-0.5)*$K$6,20),L83))</f>
        <v/>
      </c>
      <c r="X83" s="45" t="str">
        <f>IF(M83="","",IF(AND($J$6="On",OR(Attendance!$GB24&gt;0,Attendance!$GF24&gt;0)),MEDIAN(1,M83+(N($AB83)-0.5)*$K$6,20),M83))</f>
        <v/>
      </c>
      <c r="Y83" s="45" t="str">
        <f>IF(N83="","",IF(AND($J$6="On",OR(Attendance!$GB24&gt;0,Attendance!$GF24&gt;0)),MEDIAN(1,N83+(N($AB83)-0.5)*$K$6,20),N83))</f>
        <v/>
      </c>
      <c r="Z83" s="45" t="str">
        <f>IF(O83="","",IF(AND($J$6="On",OR(Attendance!$GB24&gt;0,Attendance!$GF24&gt;0)),MEDIAN(1,O83+(N($AB83)-0.5)*$K$6,20),O83))</f>
        <v/>
      </c>
      <c r="AA83" s="45" t="str">
        <f>IF(P83="","",IF(AND($J$6="On",OR(Attendance!$GB24&gt;0,Attendance!$GF24&gt;0)),MEDIAN(1,P83+(N($AB83)-0.5)*$K$6,20),P83))</f>
        <v/>
      </c>
      <c r="AB83" s="44" t="str">
        <f>IF($C83="","",IFERROR(Attendance!$GN24,""))</f>
        <v/>
      </c>
      <c r="AC83" s="129" t="str">
        <f>IF($C83="","",IFERROR('Player Grading'!$AL25,""))</f>
        <v/>
      </c>
    </row>
    <row r="86" spans="2:29" x14ac:dyDescent="0.45">
      <c r="B86" s="294" t="s">
        <v>180</v>
      </c>
      <c r="C86" s="294"/>
      <c r="D86" s="294"/>
      <c r="E86" s="294"/>
      <c r="F86" s="294"/>
    </row>
    <row r="87" spans="2:29" x14ac:dyDescent="0.45">
      <c r="B87" s="130" t="s">
        <v>181</v>
      </c>
      <c r="C87" s="130" t="str">
        <f>IF($C64="","",$C64)</f>
        <v>Aoife Kennan</v>
      </c>
      <c r="D87" s="130" t="str">
        <f>IF($C65="","",$C65)</f>
        <v>Stella McEvoy</v>
      </c>
      <c r="E87" s="130" t="str">
        <f>IF($C66="","",$C66)</f>
        <v>Zara Power</v>
      </c>
      <c r="F87" s="130" t="str">
        <f>IF($C67="","",$C67)</f>
        <v>Heidi Cerubini Dunne</v>
      </c>
      <c r="G87" s="130" t="str">
        <f>IF($C68="","",$C68)</f>
        <v>Roisin Offenhausen</v>
      </c>
      <c r="H87" s="130" t="str">
        <f>IF($C69="","",$C69)</f>
        <v>Naomi Adewoyin</v>
      </c>
      <c r="I87" s="130" t="str">
        <f>IF($C70="","",$C70)</f>
        <v>Amber Kilalee</v>
      </c>
      <c r="J87" s="130" t="str">
        <f>IF($C71="","",$C71)</f>
        <v>Shauna Kavanagh</v>
      </c>
      <c r="K87" s="130" t="str">
        <f>IF($C72="","",$C72)</f>
        <v>Tara Brannigan</v>
      </c>
      <c r="L87" s="130" t="str">
        <f>IF($C73="","",$C73)</f>
        <v>Semilore Adesanya</v>
      </c>
      <c r="M87" s="130" t="str">
        <f>IF($C74="","",$C74)</f>
        <v>Hannah Fleming</v>
      </c>
      <c r="N87" s="130" t="str">
        <f>IF($C75="","",$C75)</f>
        <v>Emma Kelly</v>
      </c>
      <c r="O87" s="130" t="str">
        <f>IF($C76="","",$C76)</f>
        <v>Roma Memon</v>
      </c>
      <c r="P87" s="130" t="str">
        <f>IF($C77="","",$C77)</f>
        <v>Emma Dromgoole</v>
      </c>
      <c r="Q87" s="130" t="str">
        <f>IF($C78="","",$C78)</f>
        <v>Elsie Morrison</v>
      </c>
      <c r="R87" s="130" t="str">
        <f>IF($C79="","",$C79)</f>
        <v>Zara Freeman</v>
      </c>
      <c r="S87" s="130" t="str">
        <f>IF($C80="","",$C80)</f>
        <v>Marianna</v>
      </c>
      <c r="T87" s="130" t="str">
        <f>IF($C81="","",$C81)</f>
        <v/>
      </c>
      <c r="U87" s="130" t="str">
        <f>IF($C82="","",$C82)</f>
        <v/>
      </c>
      <c r="V87" s="130" t="str">
        <f>IF($C83="","",$C83)</f>
        <v/>
      </c>
    </row>
    <row r="88" spans="2:29" x14ac:dyDescent="0.45">
      <c r="B88" s="131" t="s">
        <v>182</v>
      </c>
      <c r="C88" s="132">
        <f>IF(OR($C64="",R64="",$E64&lt;&gt;"Yes",COUNTIF($H$25:$H$35,$C64)&gt;0),"",R64)</f>
        <v>5.8409090909090908</v>
      </c>
      <c r="D88" s="132" t="str">
        <f>IF(OR($C65="",R65="",$E65&lt;&gt;"Yes",COUNTIF($H$25:$H$35,$C65)&gt;0),"",R65)</f>
        <v/>
      </c>
      <c r="E88" s="132" t="str">
        <f>IF(OR($C66="",R66="",$E66&lt;&gt;"Yes",COUNTIF($H$25:$H$35,$C66)&gt;0),"",R66)</f>
        <v/>
      </c>
      <c r="F88" s="132" t="str">
        <f>IF(OR($C67="",R67="",$E67&lt;&gt;"Yes",COUNTIF($H$25:$H$35,$C67)&gt;0),"",R67)</f>
        <v/>
      </c>
      <c r="G88" s="132" t="str">
        <f>IF(OR($C68="",R68="",$E68&lt;&gt;"Yes",COUNTIF($H$25:$H$35,$C68)&gt;0),"",R68)</f>
        <v/>
      </c>
      <c r="H88" s="132" t="str">
        <f>IF(OR($C69="",R69="",$E69&lt;&gt;"Yes",COUNTIF($H$25:$H$35,$C69)&gt;0),"",R69)</f>
        <v/>
      </c>
      <c r="I88" s="132" t="str">
        <f>IF(OR($C70="",R70="",$E70&lt;&gt;"Yes",COUNTIF($H$25:$H$35,$C70)&gt;0),"",R70)</f>
        <v/>
      </c>
      <c r="J88" s="132" t="str">
        <f>IF(OR($C71="",R71="",$E71&lt;&gt;"Yes",COUNTIF($H$25:$H$35,$C71)&gt;0),"",R71)</f>
        <v/>
      </c>
      <c r="K88" s="132" t="str">
        <f>IF(OR($C72="",R72="",$E72&lt;&gt;"Yes",COUNTIF($H$25:$H$35,$C72)&gt;0),"",R72)</f>
        <v/>
      </c>
      <c r="L88" s="132" t="str">
        <f>IF(OR($C73="",R73="",$E73&lt;&gt;"Yes",COUNTIF($H$25:$H$35,$C73)&gt;0),"",R73)</f>
        <v/>
      </c>
      <c r="M88" s="132" t="str">
        <f>IF(OR($C74="",R74="",$E74&lt;&gt;"Yes",COUNTIF($H$25:$H$35,$C74)&gt;0),"",R74)</f>
        <v/>
      </c>
      <c r="N88" s="132" t="str">
        <f>IF(OR($C75="",R75="",$E75&lt;&gt;"Yes",COUNTIF($H$25:$H$35,$C75)&gt;0),"",R75)</f>
        <v/>
      </c>
      <c r="O88" s="132" t="str">
        <f>IF(OR($C76="",R76="",$E76&lt;&gt;"Yes",COUNTIF($H$25:$H$35,$C76)&gt;0),"",R76)</f>
        <v/>
      </c>
      <c r="P88" s="132" t="str">
        <f>IF(OR($C77="",R77="",$E77&lt;&gt;"Yes",COUNTIF($H$25:$H$35,$C77)&gt;0),"",R77)</f>
        <v/>
      </c>
      <c r="Q88" s="132">
        <f>IF(OR($C78="",R78="",$E78&lt;&gt;"Yes",COUNTIF($H$25:$H$35,$C78)&gt;0),"",R78)</f>
        <v>9.9090909090909083</v>
      </c>
      <c r="R88" s="132" t="str">
        <f>IF(OR($C79="",R79="",$E79&lt;&gt;"Yes",COUNTIF($H$25:$H$35,$C79)&gt;0),"",R79)</f>
        <v/>
      </c>
      <c r="S88" s="132" t="str">
        <f>IF(OR($C80="",R80="",$E80&lt;&gt;"Yes",COUNTIF($H$25:$H$35,$C80)&gt;0),"",R80)</f>
        <v/>
      </c>
      <c r="T88" s="132" t="str">
        <f>IF(OR($C81="",R81="",$E81&lt;&gt;"Yes",COUNTIF($H$25:$H$35,$C81)&gt;0),"",R81)</f>
        <v/>
      </c>
      <c r="U88" s="132" t="str">
        <f>IF(OR($C82="",R82="",$E82&lt;&gt;"Yes",COUNTIF($H$25:$H$35,$C82)&gt;0),"",R82)</f>
        <v/>
      </c>
      <c r="V88" s="132" t="str">
        <f>IF(OR($C83="",R83="",$E83&lt;&gt;"Yes",COUNTIF($H$25:$H$35,$C83)&gt;0),"",R83)</f>
        <v/>
      </c>
    </row>
    <row r="89" spans="2:29" x14ac:dyDescent="0.45">
      <c r="B89" s="131" t="s">
        <v>183</v>
      </c>
      <c r="C89" s="132" t="str">
        <f>IF(OR($C64="",S64="",$E64&lt;&gt;"Yes",COUNTIF($H$25:$H$35,$C64)&gt;0,COUNTIF($D$25:$D$25,$C64)&gt;0),"",S64)</f>
        <v/>
      </c>
      <c r="D89" s="132">
        <f>IF(OR($C65="",S65="",$E65&lt;&gt;"Yes",COUNTIF($H$25:$H$35,$C65)&gt;0,COUNTIF($D$25:$D$25,$C65)&gt;0),"",S65)</f>
        <v>9.3777777777777782</v>
      </c>
      <c r="E89" s="132" t="str">
        <f>IF(OR($C66="",S66="",$E66&lt;&gt;"Yes",COUNTIF($H$25:$H$35,$C66)&gt;0,COUNTIF($D$25:$D$25,$C66)&gt;0),"",S66)</f>
        <v/>
      </c>
      <c r="F89" s="132">
        <f>IF(OR($C67="",S67="",$E67&lt;&gt;"Yes",COUNTIF($H$25:$H$35,$C67)&gt;0,COUNTIF($D$25:$D$25,$C67)&gt;0),"",S67)</f>
        <v>4.7555555555555555</v>
      </c>
      <c r="G89" s="132" t="str">
        <f>IF(OR($C68="",S68="",$E68&lt;&gt;"Yes",COUNTIF($H$25:$H$35,$C68)&gt;0,COUNTIF($D$25:$D$25,$C68)&gt;0),"",S68)</f>
        <v/>
      </c>
      <c r="H89" s="132" t="str">
        <f>IF(OR($C69="",S69="",$E69&lt;&gt;"Yes",COUNTIF($H$25:$H$35,$C69)&gt;0,COUNTIF($D$25:$D$25,$C69)&gt;0),"",S69)</f>
        <v/>
      </c>
      <c r="I89" s="132" t="str">
        <f>IF(OR($C70="",S70="",$E70&lt;&gt;"Yes",COUNTIF($H$25:$H$35,$C70)&gt;0,COUNTIF($D$25:$D$25,$C70)&gt;0),"",S70)</f>
        <v/>
      </c>
      <c r="J89" s="132" t="str">
        <f>IF(OR($C71="",S71="",$E71&lt;&gt;"Yes",COUNTIF($H$25:$H$35,$C71)&gt;0,COUNTIF($D$25:$D$25,$C71)&gt;0),"",S71)</f>
        <v/>
      </c>
      <c r="K89" s="132" t="str">
        <f>IF(OR($C72="",S72="",$E72&lt;&gt;"Yes",COUNTIF($H$25:$H$35,$C72)&gt;0,COUNTIF($D$25:$D$25,$C72)&gt;0),"",S72)</f>
        <v/>
      </c>
      <c r="L89" s="132" t="str">
        <f>IF(OR($C73="",S73="",$E73&lt;&gt;"Yes",COUNTIF($H$25:$H$35,$C73)&gt;0,COUNTIF($D$25:$D$25,$C73)&gt;0),"",S73)</f>
        <v/>
      </c>
      <c r="M89" s="132" t="str">
        <f>IF(OR($C74="",S74="",$E74&lt;&gt;"Yes",COUNTIF($H$25:$H$35,$C74)&gt;0,COUNTIF($D$25:$D$25,$C74)&gt;0),"",S74)</f>
        <v/>
      </c>
      <c r="N89" s="132" t="str">
        <f>IF(OR($C75="",S75="",$E75&lt;&gt;"Yes",COUNTIF($H$25:$H$35,$C75)&gt;0,COUNTIF($D$25:$D$25,$C75)&gt;0),"",S75)</f>
        <v/>
      </c>
      <c r="O89" s="132" t="str">
        <f>IF(OR($C76="",S76="",$E76&lt;&gt;"Yes",COUNTIF($H$25:$H$35,$C76)&gt;0,COUNTIF($D$25:$D$25,$C76)&gt;0),"",S76)</f>
        <v/>
      </c>
      <c r="P89" s="132" t="str">
        <f>IF(OR($C77="",S77="",$E77&lt;&gt;"Yes",COUNTIF($H$25:$H$35,$C77)&gt;0,COUNTIF($D$25:$D$25,$C77)&gt;0),"",S77)</f>
        <v/>
      </c>
      <c r="Q89" s="132" t="str">
        <f>IF(OR($C78="",S78="",$E78&lt;&gt;"Yes",COUNTIF($H$25:$H$35,$C78)&gt;0,COUNTIF($D$25:$D$25,$C78)&gt;0),"",S78)</f>
        <v/>
      </c>
      <c r="R89" s="132" t="str">
        <f>IF(OR($C79="",S79="",$E79&lt;&gt;"Yes",COUNTIF($H$25:$H$35,$C79)&gt;0,COUNTIF($D$25:$D$25,$C79)&gt;0),"",S79)</f>
        <v/>
      </c>
      <c r="S89" s="132">
        <f>IF(OR($C80="",S80="",$E80&lt;&gt;"Yes",COUNTIF($H$25:$H$35,$C80)&gt;0,COUNTIF($D$25:$D$25,$C80)&gt;0),"",S80)</f>
        <v>9.7777777777777786</v>
      </c>
      <c r="T89" s="132" t="str">
        <f>IF(OR($C81="",S81="",$E81&lt;&gt;"Yes",COUNTIF($H$25:$H$35,$C81)&gt;0,COUNTIF($D$25:$D$25,$C81)&gt;0),"",S81)</f>
        <v/>
      </c>
      <c r="U89" s="132" t="str">
        <f>IF(OR($C82="",S82="",$E82&lt;&gt;"Yes",COUNTIF($H$25:$H$35,$C82)&gt;0,COUNTIF($D$25:$D$25,$C82)&gt;0),"",S82)</f>
        <v/>
      </c>
      <c r="V89" s="132" t="str">
        <f>IF(OR($C83="",S83="",$E83&lt;&gt;"Yes",COUNTIF($H$25:$H$35,$C83)&gt;0,COUNTIF($D$25:$D$25,$C83)&gt;0),"",S83)</f>
        <v/>
      </c>
    </row>
    <row r="90" spans="2:29" x14ac:dyDescent="0.45">
      <c r="B90" s="131" t="s">
        <v>184</v>
      </c>
      <c r="C90" s="132" t="str">
        <f>IF(OR($C64="",T64="",$E64&lt;&gt;"Yes",COUNTIF($H$25:$H$35,$C64)&gt;0,COUNTIF($D$25:$D$26,$C64)&gt;0),"",T64)</f>
        <v/>
      </c>
      <c r="D90" s="132" t="str">
        <f>IF(OR($C65="",T65="",$E65&lt;&gt;"Yes",COUNTIF($H$25:$H$35,$C65)&gt;0,COUNTIF($D$25:$D$26,$C65)&gt;0),"",T65)</f>
        <v/>
      </c>
      <c r="E90" s="132" t="str">
        <f>IF(OR($C66="",T66="",$E66&lt;&gt;"Yes",COUNTIF($H$25:$H$35,$C66)&gt;0,COUNTIF($D$25:$D$26,$C66)&gt;0),"",T66)</f>
        <v/>
      </c>
      <c r="F90" s="132" t="str">
        <f>IF(OR($C67="",T67="",$E67&lt;&gt;"Yes",COUNTIF($H$25:$H$35,$C67)&gt;0,COUNTIF($D$25:$D$26,$C67)&gt;0),"",T67)</f>
        <v/>
      </c>
      <c r="G90" s="132" t="str">
        <f>IF(OR($C68="",T68="",$E68&lt;&gt;"Yes",COUNTIF($H$25:$H$35,$C68)&gt;0,COUNTIF($D$25:$D$26,$C68)&gt;0),"",T68)</f>
        <v/>
      </c>
      <c r="H90" s="132" t="str">
        <f>IF(OR($C69="",T69="",$E69&lt;&gt;"Yes",COUNTIF($H$25:$H$35,$C69)&gt;0,COUNTIF($D$25:$D$26,$C69)&gt;0),"",T69)</f>
        <v/>
      </c>
      <c r="I90" s="132" t="str">
        <f>IF(OR($C70="",T70="",$E70&lt;&gt;"Yes",COUNTIF($H$25:$H$35,$C70)&gt;0,COUNTIF($D$25:$D$26,$C70)&gt;0),"",T70)</f>
        <v/>
      </c>
      <c r="J90" s="132" t="str">
        <f>IF(OR($C71="",T71="",$E71&lt;&gt;"Yes",COUNTIF($H$25:$H$35,$C71)&gt;0,COUNTIF($D$25:$D$26,$C71)&gt;0),"",T71)</f>
        <v/>
      </c>
      <c r="K90" s="132" t="str">
        <f>IF(OR($C72="",T72="",$E72&lt;&gt;"Yes",COUNTIF($H$25:$H$35,$C72)&gt;0,COUNTIF($D$25:$D$26,$C72)&gt;0),"",T72)</f>
        <v/>
      </c>
      <c r="L90" s="132">
        <f>IF(OR($C73="",T73="",$E73&lt;&gt;"Yes",COUNTIF($H$25:$H$35,$C73)&gt;0,COUNTIF($D$25:$D$26,$C73)&gt;0),"",T73)</f>
        <v>12.195121951219512</v>
      </c>
      <c r="M90" s="132" t="str">
        <f>IF(OR($C74="",T74="",$E74&lt;&gt;"Yes",COUNTIF($H$25:$H$35,$C74)&gt;0,COUNTIF($D$25:$D$26,$C74)&gt;0),"",T74)</f>
        <v/>
      </c>
      <c r="N90" s="132">
        <f>IF(OR($C75="",T75="",$E75&lt;&gt;"Yes",COUNTIF($H$25:$H$35,$C75)&gt;0,COUNTIF($D$25:$D$26,$C75)&gt;0),"",T75)</f>
        <v>12.780487804878049</v>
      </c>
      <c r="O90" s="132" t="str">
        <f>IF(OR($C76="",T76="",$E76&lt;&gt;"Yes",COUNTIF($H$25:$H$35,$C76)&gt;0,COUNTIF($D$25:$D$26,$C76)&gt;0),"",T76)</f>
        <v/>
      </c>
      <c r="P90" s="132" t="str">
        <f>IF(OR($C77="",T77="",$E77&lt;&gt;"Yes",COUNTIF($H$25:$H$35,$C77)&gt;0,COUNTIF($D$25:$D$26,$C77)&gt;0),"",T77)</f>
        <v/>
      </c>
      <c r="Q90" s="132" t="str">
        <f>IF(OR($C78="",T78="",$E78&lt;&gt;"Yes",COUNTIF($H$25:$H$35,$C78)&gt;0,COUNTIF($D$25:$D$26,$C78)&gt;0),"",T78)</f>
        <v/>
      </c>
      <c r="R90" s="132" t="str">
        <f>IF(OR($C79="",T79="",$E79&lt;&gt;"Yes",COUNTIF($H$25:$H$35,$C79)&gt;0,COUNTIF($D$25:$D$26,$C79)&gt;0),"",T79)</f>
        <v/>
      </c>
      <c r="S90" s="132" t="str">
        <f>IF(OR($C80="",T80="",$E80&lt;&gt;"Yes",COUNTIF($H$25:$H$35,$C80)&gt;0,COUNTIF($D$25:$D$26,$C80)&gt;0),"",T80)</f>
        <v/>
      </c>
      <c r="T90" s="132" t="str">
        <f>IF(OR($C81="",T81="",$E81&lt;&gt;"Yes",COUNTIF($H$25:$H$35,$C81)&gt;0,COUNTIF($D$25:$D$26,$C81)&gt;0),"",T81)</f>
        <v/>
      </c>
      <c r="U90" s="132" t="str">
        <f>IF(OR($C82="",T82="",$E82&lt;&gt;"Yes",COUNTIF($H$25:$H$35,$C82)&gt;0,COUNTIF($D$25:$D$26,$C82)&gt;0),"",T82)</f>
        <v/>
      </c>
      <c r="V90" s="132" t="str">
        <f>IF(OR($C83="",T83="",$E83&lt;&gt;"Yes",COUNTIF($H$25:$H$35,$C83)&gt;0,COUNTIF($D$25:$D$26,$C83)&gt;0),"",T83)</f>
        <v/>
      </c>
    </row>
    <row r="91" spans="2:29" x14ac:dyDescent="0.45">
      <c r="B91" s="131" t="s">
        <v>185</v>
      </c>
      <c r="C91" s="132" t="str">
        <f>IF(OR($C64="",T64="",$E64&lt;&gt;"Yes",COUNTIF($H$25:$H$35,$C64)&gt;0,COUNTIF($D$25:$D$27,$C64)&gt;0),"",T64)</f>
        <v/>
      </c>
      <c r="D91" s="132" t="str">
        <f>IF(OR($C65="",T65="",$E65&lt;&gt;"Yes",COUNTIF($H$25:$H$35,$C65)&gt;0,COUNTIF($D$25:$D$27,$C65)&gt;0),"",T65)</f>
        <v/>
      </c>
      <c r="E91" s="132" t="str">
        <f>IF(OR($C66="",T66="",$E66&lt;&gt;"Yes",COUNTIF($H$25:$H$35,$C66)&gt;0,COUNTIF($D$25:$D$27,$C66)&gt;0),"",T66)</f>
        <v/>
      </c>
      <c r="F91" s="132" t="str">
        <f>IF(OR($C67="",T67="",$E67&lt;&gt;"Yes",COUNTIF($H$25:$H$35,$C67)&gt;0,COUNTIF($D$25:$D$27,$C67)&gt;0),"",T67)</f>
        <v/>
      </c>
      <c r="G91" s="132" t="str">
        <f>IF(OR($C68="",T68="",$E68&lt;&gt;"Yes",COUNTIF($H$25:$H$35,$C68)&gt;0,COUNTIF($D$25:$D$27,$C68)&gt;0),"",T68)</f>
        <v/>
      </c>
      <c r="H91" s="132" t="str">
        <f>IF(OR($C69="",T69="",$E69&lt;&gt;"Yes",COUNTIF($H$25:$H$35,$C69)&gt;0,COUNTIF($D$25:$D$27,$C69)&gt;0),"",T69)</f>
        <v/>
      </c>
      <c r="I91" s="132" t="str">
        <f>IF(OR($C70="",T70="",$E70&lt;&gt;"Yes",COUNTIF($H$25:$H$35,$C70)&gt;0,COUNTIF($D$25:$D$27,$C70)&gt;0),"",T70)</f>
        <v/>
      </c>
      <c r="J91" s="132" t="str">
        <f>IF(OR($C71="",T71="",$E71&lt;&gt;"Yes",COUNTIF($H$25:$H$35,$C71)&gt;0,COUNTIF($D$25:$D$27,$C71)&gt;0),"",T71)</f>
        <v/>
      </c>
      <c r="K91" s="132" t="str">
        <f>IF(OR($C72="",T72="",$E72&lt;&gt;"Yes",COUNTIF($H$25:$H$35,$C72)&gt;0,COUNTIF($D$25:$D$27,$C72)&gt;0),"",T72)</f>
        <v/>
      </c>
      <c r="L91" s="132">
        <f>IF(OR($C73="",T73="",$E73&lt;&gt;"Yes",COUNTIF($H$25:$H$35,$C73)&gt;0,COUNTIF($D$25:$D$27,$C73)&gt;0),"",T73)</f>
        <v>12.195121951219512</v>
      </c>
      <c r="M91" s="132" t="str">
        <f>IF(OR($C74="",T74="",$E74&lt;&gt;"Yes",COUNTIF($H$25:$H$35,$C74)&gt;0,COUNTIF($D$25:$D$27,$C74)&gt;0),"",T74)</f>
        <v/>
      </c>
      <c r="N91" s="132" t="str">
        <f>IF(OR($C75="",T75="",$E75&lt;&gt;"Yes",COUNTIF($H$25:$H$35,$C75)&gt;0,COUNTIF($D$25:$D$27,$C75)&gt;0),"",T75)</f>
        <v/>
      </c>
      <c r="O91" s="132" t="str">
        <f>IF(OR($C76="",T76="",$E76&lt;&gt;"Yes",COUNTIF($H$25:$H$35,$C76)&gt;0,COUNTIF($D$25:$D$27,$C76)&gt;0),"",T76)</f>
        <v/>
      </c>
      <c r="P91" s="132" t="str">
        <f>IF(OR($C77="",T77="",$E77&lt;&gt;"Yes",COUNTIF($H$25:$H$35,$C77)&gt;0,COUNTIF($D$25:$D$27,$C77)&gt;0),"",T77)</f>
        <v/>
      </c>
      <c r="Q91" s="132" t="str">
        <f>IF(OR($C78="",T78="",$E78&lt;&gt;"Yes",COUNTIF($H$25:$H$35,$C78)&gt;0,COUNTIF($D$25:$D$27,$C78)&gt;0),"",T78)</f>
        <v/>
      </c>
      <c r="R91" s="132" t="str">
        <f>IF(OR($C79="",T79="",$E79&lt;&gt;"Yes",COUNTIF($H$25:$H$35,$C79)&gt;0,COUNTIF($D$25:$D$27,$C79)&gt;0),"",T79)</f>
        <v/>
      </c>
      <c r="S91" s="132" t="str">
        <f>IF(OR($C80="",T80="",$E80&lt;&gt;"Yes",COUNTIF($H$25:$H$35,$C80)&gt;0,COUNTIF($D$25:$D$27,$C80)&gt;0),"",T80)</f>
        <v/>
      </c>
      <c r="T91" s="132" t="str">
        <f>IF(OR($C81="",T81="",$E81&lt;&gt;"Yes",COUNTIF($H$25:$H$35,$C81)&gt;0,COUNTIF($D$25:$D$27,$C81)&gt;0),"",T81)</f>
        <v/>
      </c>
      <c r="U91" s="132" t="str">
        <f>IF(OR($C82="",T82="",$E82&lt;&gt;"Yes",COUNTIF($H$25:$H$35,$C82)&gt;0,COUNTIF($D$25:$D$27,$C82)&gt;0),"",T82)</f>
        <v/>
      </c>
      <c r="V91" s="132" t="str">
        <f>IF(OR($C83="",T83="",$E83&lt;&gt;"Yes",COUNTIF($H$25:$H$35,$C83)&gt;0,COUNTIF($D$25:$D$27,$C83)&gt;0),"",T83)</f>
        <v/>
      </c>
    </row>
    <row r="92" spans="2:29" x14ac:dyDescent="0.45">
      <c r="B92" s="131" t="s">
        <v>186</v>
      </c>
      <c r="C92" s="132" t="str">
        <f>IF(OR($C64="",U64="",$E64&lt;&gt;"Yes",COUNTIF($H$25:$H$35,$C64)&gt;0,COUNTIF($D$25:$D$28,$C64)&gt;0),"",U64)</f>
        <v/>
      </c>
      <c r="D92" s="132">
        <f>IF(OR($C65="",U65="",$E65&lt;&gt;"Yes",COUNTIF($H$25:$H$35,$C65)&gt;0,COUNTIF($D$25:$D$28,$C65)&gt;0),"",U65)</f>
        <v>9.3777777777777782</v>
      </c>
      <c r="E92" s="132" t="str">
        <f>IF(OR($C66="",U66="",$E66&lt;&gt;"Yes",COUNTIF($H$25:$H$35,$C66)&gt;0,COUNTIF($D$25:$D$28,$C66)&gt;0),"",U66)</f>
        <v/>
      </c>
      <c r="F92" s="132">
        <f>IF(OR($C67="",U67="",$E67&lt;&gt;"Yes",COUNTIF($H$25:$H$35,$C67)&gt;0,COUNTIF($D$25:$D$28,$C67)&gt;0),"",U67)</f>
        <v>4.7555555555555555</v>
      </c>
      <c r="G92" s="132" t="str">
        <f>IF(OR($C68="",U68="",$E68&lt;&gt;"Yes",COUNTIF($H$25:$H$35,$C68)&gt;0,COUNTIF($D$25:$D$28,$C68)&gt;0),"",U68)</f>
        <v/>
      </c>
      <c r="H92" s="132" t="str">
        <f>IF(OR($C69="",U69="",$E69&lt;&gt;"Yes",COUNTIF($H$25:$H$35,$C69)&gt;0,COUNTIF($D$25:$D$28,$C69)&gt;0),"",U69)</f>
        <v/>
      </c>
      <c r="I92" s="132" t="str">
        <f>IF(OR($C70="",U70="",$E70&lt;&gt;"Yes",COUNTIF($H$25:$H$35,$C70)&gt;0,COUNTIF($D$25:$D$28,$C70)&gt;0),"",U70)</f>
        <v/>
      </c>
      <c r="J92" s="132" t="str">
        <f>IF(OR($C71="",U71="",$E71&lt;&gt;"Yes",COUNTIF($H$25:$H$35,$C71)&gt;0,COUNTIF($D$25:$D$28,$C71)&gt;0),"",U71)</f>
        <v/>
      </c>
      <c r="K92" s="132" t="str">
        <f>IF(OR($C72="",U72="",$E72&lt;&gt;"Yes",COUNTIF($H$25:$H$35,$C72)&gt;0,COUNTIF($D$25:$D$28,$C72)&gt;0),"",U72)</f>
        <v/>
      </c>
      <c r="L92" s="132" t="str">
        <f>IF(OR($C73="",U73="",$E73&lt;&gt;"Yes",COUNTIF($H$25:$H$35,$C73)&gt;0,COUNTIF($D$25:$D$28,$C73)&gt;0),"",U73)</f>
        <v/>
      </c>
      <c r="M92" s="132">
        <f>IF(OR($C74="",U74="",$E74&lt;&gt;"Yes",COUNTIF($H$25:$H$35,$C74)&gt;0,COUNTIF($D$25:$D$28,$C74)&gt;0),"",U74)</f>
        <v>10.488888888888889</v>
      </c>
      <c r="N92" s="132" t="str">
        <f>IF(OR($C75="",U75="",$E75&lt;&gt;"Yes",COUNTIF($H$25:$H$35,$C75)&gt;0,COUNTIF($D$25:$D$28,$C75)&gt;0),"",U75)</f>
        <v/>
      </c>
      <c r="O92" s="132" t="str">
        <f>IF(OR($C76="",U76="",$E76&lt;&gt;"Yes",COUNTIF($H$25:$H$35,$C76)&gt;0,COUNTIF($D$25:$D$28,$C76)&gt;0),"",U76)</f>
        <v/>
      </c>
      <c r="P92" s="132" t="str">
        <f>IF(OR($C77="",U77="",$E77&lt;&gt;"Yes",COUNTIF($H$25:$H$35,$C77)&gt;0,COUNTIF($D$25:$D$28,$C77)&gt;0),"",U77)</f>
        <v/>
      </c>
      <c r="Q92" s="132" t="str">
        <f>IF(OR($C78="",U78="",$E78&lt;&gt;"Yes",COUNTIF($H$25:$H$35,$C78)&gt;0,COUNTIF($D$25:$D$28,$C78)&gt;0),"",U78)</f>
        <v/>
      </c>
      <c r="R92" s="132" t="str">
        <f>IF(OR($C79="",U79="",$E79&lt;&gt;"Yes",COUNTIF($H$25:$H$35,$C79)&gt;0,COUNTIF($D$25:$D$28,$C79)&gt;0),"",U79)</f>
        <v/>
      </c>
      <c r="S92" s="132" t="str">
        <f>IF(OR($C80="",U80="",$E80&lt;&gt;"Yes",COUNTIF($H$25:$H$35,$C80)&gt;0,COUNTIF($D$25:$D$28,$C80)&gt;0),"",U80)</f>
        <v/>
      </c>
      <c r="T92" s="132" t="str">
        <f>IF(OR($C81="",U81="",$E81&lt;&gt;"Yes",COUNTIF($H$25:$H$35,$C81)&gt;0,COUNTIF($D$25:$D$28,$C81)&gt;0),"",U81)</f>
        <v/>
      </c>
      <c r="U92" s="132" t="str">
        <f>IF(OR($C82="",U82="",$E82&lt;&gt;"Yes",COUNTIF($H$25:$H$35,$C82)&gt;0,COUNTIF($D$25:$D$28,$C82)&gt;0),"",U82)</f>
        <v/>
      </c>
      <c r="V92" s="132" t="str">
        <f>IF(OR($C83="",U83="",$E83&lt;&gt;"Yes",COUNTIF($H$25:$H$35,$C83)&gt;0,COUNTIF($D$25:$D$28,$C83)&gt;0),"",U83)</f>
        <v/>
      </c>
    </row>
    <row r="93" spans="2:29" x14ac:dyDescent="0.45">
      <c r="B93" s="131" t="s">
        <v>187</v>
      </c>
      <c r="C93" s="132" t="str">
        <f>IF(OR($C64="",V64="",$E64&lt;&gt;"Yes",COUNTIF($H$25:$H$35,$C64)&gt;0,COUNTIF($D$25:$D$29,$C64)&gt;0),"",V64)</f>
        <v/>
      </c>
      <c r="D93" s="132" t="str">
        <f>IF(OR($C65="",V65="",$E65&lt;&gt;"Yes",COUNTIF($H$25:$H$35,$C65)&gt;0,COUNTIF($D$25:$D$29,$C65)&gt;0),"",V65)</f>
        <v/>
      </c>
      <c r="E93" s="132" t="str">
        <f>IF(OR($C66="",V66="",$E66&lt;&gt;"Yes",COUNTIF($H$25:$H$35,$C66)&gt;0,COUNTIF($D$25:$D$29,$C66)&gt;0),"",V66)</f>
        <v/>
      </c>
      <c r="F93" s="132" t="str">
        <f>IF(OR($C67="",V67="",$E67&lt;&gt;"Yes",COUNTIF($H$25:$H$35,$C67)&gt;0,COUNTIF($D$25:$D$29,$C67)&gt;0),"",V67)</f>
        <v/>
      </c>
      <c r="G93" s="132" t="str">
        <f>IF(OR($C68="",V68="",$E68&lt;&gt;"Yes",COUNTIF($H$25:$H$35,$C68)&gt;0,COUNTIF($D$25:$D$29,$C68)&gt;0),"",V68)</f>
        <v/>
      </c>
      <c r="H93" s="132" t="str">
        <f>IF(OR($C69="",V69="",$E69&lt;&gt;"Yes",COUNTIF($H$25:$H$35,$C69)&gt;0,COUNTIF($D$25:$D$29,$C69)&gt;0),"",V69)</f>
        <v/>
      </c>
      <c r="I93" s="132" t="str">
        <f>IF(OR($C70="",V70="",$E70&lt;&gt;"Yes",COUNTIF($H$25:$H$35,$C70)&gt;0,COUNTIF($D$25:$D$29,$C70)&gt;0),"",V70)</f>
        <v/>
      </c>
      <c r="J93" s="132" t="str">
        <f>IF(OR($C71="",V71="",$E71&lt;&gt;"Yes",COUNTIF($H$25:$H$35,$C71)&gt;0,COUNTIF($D$25:$D$29,$C71)&gt;0),"",V71)</f>
        <v/>
      </c>
      <c r="K93" s="132" t="str">
        <f>IF(OR($C72="",V72="",$E72&lt;&gt;"Yes",COUNTIF($H$25:$H$35,$C72)&gt;0,COUNTIF($D$25:$D$29,$C72)&gt;0),"",V72)</f>
        <v/>
      </c>
      <c r="L93" s="132" t="str">
        <f>IF(OR($C73="",V73="",$E73&lt;&gt;"Yes",COUNTIF($H$25:$H$35,$C73)&gt;0,COUNTIF($D$25:$D$29,$C73)&gt;0),"",V73)</f>
        <v/>
      </c>
      <c r="M93" s="132" t="str">
        <f>IF(OR($C74="",V74="",$E74&lt;&gt;"Yes",COUNTIF($H$25:$H$35,$C74)&gt;0,COUNTIF($D$25:$D$29,$C74)&gt;0),"",V74)</f>
        <v/>
      </c>
      <c r="N93" s="132" t="str">
        <f>IF(OR($C75="",V75="",$E75&lt;&gt;"Yes",COUNTIF($H$25:$H$35,$C75)&gt;0,COUNTIF($D$25:$D$29,$C75)&gt;0),"",V75)</f>
        <v/>
      </c>
      <c r="O93" s="132">
        <f>IF(OR($C76="",V76="",$E76&lt;&gt;"Yes",COUNTIF($H$25:$H$35,$C76)&gt;0,COUNTIF($D$25:$D$29,$C76)&gt;0),"",V76)</f>
        <v>8.9777777777777779</v>
      </c>
      <c r="P93" s="132" t="str">
        <f>IF(OR($C77="",V77="",$E77&lt;&gt;"Yes",COUNTIF($H$25:$H$35,$C77)&gt;0,COUNTIF($D$25:$D$29,$C77)&gt;0),"",V77)</f>
        <v/>
      </c>
      <c r="Q93" s="132" t="str">
        <f>IF(OR($C78="",V78="",$E78&lt;&gt;"Yes",COUNTIF($H$25:$H$35,$C78)&gt;0,COUNTIF($D$25:$D$29,$C78)&gt;0),"",V78)</f>
        <v/>
      </c>
      <c r="R93" s="132" t="str">
        <f>IF(OR($C79="",V79="",$E79&lt;&gt;"Yes",COUNTIF($H$25:$H$35,$C79)&gt;0,COUNTIF($D$25:$D$29,$C79)&gt;0),"",V79)</f>
        <v/>
      </c>
      <c r="S93" s="132" t="str">
        <f>IF(OR($C80="",V80="",$E80&lt;&gt;"Yes",COUNTIF($H$25:$H$35,$C80)&gt;0,COUNTIF($D$25:$D$29,$C80)&gt;0),"",V80)</f>
        <v/>
      </c>
      <c r="T93" s="132" t="str">
        <f>IF(OR($C81="",V81="",$E81&lt;&gt;"Yes",COUNTIF($H$25:$H$35,$C81)&gt;0,COUNTIF($D$25:$D$29,$C81)&gt;0),"",V81)</f>
        <v/>
      </c>
      <c r="U93" s="132" t="str">
        <f>IF(OR($C82="",V82="",$E82&lt;&gt;"Yes",COUNTIF($H$25:$H$35,$C82)&gt;0,COUNTIF($D$25:$D$29,$C82)&gt;0),"",V82)</f>
        <v/>
      </c>
      <c r="V93" s="132" t="str">
        <f>IF(OR($C83="",V83="",$E83&lt;&gt;"Yes",COUNTIF($H$25:$H$35,$C83)&gt;0,COUNTIF($D$25:$D$29,$C83)&gt;0),"",V83)</f>
        <v/>
      </c>
    </row>
    <row r="94" spans="2:29" x14ac:dyDescent="0.45">
      <c r="B94" s="131" t="s">
        <v>188</v>
      </c>
      <c r="C94" s="132" t="str">
        <f>IF(OR($C64="",W64="",$E64&lt;&gt;"Yes",COUNTIF($H$25:$H$35,$C64)&gt;0,COUNTIF($D$25:$D$30,$C64)&gt;0),"",W64)</f>
        <v/>
      </c>
      <c r="D94" s="132" t="str">
        <f>IF(OR($C65="",W65="",$E65&lt;&gt;"Yes",COUNTIF($H$25:$H$35,$C65)&gt;0,COUNTIF($D$25:$D$30,$C65)&gt;0),"",W65)</f>
        <v/>
      </c>
      <c r="E94" s="132" t="str">
        <f>IF(OR($C66="",W66="",$E66&lt;&gt;"Yes",COUNTIF($H$25:$H$35,$C66)&gt;0,COUNTIF($D$25:$D$30,$C66)&gt;0),"",W66)</f>
        <v/>
      </c>
      <c r="F94" s="132" t="str">
        <f>IF(OR($C67="",W67="",$E67&lt;&gt;"Yes",COUNTIF($H$25:$H$35,$C67)&gt;0,COUNTIF($D$25:$D$30,$C67)&gt;0),"",W67)</f>
        <v/>
      </c>
      <c r="G94" s="132" t="str">
        <f>IF(OR($C68="",W68="",$E68&lt;&gt;"Yes",COUNTIF($H$25:$H$35,$C68)&gt;0,COUNTIF($D$25:$D$30,$C68)&gt;0),"",W68)</f>
        <v/>
      </c>
      <c r="H94" s="132" t="str">
        <f>IF(OR($C69="",W69="",$E69&lt;&gt;"Yes",COUNTIF($H$25:$H$35,$C69)&gt;0,COUNTIF($D$25:$D$30,$C69)&gt;0),"",W69)</f>
        <v/>
      </c>
      <c r="I94" s="132" t="str">
        <f>IF(OR($C70="",W70="",$E70&lt;&gt;"Yes",COUNTIF($H$25:$H$35,$C70)&gt;0,COUNTIF($D$25:$D$30,$C70)&gt;0),"",W70)</f>
        <v/>
      </c>
      <c r="J94" s="132" t="str">
        <f>IF(OR($C71="",W71="",$E71&lt;&gt;"Yes",COUNTIF($H$25:$H$35,$C71)&gt;0,COUNTIF($D$25:$D$30,$C71)&gt;0),"",W71)</f>
        <v/>
      </c>
      <c r="K94" s="132" t="str">
        <f>IF(OR($C72="",W72="",$E72&lt;&gt;"Yes",COUNTIF($H$25:$H$35,$C72)&gt;0,COUNTIF($D$25:$D$30,$C72)&gt;0),"",W72)</f>
        <v/>
      </c>
      <c r="L94" s="132" t="str">
        <f>IF(OR($C73="",W73="",$E73&lt;&gt;"Yes",COUNTIF($H$25:$H$35,$C73)&gt;0,COUNTIF($D$25:$D$30,$C73)&gt;0),"",W73)</f>
        <v/>
      </c>
      <c r="M94" s="132" t="str">
        <f>IF(OR($C74="",W74="",$E74&lt;&gt;"Yes",COUNTIF($H$25:$H$35,$C74)&gt;0,COUNTIF($D$25:$D$30,$C74)&gt;0),"",W74)</f>
        <v/>
      </c>
      <c r="N94" s="132" t="str">
        <f>IF(OR($C75="",W75="",$E75&lt;&gt;"Yes",COUNTIF($H$25:$H$35,$C75)&gt;0,COUNTIF($D$25:$D$30,$C75)&gt;0),"",W75)</f>
        <v/>
      </c>
      <c r="O94" s="132" t="str">
        <f>IF(OR($C76="",W76="",$E76&lt;&gt;"Yes",COUNTIF($H$25:$H$35,$C76)&gt;0,COUNTIF($D$25:$D$30,$C76)&gt;0),"",W76)</f>
        <v/>
      </c>
      <c r="P94" s="132" t="str">
        <f>IF(OR($C77="",W77="",$E77&lt;&gt;"Yes",COUNTIF($H$25:$H$35,$C77)&gt;0,COUNTIF($D$25:$D$30,$C77)&gt;0),"",W77)</f>
        <v/>
      </c>
      <c r="Q94" s="132" t="str">
        <f>IF(OR($C78="",W78="",$E78&lt;&gt;"Yes",COUNTIF($H$25:$H$35,$C78)&gt;0,COUNTIF($D$25:$D$30,$C78)&gt;0),"",W78)</f>
        <v/>
      </c>
      <c r="R94" s="132" t="str">
        <f>IF(OR($C79="",W79="",$E79&lt;&gt;"Yes",COUNTIF($H$25:$H$35,$C79)&gt;0,COUNTIF($D$25:$D$30,$C79)&gt;0),"",W79)</f>
        <v/>
      </c>
      <c r="S94" s="132" t="str">
        <f>IF(OR($C80="",W80="",$E80&lt;&gt;"Yes",COUNTIF($H$25:$H$35,$C80)&gt;0,COUNTIF($D$25:$D$30,$C80)&gt;0),"",W80)</f>
        <v/>
      </c>
      <c r="T94" s="132" t="str">
        <f>IF(OR($C81="",W81="",$E81&lt;&gt;"Yes",COUNTIF($H$25:$H$35,$C81)&gt;0,COUNTIF($D$25:$D$30,$C81)&gt;0),"",W81)</f>
        <v/>
      </c>
      <c r="U94" s="132" t="str">
        <f>IF(OR($C82="",W82="",$E82&lt;&gt;"Yes",COUNTIF($H$25:$H$35,$C82)&gt;0,COUNTIF($D$25:$D$30,$C82)&gt;0),"",W82)</f>
        <v/>
      </c>
      <c r="V94" s="132" t="str">
        <f>IF(OR($C83="",W83="",$E83&lt;&gt;"Yes",COUNTIF($H$25:$H$35,$C83)&gt;0,COUNTIF($D$25:$D$30,$C83)&gt;0),"",W83)</f>
        <v/>
      </c>
    </row>
    <row r="95" spans="2:29" x14ac:dyDescent="0.45">
      <c r="B95" s="131" t="s">
        <v>189</v>
      </c>
      <c r="C95" s="132" t="str">
        <f>IF(OR($C64="",X64="",$E64&lt;&gt;"Yes",COUNTIF($H$25:$H$35,$C64)&gt;0,COUNTIF($D$25:$D$31,$C64)&gt;0),"",X64)</f>
        <v/>
      </c>
      <c r="D95" s="132" t="str">
        <f>IF(OR($C65="",X65="",$E65&lt;&gt;"Yes",COUNTIF($H$25:$H$35,$C65)&gt;0,COUNTIF($D$25:$D$31,$C65)&gt;0),"",X65)</f>
        <v/>
      </c>
      <c r="E95" s="132" t="str">
        <f>IF(OR($C66="",X66="",$E66&lt;&gt;"Yes",COUNTIF($H$25:$H$35,$C66)&gt;0,COUNTIF($D$25:$D$31,$C66)&gt;0),"",X66)</f>
        <v/>
      </c>
      <c r="F95" s="132" t="str">
        <f>IF(OR($C67="",X67="",$E67&lt;&gt;"Yes",COUNTIF($H$25:$H$35,$C67)&gt;0,COUNTIF($D$25:$D$31,$C67)&gt;0),"",X67)</f>
        <v/>
      </c>
      <c r="G95" s="132">
        <f>IF(OR($C68="",X68="",$E68&lt;&gt;"Yes",COUNTIF($H$25:$H$35,$C68)&gt;0,COUNTIF($D$25:$D$31,$C68)&gt;0),"",X68)</f>
        <v>10.304347826086957</v>
      </c>
      <c r="H95" s="132">
        <f>IF(OR($C69="",X69="",$E69&lt;&gt;"Yes",COUNTIF($H$25:$H$35,$C69)&gt;0,COUNTIF($D$25:$D$31,$C69)&gt;0),"",X69)</f>
        <v>9.8913043478260878</v>
      </c>
      <c r="I95" s="132" t="str">
        <f>IF(OR($C70="",X70="",$E70&lt;&gt;"Yes",COUNTIF($H$25:$H$35,$C70)&gt;0,COUNTIF($D$25:$D$31,$C70)&gt;0),"",X70)</f>
        <v/>
      </c>
      <c r="J95" s="132" t="str">
        <f>IF(OR($C71="",X71="",$E71&lt;&gt;"Yes",COUNTIF($H$25:$H$35,$C71)&gt;0,COUNTIF($D$25:$D$31,$C71)&gt;0),"",X71)</f>
        <v/>
      </c>
      <c r="K95" s="132" t="str">
        <f>IF(OR($C72="",X72="",$E72&lt;&gt;"Yes",COUNTIF($H$25:$H$35,$C72)&gt;0,COUNTIF($D$25:$D$31,$C72)&gt;0),"",X72)</f>
        <v/>
      </c>
      <c r="L95" s="132" t="str">
        <f>IF(OR($C73="",X73="",$E73&lt;&gt;"Yes",COUNTIF($H$25:$H$35,$C73)&gt;0,COUNTIF($D$25:$D$31,$C73)&gt;0),"",X73)</f>
        <v/>
      </c>
      <c r="M95" s="132" t="str">
        <f>IF(OR($C74="",X74="",$E74&lt;&gt;"Yes",COUNTIF($H$25:$H$35,$C74)&gt;0,COUNTIF($D$25:$D$31,$C74)&gt;0),"",X74)</f>
        <v/>
      </c>
      <c r="N95" s="132" t="str">
        <f>IF(OR($C75="",X75="",$E75&lt;&gt;"Yes",COUNTIF($H$25:$H$35,$C75)&gt;0,COUNTIF($D$25:$D$31,$C75)&gt;0),"",X75)</f>
        <v/>
      </c>
      <c r="O95" s="132" t="str">
        <f>IF(OR($C76="",X76="",$E76&lt;&gt;"Yes",COUNTIF($H$25:$H$35,$C76)&gt;0,COUNTIF($D$25:$D$31,$C76)&gt;0),"",X76)</f>
        <v/>
      </c>
      <c r="P95" s="132" t="str">
        <f>IF(OR($C77="",X77="",$E77&lt;&gt;"Yes",COUNTIF($H$25:$H$35,$C77)&gt;0,COUNTIF($D$25:$D$31,$C77)&gt;0),"",X77)</f>
        <v/>
      </c>
      <c r="Q95" s="132" t="str">
        <f>IF(OR($C78="",X78="",$E78&lt;&gt;"Yes",COUNTIF($H$25:$H$35,$C78)&gt;0,COUNTIF($D$25:$D$31,$C78)&gt;0),"",X78)</f>
        <v/>
      </c>
      <c r="R95" s="132" t="str">
        <f>IF(OR($C79="",X79="",$E79&lt;&gt;"Yes",COUNTIF($H$25:$H$35,$C79)&gt;0,COUNTIF($D$25:$D$31,$C79)&gt;0),"",X79)</f>
        <v/>
      </c>
      <c r="S95" s="132" t="str">
        <f>IF(OR($C80="",X80="",$E80&lt;&gt;"Yes",COUNTIF($H$25:$H$35,$C80)&gt;0,COUNTIF($D$25:$D$31,$C80)&gt;0),"",X80)</f>
        <v/>
      </c>
      <c r="T95" s="132" t="str">
        <f>IF(OR($C81="",X81="",$E81&lt;&gt;"Yes",COUNTIF($H$25:$H$35,$C81)&gt;0,COUNTIF($D$25:$D$31,$C81)&gt;0),"",X81)</f>
        <v/>
      </c>
      <c r="U95" s="132" t="str">
        <f>IF(OR($C82="",X82="",$E82&lt;&gt;"Yes",COUNTIF($H$25:$H$35,$C82)&gt;0,COUNTIF($D$25:$D$31,$C82)&gt;0),"",X82)</f>
        <v/>
      </c>
      <c r="V95" s="132" t="str">
        <f>IF(OR($C83="",X83="",$E83&lt;&gt;"Yes",COUNTIF($H$25:$H$35,$C83)&gt;0,COUNTIF($D$25:$D$31,$C83)&gt;0),"",X83)</f>
        <v/>
      </c>
    </row>
    <row r="96" spans="2:29" x14ac:dyDescent="0.45">
      <c r="B96" s="131" t="s">
        <v>190</v>
      </c>
      <c r="C96" s="132" t="str">
        <f>IF(OR($C64="",Y64="",$E64&lt;&gt;"Yes",COUNTIF($H$25:$H$35,$C64)&gt;0,COUNTIF($D$25:$D$32,$C64)&gt;0),"",Y64)</f>
        <v/>
      </c>
      <c r="D96" s="132" t="str">
        <f>IF(OR($C65="",Y65="",$E65&lt;&gt;"Yes",COUNTIF($H$25:$H$35,$C65)&gt;0,COUNTIF($D$25:$D$32,$C65)&gt;0),"",Y65)</f>
        <v/>
      </c>
      <c r="E96" s="132" t="str">
        <f>IF(OR($C66="",Y66="",$E66&lt;&gt;"Yes",COUNTIF($H$25:$H$35,$C66)&gt;0,COUNTIF($D$25:$D$32,$C66)&gt;0),"",Y66)</f>
        <v/>
      </c>
      <c r="F96" s="132" t="str">
        <f>IF(OR($C67="",Y67="",$E67&lt;&gt;"Yes",COUNTIF($H$25:$H$35,$C67)&gt;0,COUNTIF($D$25:$D$32,$C67)&gt;0),"",Y67)</f>
        <v/>
      </c>
      <c r="G96" s="132" t="str">
        <f>IF(OR($C68="",Y68="",$E68&lt;&gt;"Yes",COUNTIF($H$25:$H$35,$C68)&gt;0,COUNTIF($D$25:$D$32,$C68)&gt;0),"",Y68)</f>
        <v/>
      </c>
      <c r="H96" s="132" t="str">
        <f>IF(OR($C69="",Y69="",$E69&lt;&gt;"Yes",COUNTIF($H$25:$H$35,$C69)&gt;0,COUNTIF($D$25:$D$32,$C69)&gt;0),"",Y69)</f>
        <v/>
      </c>
      <c r="I96" s="132" t="str">
        <f>IF(OR($C70="",Y70="",$E70&lt;&gt;"Yes",COUNTIF($H$25:$H$35,$C70)&gt;0,COUNTIF($D$25:$D$32,$C70)&gt;0),"",Y70)</f>
        <v/>
      </c>
      <c r="J96" s="132">
        <f>IF(OR($C71="",Y71="",$E71&lt;&gt;"Yes",COUNTIF($H$25:$H$35,$C71)&gt;0,COUNTIF($D$25:$D$32,$C71)&gt;0),"",Y71)</f>
        <v>8.4</v>
      </c>
      <c r="K96" s="132" t="str">
        <f>IF(OR($C72="",Y72="",$E72&lt;&gt;"Yes",COUNTIF($H$25:$H$35,$C72)&gt;0,COUNTIF($D$25:$D$32,$C72)&gt;0),"",Y72)</f>
        <v/>
      </c>
      <c r="L96" s="132" t="str">
        <f>IF(OR($C73="",Y73="",$E73&lt;&gt;"Yes",COUNTIF($H$25:$H$35,$C73)&gt;0,COUNTIF($D$25:$D$32,$C73)&gt;0),"",Y73)</f>
        <v/>
      </c>
      <c r="M96" s="132" t="str">
        <f>IF(OR($C74="",Y74="",$E74&lt;&gt;"Yes",COUNTIF($H$25:$H$35,$C74)&gt;0,COUNTIF($D$25:$D$32,$C74)&gt;0),"",Y74)</f>
        <v/>
      </c>
      <c r="N96" s="132" t="str">
        <f>IF(OR($C75="",Y75="",$E75&lt;&gt;"Yes",COUNTIF($H$25:$H$35,$C75)&gt;0,COUNTIF($D$25:$D$32,$C75)&gt;0),"",Y75)</f>
        <v/>
      </c>
      <c r="O96" s="132" t="str">
        <f>IF(OR($C76="",Y76="",$E76&lt;&gt;"Yes",COUNTIF($H$25:$H$35,$C76)&gt;0,COUNTIF($D$25:$D$32,$C76)&gt;0),"",Y76)</f>
        <v/>
      </c>
      <c r="P96" s="132">
        <f>IF(OR($C77="",Y77="",$E77&lt;&gt;"Yes",COUNTIF($H$25:$H$35,$C77)&gt;0,COUNTIF($D$25:$D$32,$C77)&gt;0),"",Y77)</f>
        <v>9.5111111111111111</v>
      </c>
      <c r="Q96" s="132" t="str">
        <f>IF(OR($C78="",Y78="",$E78&lt;&gt;"Yes",COUNTIF($H$25:$H$35,$C78)&gt;0,COUNTIF($D$25:$D$32,$C78)&gt;0),"",Y78)</f>
        <v/>
      </c>
      <c r="R96" s="132" t="str">
        <f>IF(OR($C79="",Y79="",$E79&lt;&gt;"Yes",COUNTIF($H$25:$H$35,$C79)&gt;0,COUNTIF($D$25:$D$32,$C79)&gt;0),"",Y79)</f>
        <v/>
      </c>
      <c r="S96" s="132" t="str">
        <f>IF(OR($C80="",Y80="",$E80&lt;&gt;"Yes",COUNTIF($H$25:$H$35,$C80)&gt;0,COUNTIF($D$25:$D$32,$C80)&gt;0),"",Y80)</f>
        <v/>
      </c>
      <c r="T96" s="132" t="str">
        <f>IF(OR($C81="",Y81="",$E81&lt;&gt;"Yes",COUNTIF($H$25:$H$35,$C81)&gt;0,COUNTIF($D$25:$D$32,$C81)&gt;0),"",Y81)</f>
        <v/>
      </c>
      <c r="U96" s="132" t="str">
        <f>IF(OR($C82="",Y82="",$E82&lt;&gt;"Yes",COUNTIF($H$25:$H$35,$C82)&gt;0,COUNTIF($D$25:$D$32,$C82)&gt;0),"",Y82)</f>
        <v/>
      </c>
      <c r="V96" s="132" t="str">
        <f>IF(OR($C83="",Y83="",$E83&lt;&gt;"Yes",COUNTIF($H$25:$H$35,$C83)&gt;0,COUNTIF($D$25:$D$32,$C83)&gt;0),"",Y83)</f>
        <v/>
      </c>
    </row>
    <row r="97" spans="2:30" x14ac:dyDescent="0.45">
      <c r="B97" s="131" t="s">
        <v>191</v>
      </c>
      <c r="C97" s="132" t="str">
        <f>IF(OR($C64="",AA64="",$E64&lt;&gt;"Yes",COUNTIF($H$25:$H$35,$C64)&gt;0,COUNTIF($D$25:$D$33,$C64)&gt;0),"",AA64)</f>
        <v/>
      </c>
      <c r="D97" s="132" t="str">
        <f>IF(OR($C65="",AA65="",$E65&lt;&gt;"Yes",COUNTIF($H$25:$H$35,$C65)&gt;0,COUNTIF($D$25:$D$33,$C65)&gt;0),"",AA65)</f>
        <v/>
      </c>
      <c r="E97" s="132" t="str">
        <f>IF(OR($C66="",AA66="",$E66&lt;&gt;"Yes",COUNTIF($H$25:$H$35,$C66)&gt;0,COUNTIF($D$25:$D$33,$C66)&gt;0),"",AA66)</f>
        <v/>
      </c>
      <c r="F97" s="132" t="str">
        <f>IF(OR($C67="",AA67="",$E67&lt;&gt;"Yes",COUNTIF($H$25:$H$35,$C67)&gt;0,COUNTIF($D$25:$D$33,$C67)&gt;0),"",AA67)</f>
        <v/>
      </c>
      <c r="G97" s="132" t="str">
        <f>IF(OR($C68="",AA68="",$E68&lt;&gt;"Yes",COUNTIF($H$25:$H$35,$C68)&gt;0,COUNTIF($D$25:$D$33,$C68)&gt;0),"",AA68)</f>
        <v/>
      </c>
      <c r="H97" s="132" t="str">
        <f>IF(OR($C69="",AA69="",$E69&lt;&gt;"Yes",COUNTIF($H$25:$H$35,$C69)&gt;0,COUNTIF($D$25:$D$33,$C69)&gt;0),"",AA69)</f>
        <v/>
      </c>
      <c r="I97" s="132">
        <f>IF(OR($C70="",AA70="",$E70&lt;&gt;"Yes",COUNTIF($H$25:$H$35,$C70)&gt;0,COUNTIF($D$25:$D$33,$C70)&gt;0),"",AA70)</f>
        <v>8.9600000000000009</v>
      </c>
      <c r="J97" s="132">
        <f>IF(OR($C71="",AA71="",$E71&lt;&gt;"Yes",COUNTIF($H$25:$H$35,$C71)&gt;0,COUNTIF($D$25:$D$33,$C71)&gt;0),"",AA71)</f>
        <v>8.14</v>
      </c>
      <c r="K97" s="132" t="str">
        <f>IF(OR($C72="",AA72="",$E72&lt;&gt;"Yes",COUNTIF($H$25:$H$35,$C72)&gt;0,COUNTIF($D$25:$D$33,$C72)&gt;0),"",AA72)</f>
        <v/>
      </c>
      <c r="L97" s="132" t="str">
        <f>IF(OR($C73="",AA73="",$E73&lt;&gt;"Yes",COUNTIF($H$25:$H$35,$C73)&gt;0,COUNTIF($D$25:$D$33,$C73)&gt;0),"",AA73)</f>
        <v/>
      </c>
      <c r="M97" s="132" t="str">
        <f>IF(OR($C74="",AA74="",$E74&lt;&gt;"Yes",COUNTIF($H$25:$H$35,$C74)&gt;0,COUNTIF($D$25:$D$33,$C74)&gt;0),"",AA74)</f>
        <v/>
      </c>
      <c r="N97" s="132" t="str">
        <f>IF(OR($C75="",AA75="",$E75&lt;&gt;"Yes",COUNTIF($H$25:$H$35,$C75)&gt;0,COUNTIF($D$25:$D$33,$C75)&gt;0),"",AA75)</f>
        <v/>
      </c>
      <c r="O97" s="132" t="str">
        <f>IF(OR($C76="",AA76="",$E76&lt;&gt;"Yes",COUNTIF($H$25:$H$35,$C76)&gt;0,COUNTIF($D$25:$D$33,$C76)&gt;0),"",AA76)</f>
        <v/>
      </c>
      <c r="P97" s="132" t="str">
        <f>IF(OR($C77="",AA77="",$E77&lt;&gt;"Yes",COUNTIF($H$25:$H$35,$C77)&gt;0,COUNTIF($D$25:$D$33,$C77)&gt;0),"",AA77)</f>
        <v/>
      </c>
      <c r="Q97" s="132" t="str">
        <f>IF(OR($C78="",AA78="",$E78&lt;&gt;"Yes",COUNTIF($H$25:$H$35,$C78)&gt;0,COUNTIF($D$25:$D$33,$C78)&gt;0),"",AA78)</f>
        <v/>
      </c>
      <c r="R97" s="132">
        <f>IF(OR($C79="",AA79="",$E79&lt;&gt;"Yes",COUNTIF($H$25:$H$35,$C79)&gt;0,COUNTIF($D$25:$D$33,$C79)&gt;0),"",AA79)</f>
        <v>11.52</v>
      </c>
      <c r="S97" s="132" t="str">
        <f>IF(OR($C80="",AA80="",$E80&lt;&gt;"Yes",COUNTIF($H$25:$H$35,$C80)&gt;0,COUNTIF($D$25:$D$33,$C80)&gt;0),"",AA80)</f>
        <v/>
      </c>
      <c r="T97" s="132" t="str">
        <f>IF(OR($C81="",AA81="",$E81&lt;&gt;"Yes",COUNTIF($H$25:$H$35,$C81)&gt;0,COUNTIF($D$25:$D$33,$C81)&gt;0),"",AA81)</f>
        <v/>
      </c>
      <c r="U97" s="132" t="str">
        <f>IF(OR($C82="",AA82="",$E82&lt;&gt;"Yes",COUNTIF($H$25:$H$35,$C82)&gt;0,COUNTIF($D$25:$D$33,$C82)&gt;0),"",AA82)</f>
        <v/>
      </c>
      <c r="V97" s="132" t="str">
        <f>IF(OR($C83="",AA83="",$E83&lt;&gt;"Yes",COUNTIF($H$25:$H$35,$C83)&gt;0,COUNTIF($D$25:$D$33,$C83)&gt;0),"",AA83)</f>
        <v/>
      </c>
    </row>
    <row r="98" spans="2:30" x14ac:dyDescent="0.45">
      <c r="B98" s="131" t="s">
        <v>192</v>
      </c>
      <c r="C98" s="132" t="str">
        <f>IF(OR($C64="",Z64="",$E64&lt;&gt;"Yes",COUNTIF($H$25:$H$35,$C64)&gt;0,COUNTIF($D$25:$D$34,$C64)&gt;0),"",Z64)</f>
        <v/>
      </c>
      <c r="D98" s="132" t="str">
        <f>IF(OR($C65="",Z65="",$E65&lt;&gt;"Yes",COUNTIF($H$25:$H$35,$C65)&gt;0,COUNTIF($D$25:$D$34,$C65)&gt;0),"",Z65)</f>
        <v/>
      </c>
      <c r="E98" s="132" t="str">
        <f>IF(OR($C66="",Z66="",$E66&lt;&gt;"Yes",COUNTIF($H$25:$H$35,$C66)&gt;0,COUNTIF($D$25:$D$34,$C66)&gt;0),"",Z66)</f>
        <v/>
      </c>
      <c r="F98" s="132" t="str">
        <f>IF(OR($C67="",Z67="",$E67&lt;&gt;"Yes",COUNTIF($H$25:$H$35,$C67)&gt;0,COUNTIF($D$25:$D$34,$C67)&gt;0),"",Z67)</f>
        <v/>
      </c>
      <c r="G98" s="132" t="str">
        <f>IF(OR($C68="",Z68="",$E68&lt;&gt;"Yes",COUNTIF($H$25:$H$35,$C68)&gt;0,COUNTIF($D$25:$D$34,$C68)&gt;0),"",Z68)</f>
        <v/>
      </c>
      <c r="H98" s="132" t="str">
        <f>IF(OR($C69="",Z69="",$E69&lt;&gt;"Yes",COUNTIF($H$25:$H$35,$C69)&gt;0,COUNTIF($D$25:$D$34,$C69)&gt;0),"",Z69)</f>
        <v/>
      </c>
      <c r="I98" s="132">
        <f>IF(OR($C70="",Z70="",$E70&lt;&gt;"Yes",COUNTIF($H$25:$H$35,$C70)&gt;0,COUNTIF($D$25:$D$34,$C70)&gt;0),"",Z70)</f>
        <v>9.2222222222222214</v>
      </c>
      <c r="J98" s="132" t="str">
        <f>IF(OR($C71="",Z71="",$E71&lt;&gt;"Yes",COUNTIF($H$25:$H$35,$C71)&gt;0,COUNTIF($D$25:$D$34,$C71)&gt;0),"",Z71)</f>
        <v/>
      </c>
      <c r="K98" s="132" t="str">
        <f>IF(OR($C72="",Z72="",$E72&lt;&gt;"Yes",COUNTIF($H$25:$H$35,$C72)&gt;0,COUNTIF($D$25:$D$34,$C72)&gt;0),"",Z72)</f>
        <v/>
      </c>
      <c r="L98" s="132" t="str">
        <f>IF(OR($C73="",Z73="",$E73&lt;&gt;"Yes",COUNTIF($H$25:$H$35,$C73)&gt;0,COUNTIF($D$25:$D$34,$C73)&gt;0),"",Z73)</f>
        <v/>
      </c>
      <c r="M98" s="132" t="str">
        <f>IF(OR($C74="",Z74="",$E74&lt;&gt;"Yes",COUNTIF($H$25:$H$35,$C74)&gt;0,COUNTIF($D$25:$D$34,$C74)&gt;0),"",Z74)</f>
        <v/>
      </c>
      <c r="N98" s="132" t="str">
        <f>IF(OR($C75="",Z75="",$E75&lt;&gt;"Yes",COUNTIF($H$25:$H$35,$C75)&gt;0,COUNTIF($D$25:$D$34,$C75)&gt;0),"",Z75)</f>
        <v/>
      </c>
      <c r="O98" s="132" t="str">
        <f>IF(OR($C76="",Z76="",$E76&lt;&gt;"Yes",COUNTIF($H$25:$H$35,$C76)&gt;0,COUNTIF($D$25:$D$34,$C76)&gt;0),"",Z76)</f>
        <v/>
      </c>
      <c r="P98" s="132" t="str">
        <f>IF(OR($C77="",Z77="",$E77&lt;&gt;"Yes",COUNTIF($H$25:$H$35,$C77)&gt;0,COUNTIF($D$25:$D$34,$C77)&gt;0),"",Z77)</f>
        <v/>
      </c>
      <c r="Q98" s="132" t="str">
        <f>IF(OR($C78="",Z78="",$E78&lt;&gt;"Yes",COUNTIF($H$25:$H$35,$C78)&gt;0,COUNTIF($D$25:$D$34,$C78)&gt;0),"",Z78)</f>
        <v/>
      </c>
      <c r="R98" s="132" t="str">
        <f>IF(OR($C79="",Z79="",$E79&lt;&gt;"Yes",COUNTIF($H$25:$H$35,$C79)&gt;0,COUNTIF($D$25:$D$34,$C79)&gt;0),"",Z79)</f>
        <v/>
      </c>
      <c r="S98" s="132" t="str">
        <f>IF(OR($C80="",Z80="",$E80&lt;&gt;"Yes",COUNTIF($H$25:$H$35,$C80)&gt;0,COUNTIF($D$25:$D$34,$C80)&gt;0),"",Z80)</f>
        <v/>
      </c>
      <c r="T98" s="132" t="str">
        <f>IF(OR($C81="",Z81="",$E81&lt;&gt;"Yes",COUNTIF($H$25:$H$35,$C81)&gt;0,COUNTIF($D$25:$D$34,$C81)&gt;0),"",Z81)</f>
        <v/>
      </c>
      <c r="U98" s="132" t="str">
        <f>IF(OR($C82="",Z82="",$E82&lt;&gt;"Yes",COUNTIF($H$25:$H$35,$C82)&gt;0,COUNTIF($D$25:$D$34,$C82)&gt;0),"",Z82)</f>
        <v/>
      </c>
      <c r="V98" s="132" t="str">
        <f>IF(OR($C83="",Z83="",$E83&lt;&gt;"Yes",COUNTIF($H$25:$H$35,$C83)&gt;0,COUNTIF($D$25:$D$34,$C83)&gt;0),"",Z83)</f>
        <v/>
      </c>
    </row>
    <row r="102" spans="2:30" x14ac:dyDescent="0.45">
      <c r="B102" s="246" t="s">
        <v>164</v>
      </c>
      <c r="C102" s="246"/>
      <c r="D102" s="246"/>
      <c r="E102" s="246"/>
      <c r="F102" s="246"/>
      <c r="G102" s="246"/>
      <c r="H102" s="246"/>
    </row>
    <row r="103" spans="2:30" ht="46.05" customHeight="1" x14ac:dyDescent="0.45">
      <c r="B103" s="98" t="s">
        <v>131</v>
      </c>
      <c r="C103" s="78" t="s">
        <v>105</v>
      </c>
      <c r="D103" s="78" t="s">
        <v>106</v>
      </c>
      <c r="E103" s="78" t="s">
        <v>107</v>
      </c>
      <c r="F103" s="78" t="s">
        <v>108</v>
      </c>
      <c r="G103" s="78" t="s">
        <v>109</v>
      </c>
      <c r="H103" s="78" t="s">
        <v>110</v>
      </c>
      <c r="I103" s="78" t="s">
        <v>111</v>
      </c>
      <c r="J103" s="78" t="s">
        <v>112</v>
      </c>
      <c r="K103" s="78" t="s">
        <v>113</v>
      </c>
      <c r="L103" s="78" t="s">
        <v>114</v>
      </c>
      <c r="M103" s="78" t="s">
        <v>115</v>
      </c>
      <c r="N103" s="78" t="s">
        <v>116</v>
      </c>
      <c r="O103" s="78" t="s">
        <v>117</v>
      </c>
      <c r="P103" s="78" t="s">
        <v>118</v>
      </c>
      <c r="Q103" s="78" t="s">
        <v>119</v>
      </c>
      <c r="R103" s="78" t="s">
        <v>39</v>
      </c>
      <c r="S103" s="78" t="s">
        <v>120</v>
      </c>
      <c r="T103" s="78" t="s">
        <v>121</v>
      </c>
      <c r="U103" s="78" t="s">
        <v>122</v>
      </c>
      <c r="V103" s="78" t="s">
        <v>123</v>
      </c>
      <c r="W103" s="78" t="s">
        <v>124</v>
      </c>
      <c r="X103" s="78" t="s">
        <v>125</v>
      </c>
      <c r="Y103" s="78" t="s">
        <v>126</v>
      </c>
      <c r="Z103" s="78" t="s">
        <v>127</v>
      </c>
      <c r="AA103" s="78" t="s">
        <v>128</v>
      </c>
      <c r="AB103" s="79">
        <v>4.2361111111111113E-2</v>
      </c>
      <c r="AC103" s="78" t="s">
        <v>129</v>
      </c>
      <c r="AD103" s="81" t="s">
        <v>130</v>
      </c>
    </row>
    <row r="104" spans="2:30" x14ac:dyDescent="0.45">
      <c r="B104" s="99" t="s">
        <v>141</v>
      </c>
      <c r="C104" s="100">
        <v>0</v>
      </c>
      <c r="D104" s="100">
        <v>0</v>
      </c>
      <c r="E104" s="100">
        <v>1</v>
      </c>
      <c r="F104" s="100">
        <v>0</v>
      </c>
      <c r="G104" s="100">
        <v>0</v>
      </c>
      <c r="H104" s="100">
        <v>1</v>
      </c>
      <c r="I104" s="100">
        <v>0</v>
      </c>
      <c r="J104" s="100">
        <v>0</v>
      </c>
      <c r="K104" s="100">
        <v>3</v>
      </c>
      <c r="L104" s="100">
        <v>3</v>
      </c>
      <c r="M104" s="100">
        <v>2</v>
      </c>
      <c r="N104" s="100">
        <v>2</v>
      </c>
      <c r="O104" s="100">
        <v>3</v>
      </c>
      <c r="P104" s="100">
        <v>1</v>
      </c>
      <c r="Q104" s="100">
        <v>0</v>
      </c>
      <c r="R104" s="100">
        <v>1</v>
      </c>
      <c r="S104" s="100">
        <v>3</v>
      </c>
      <c r="T104" s="100">
        <v>1</v>
      </c>
      <c r="U104" s="100">
        <v>1</v>
      </c>
      <c r="V104" s="100">
        <v>1</v>
      </c>
      <c r="W104" s="100">
        <v>2</v>
      </c>
      <c r="X104" s="100">
        <v>2</v>
      </c>
      <c r="Y104" s="100">
        <v>3</v>
      </c>
      <c r="Z104" s="100">
        <v>3</v>
      </c>
      <c r="AA104" s="100">
        <v>3</v>
      </c>
      <c r="AB104" s="100">
        <v>3</v>
      </c>
      <c r="AC104" s="100">
        <v>3</v>
      </c>
      <c r="AD104" s="101">
        <v>2</v>
      </c>
    </row>
    <row r="105" spans="2:30" x14ac:dyDescent="0.45">
      <c r="B105" s="99" t="s">
        <v>143</v>
      </c>
      <c r="C105" s="100">
        <v>1</v>
      </c>
      <c r="D105" s="100">
        <v>3</v>
      </c>
      <c r="E105" s="100">
        <v>2</v>
      </c>
      <c r="F105" s="100">
        <v>0</v>
      </c>
      <c r="G105" s="100">
        <v>1</v>
      </c>
      <c r="H105" s="100">
        <v>2</v>
      </c>
      <c r="I105" s="100">
        <v>0</v>
      </c>
      <c r="J105" s="100">
        <v>1</v>
      </c>
      <c r="K105" s="100">
        <v>2</v>
      </c>
      <c r="L105" s="100">
        <v>2</v>
      </c>
      <c r="M105" s="100">
        <v>2</v>
      </c>
      <c r="N105" s="100">
        <v>3</v>
      </c>
      <c r="O105" s="100">
        <v>2</v>
      </c>
      <c r="P105" s="100">
        <v>3</v>
      </c>
      <c r="Q105" s="100">
        <v>2</v>
      </c>
      <c r="R105" s="100">
        <v>3</v>
      </c>
      <c r="S105" s="100">
        <v>2</v>
      </c>
      <c r="T105" s="100">
        <v>3</v>
      </c>
      <c r="U105" s="100">
        <v>3</v>
      </c>
      <c r="V105" s="100">
        <v>3</v>
      </c>
      <c r="W105" s="100">
        <v>2</v>
      </c>
      <c r="X105" s="100">
        <v>3</v>
      </c>
      <c r="Y105" s="100">
        <v>0</v>
      </c>
      <c r="Z105" s="100">
        <v>0</v>
      </c>
      <c r="AA105" s="100">
        <v>0</v>
      </c>
      <c r="AB105" s="100">
        <v>0</v>
      </c>
      <c r="AC105" s="100">
        <v>0</v>
      </c>
      <c r="AD105" s="101">
        <v>0</v>
      </c>
    </row>
    <row r="106" spans="2:30" x14ac:dyDescent="0.45">
      <c r="B106" s="99" t="s">
        <v>147</v>
      </c>
      <c r="C106" s="100">
        <v>0</v>
      </c>
      <c r="D106" s="100">
        <v>0</v>
      </c>
      <c r="E106" s="100">
        <v>2</v>
      </c>
      <c r="F106" s="100">
        <v>0</v>
      </c>
      <c r="G106" s="100">
        <v>0</v>
      </c>
      <c r="H106" s="100">
        <v>2</v>
      </c>
      <c r="I106" s="100">
        <v>0</v>
      </c>
      <c r="J106" s="100">
        <v>3</v>
      </c>
      <c r="K106" s="100">
        <v>3</v>
      </c>
      <c r="L106" s="100">
        <v>3</v>
      </c>
      <c r="M106" s="100">
        <v>3</v>
      </c>
      <c r="N106" s="100">
        <v>3</v>
      </c>
      <c r="O106" s="100">
        <v>3</v>
      </c>
      <c r="P106" s="100">
        <v>3</v>
      </c>
      <c r="Q106" s="100">
        <v>0</v>
      </c>
      <c r="R106" s="100">
        <v>2</v>
      </c>
      <c r="S106" s="100">
        <v>3</v>
      </c>
      <c r="T106" s="100">
        <v>1</v>
      </c>
      <c r="U106" s="100">
        <v>2</v>
      </c>
      <c r="V106" s="100">
        <v>2</v>
      </c>
      <c r="W106" s="100">
        <v>3</v>
      </c>
      <c r="X106" s="100">
        <v>3</v>
      </c>
      <c r="Y106" s="100">
        <v>0</v>
      </c>
      <c r="Z106" s="100">
        <v>0</v>
      </c>
      <c r="AA106" s="100">
        <v>0</v>
      </c>
      <c r="AB106" s="100">
        <v>0</v>
      </c>
      <c r="AC106" s="100">
        <v>0</v>
      </c>
      <c r="AD106" s="101">
        <v>0</v>
      </c>
    </row>
    <row r="107" spans="2:30" x14ac:dyDescent="0.45">
      <c r="B107" s="99" t="s">
        <v>145</v>
      </c>
      <c r="C107" s="100">
        <v>1</v>
      </c>
      <c r="D107" s="100">
        <v>3</v>
      </c>
      <c r="E107" s="100">
        <v>2</v>
      </c>
      <c r="F107" s="100">
        <v>0</v>
      </c>
      <c r="G107" s="100">
        <v>1</v>
      </c>
      <c r="H107" s="100">
        <v>2</v>
      </c>
      <c r="I107" s="100">
        <v>0</v>
      </c>
      <c r="J107" s="100">
        <v>1</v>
      </c>
      <c r="K107" s="100">
        <v>2</v>
      </c>
      <c r="L107" s="100">
        <v>2</v>
      </c>
      <c r="M107" s="100">
        <v>2</v>
      </c>
      <c r="N107" s="100">
        <v>3</v>
      </c>
      <c r="O107" s="100">
        <v>2</v>
      </c>
      <c r="P107" s="100">
        <v>3</v>
      </c>
      <c r="Q107" s="100">
        <v>2</v>
      </c>
      <c r="R107" s="100">
        <v>3</v>
      </c>
      <c r="S107" s="100">
        <v>2</v>
      </c>
      <c r="T107" s="100">
        <v>3</v>
      </c>
      <c r="U107" s="100">
        <v>3</v>
      </c>
      <c r="V107" s="100">
        <v>3</v>
      </c>
      <c r="W107" s="100">
        <v>2</v>
      </c>
      <c r="X107" s="100">
        <v>3</v>
      </c>
      <c r="Y107" s="100">
        <v>0</v>
      </c>
      <c r="Z107" s="100">
        <v>0</v>
      </c>
      <c r="AA107" s="100">
        <v>0</v>
      </c>
      <c r="AB107" s="100">
        <v>0</v>
      </c>
      <c r="AC107" s="100">
        <v>0</v>
      </c>
      <c r="AD107" s="101">
        <v>0</v>
      </c>
    </row>
    <row r="108" spans="2:30" x14ac:dyDescent="0.45">
      <c r="B108" s="99" t="s">
        <v>149</v>
      </c>
      <c r="C108" s="100">
        <v>0</v>
      </c>
      <c r="D108" s="100">
        <v>1</v>
      </c>
      <c r="E108" s="100">
        <v>2</v>
      </c>
      <c r="F108" s="100">
        <v>0</v>
      </c>
      <c r="G108" s="100">
        <v>1</v>
      </c>
      <c r="H108" s="100">
        <v>3</v>
      </c>
      <c r="I108" s="100">
        <v>0</v>
      </c>
      <c r="J108" s="100">
        <v>2</v>
      </c>
      <c r="K108" s="100">
        <v>3</v>
      </c>
      <c r="L108" s="100">
        <v>3</v>
      </c>
      <c r="M108" s="100">
        <v>3</v>
      </c>
      <c r="N108" s="100">
        <v>3</v>
      </c>
      <c r="O108" s="100">
        <v>3</v>
      </c>
      <c r="P108" s="100">
        <v>3</v>
      </c>
      <c r="Q108" s="100">
        <v>2</v>
      </c>
      <c r="R108" s="100">
        <v>3</v>
      </c>
      <c r="S108" s="100">
        <v>2</v>
      </c>
      <c r="T108" s="100">
        <v>1</v>
      </c>
      <c r="U108" s="100">
        <v>1</v>
      </c>
      <c r="V108" s="100">
        <v>3</v>
      </c>
      <c r="W108" s="100">
        <v>3</v>
      </c>
      <c r="X108" s="100">
        <v>3</v>
      </c>
      <c r="Y108" s="100">
        <v>0</v>
      </c>
      <c r="Z108" s="100">
        <v>0</v>
      </c>
      <c r="AA108" s="100">
        <v>0</v>
      </c>
      <c r="AB108" s="100">
        <v>0</v>
      </c>
      <c r="AC108" s="100">
        <v>0</v>
      </c>
      <c r="AD108" s="101">
        <v>0</v>
      </c>
    </row>
    <row r="109" spans="2:30" x14ac:dyDescent="0.45">
      <c r="B109" s="99" t="s">
        <v>151</v>
      </c>
      <c r="C109" s="100">
        <v>1</v>
      </c>
      <c r="D109" s="100">
        <v>2</v>
      </c>
      <c r="E109" s="100">
        <v>3</v>
      </c>
      <c r="F109" s="100">
        <v>1</v>
      </c>
      <c r="G109" s="100">
        <v>2</v>
      </c>
      <c r="H109" s="100">
        <v>3</v>
      </c>
      <c r="I109" s="100">
        <v>1</v>
      </c>
      <c r="J109" s="100">
        <v>1</v>
      </c>
      <c r="K109" s="100">
        <v>3</v>
      </c>
      <c r="L109" s="100">
        <v>3</v>
      </c>
      <c r="M109" s="100">
        <v>3</v>
      </c>
      <c r="N109" s="100">
        <v>3</v>
      </c>
      <c r="O109" s="100">
        <v>2</v>
      </c>
      <c r="P109" s="100">
        <v>2</v>
      </c>
      <c r="Q109" s="100">
        <v>3</v>
      </c>
      <c r="R109" s="100">
        <v>3</v>
      </c>
      <c r="S109" s="100">
        <v>1</v>
      </c>
      <c r="T109" s="100">
        <v>2</v>
      </c>
      <c r="U109" s="100">
        <v>2</v>
      </c>
      <c r="V109" s="100">
        <v>3</v>
      </c>
      <c r="W109" s="100">
        <v>2</v>
      </c>
      <c r="X109" s="100">
        <v>3</v>
      </c>
      <c r="Y109" s="100">
        <v>0</v>
      </c>
      <c r="Z109" s="100">
        <v>0</v>
      </c>
      <c r="AA109" s="100">
        <v>0</v>
      </c>
      <c r="AB109" s="100">
        <v>0</v>
      </c>
      <c r="AC109" s="100">
        <v>0</v>
      </c>
      <c r="AD109" s="101">
        <v>0</v>
      </c>
    </row>
    <row r="110" spans="2:30" x14ac:dyDescent="0.45">
      <c r="B110" s="99" t="s">
        <v>153</v>
      </c>
      <c r="C110" s="100">
        <v>2</v>
      </c>
      <c r="D110" s="100">
        <v>2</v>
      </c>
      <c r="E110" s="100">
        <v>3</v>
      </c>
      <c r="F110" s="100">
        <v>2</v>
      </c>
      <c r="G110" s="100">
        <v>3</v>
      </c>
      <c r="H110" s="100">
        <v>3</v>
      </c>
      <c r="I110" s="100">
        <v>2</v>
      </c>
      <c r="J110" s="100">
        <v>1</v>
      </c>
      <c r="K110" s="100">
        <v>3</v>
      </c>
      <c r="L110" s="100">
        <v>2</v>
      </c>
      <c r="M110" s="100">
        <v>3</v>
      </c>
      <c r="N110" s="100">
        <v>2</v>
      </c>
      <c r="O110" s="100">
        <v>2</v>
      </c>
      <c r="P110" s="100">
        <v>1</v>
      </c>
      <c r="Q110" s="100">
        <v>3</v>
      </c>
      <c r="R110" s="100">
        <v>2</v>
      </c>
      <c r="S110" s="100">
        <v>1</v>
      </c>
      <c r="T110" s="100">
        <v>2</v>
      </c>
      <c r="U110" s="100">
        <v>2</v>
      </c>
      <c r="V110" s="100">
        <v>2</v>
      </c>
      <c r="W110" s="100">
        <v>1</v>
      </c>
      <c r="X110" s="100">
        <v>2</v>
      </c>
      <c r="Y110" s="100">
        <v>0</v>
      </c>
      <c r="Z110" s="100">
        <v>0</v>
      </c>
      <c r="AA110" s="100">
        <v>0</v>
      </c>
      <c r="AB110" s="100">
        <v>0</v>
      </c>
      <c r="AC110" s="100">
        <v>0</v>
      </c>
      <c r="AD110" s="101">
        <v>0</v>
      </c>
    </row>
    <row r="111" spans="2:30" x14ac:dyDescent="0.45">
      <c r="B111" s="99" t="s">
        <v>155</v>
      </c>
      <c r="C111" s="100">
        <v>2</v>
      </c>
      <c r="D111" s="100">
        <v>3</v>
      </c>
      <c r="E111" s="100">
        <v>3</v>
      </c>
      <c r="F111" s="100">
        <v>2</v>
      </c>
      <c r="G111" s="100">
        <v>2</v>
      </c>
      <c r="H111" s="100">
        <v>2</v>
      </c>
      <c r="I111" s="100">
        <v>1</v>
      </c>
      <c r="J111" s="100">
        <v>0</v>
      </c>
      <c r="K111" s="100">
        <v>2</v>
      </c>
      <c r="L111" s="100">
        <v>2</v>
      </c>
      <c r="M111" s="100">
        <v>2</v>
      </c>
      <c r="N111" s="100">
        <v>2</v>
      </c>
      <c r="O111" s="100">
        <v>1</v>
      </c>
      <c r="P111" s="100">
        <v>1</v>
      </c>
      <c r="Q111" s="100">
        <v>3</v>
      </c>
      <c r="R111" s="100">
        <v>3</v>
      </c>
      <c r="S111" s="100">
        <v>1</v>
      </c>
      <c r="T111" s="100">
        <v>3</v>
      </c>
      <c r="U111" s="100">
        <v>3</v>
      </c>
      <c r="V111" s="100">
        <v>3</v>
      </c>
      <c r="W111" s="100">
        <v>1</v>
      </c>
      <c r="X111" s="100">
        <v>3</v>
      </c>
      <c r="Y111" s="100">
        <v>0</v>
      </c>
      <c r="Z111" s="100">
        <v>0</v>
      </c>
      <c r="AA111" s="100">
        <v>0</v>
      </c>
      <c r="AB111" s="100">
        <v>0</v>
      </c>
      <c r="AC111" s="100">
        <v>0</v>
      </c>
      <c r="AD111" s="101">
        <v>0</v>
      </c>
    </row>
    <row r="112" spans="2:30" x14ac:dyDescent="0.45">
      <c r="B112" s="99" t="s">
        <v>157</v>
      </c>
      <c r="C112" s="100">
        <v>2</v>
      </c>
      <c r="D112" s="100">
        <v>3</v>
      </c>
      <c r="E112" s="100">
        <v>3</v>
      </c>
      <c r="F112" s="100">
        <v>2</v>
      </c>
      <c r="G112" s="100">
        <v>2</v>
      </c>
      <c r="H112" s="100">
        <v>2</v>
      </c>
      <c r="I112" s="100">
        <v>1</v>
      </c>
      <c r="J112" s="100">
        <v>0</v>
      </c>
      <c r="K112" s="100">
        <v>2</v>
      </c>
      <c r="L112" s="100">
        <v>2</v>
      </c>
      <c r="M112" s="100">
        <v>2</v>
      </c>
      <c r="N112" s="100">
        <v>2</v>
      </c>
      <c r="O112" s="100">
        <v>1</v>
      </c>
      <c r="P112" s="100">
        <v>1</v>
      </c>
      <c r="Q112" s="100">
        <v>3</v>
      </c>
      <c r="R112" s="100">
        <v>3</v>
      </c>
      <c r="S112" s="100">
        <v>1</v>
      </c>
      <c r="T112" s="100">
        <v>3</v>
      </c>
      <c r="U112" s="100">
        <v>3</v>
      </c>
      <c r="V112" s="100">
        <v>3</v>
      </c>
      <c r="W112" s="100">
        <v>1</v>
      </c>
      <c r="X112" s="100">
        <v>3</v>
      </c>
      <c r="Y112" s="100">
        <v>0</v>
      </c>
      <c r="Z112" s="100">
        <v>0</v>
      </c>
      <c r="AA112" s="100">
        <v>0</v>
      </c>
      <c r="AB112" s="100">
        <v>0</v>
      </c>
      <c r="AC112" s="100">
        <v>0</v>
      </c>
      <c r="AD112" s="101">
        <v>0</v>
      </c>
    </row>
    <row r="113" spans="2:30" x14ac:dyDescent="0.45">
      <c r="B113" s="102" t="s">
        <v>159</v>
      </c>
      <c r="C113" s="103">
        <v>0</v>
      </c>
      <c r="D113" s="103">
        <v>1</v>
      </c>
      <c r="E113" s="103">
        <v>3</v>
      </c>
      <c r="F113" s="103">
        <v>3</v>
      </c>
      <c r="G113" s="103">
        <v>2</v>
      </c>
      <c r="H113" s="103">
        <v>2</v>
      </c>
      <c r="I113" s="103">
        <v>1</v>
      </c>
      <c r="J113" s="103">
        <v>3</v>
      </c>
      <c r="K113" s="103">
        <v>3</v>
      </c>
      <c r="L113" s="103">
        <v>2</v>
      </c>
      <c r="M113" s="103">
        <v>3</v>
      </c>
      <c r="N113" s="103">
        <v>3</v>
      </c>
      <c r="O113" s="103">
        <v>3</v>
      </c>
      <c r="P113" s="103">
        <v>0</v>
      </c>
      <c r="Q113" s="103">
        <v>3</v>
      </c>
      <c r="R113" s="103">
        <v>2</v>
      </c>
      <c r="S113" s="103">
        <v>3</v>
      </c>
      <c r="T113" s="103">
        <v>3</v>
      </c>
      <c r="U113" s="103">
        <v>3</v>
      </c>
      <c r="V113" s="103">
        <v>2</v>
      </c>
      <c r="W113" s="103">
        <v>3</v>
      </c>
      <c r="X113" s="103">
        <v>2</v>
      </c>
      <c r="Y113" s="103">
        <v>0</v>
      </c>
      <c r="Z113" s="103">
        <v>0</v>
      </c>
      <c r="AA113" s="103">
        <v>0</v>
      </c>
      <c r="AB113" s="103">
        <v>0</v>
      </c>
      <c r="AC113" s="103">
        <v>0</v>
      </c>
      <c r="AD113" s="104">
        <v>0</v>
      </c>
    </row>
    <row r="116" spans="2:30" x14ac:dyDescent="0.45">
      <c r="B116" s="246" t="s">
        <v>342</v>
      </c>
      <c r="C116" s="246"/>
      <c r="D116" s="246"/>
      <c r="E116" s="342"/>
      <c r="F116" s="342"/>
      <c r="G116" s="342"/>
      <c r="H116" s="343"/>
      <c r="I116" s="343"/>
    </row>
    <row r="117" spans="2:30" x14ac:dyDescent="0.45">
      <c r="B117" s="192" t="s">
        <v>3</v>
      </c>
      <c r="C117" s="192" t="s">
        <v>4</v>
      </c>
      <c r="D117" s="333" t="s">
        <v>131</v>
      </c>
      <c r="E117" s="341" t="s">
        <v>196</v>
      </c>
      <c r="F117" s="341" t="s">
        <v>299</v>
      </c>
      <c r="G117" s="341" t="s">
        <v>343</v>
      </c>
      <c r="H117" s="341" t="s">
        <v>344</v>
      </c>
      <c r="I117" s="341" t="s">
        <v>345</v>
      </c>
    </row>
    <row r="118" spans="2:30" x14ac:dyDescent="0.45">
      <c r="B118" s="193">
        <f>IF($C118="","",ROWS($B$118:B118))</f>
        <v>1</v>
      </c>
      <c r="C118" s="118" t="str">
        <f>IF($C64="","",$C64)</f>
        <v>Aoife Kennan</v>
      </c>
      <c r="D118" s="334" t="str">
        <f>IF($C118="","",$D64)</f>
        <v>GK</v>
      </c>
      <c r="E118" s="336" t="s">
        <v>348</v>
      </c>
      <c r="F118" s="337"/>
      <c r="G118" s="338"/>
      <c r="H118" s="339"/>
      <c r="I118" s="340" t="str">
        <f>IF($C118="","",IF(AND($E118="Injured",$G118&lt;&gt;"",$H118&lt;&gt;""),$G118+$H118*7,""))</f>
        <v/>
      </c>
    </row>
    <row r="119" spans="2:30" x14ac:dyDescent="0.45">
      <c r="B119" s="198">
        <f>IF($C119="","",ROWS($B$118:B119))</f>
        <v>2</v>
      </c>
      <c r="C119" s="122" t="str">
        <f t="shared" ref="C119:C137" si="7">IF($C65="","",$C65)</f>
        <v>Stella McEvoy</v>
      </c>
      <c r="D119" s="335" t="str">
        <f t="shared" ref="D119:D137" si="8">IF($C119="","",$D65)</f>
        <v>LB / RB</v>
      </c>
      <c r="E119" s="336" t="s">
        <v>348</v>
      </c>
      <c r="F119" s="337"/>
      <c r="G119" s="338"/>
      <c r="H119" s="339"/>
      <c r="I119" s="340" t="str">
        <f t="shared" ref="I119:I137" si="9">IF($C119="","",IF(AND($E119="Injured",$G119&lt;&gt;"",$H119&lt;&gt;""),$G119+$H119*7,""))</f>
        <v/>
      </c>
    </row>
    <row r="120" spans="2:30" x14ac:dyDescent="0.45">
      <c r="B120" s="193">
        <f>IF($C120="","",ROWS($B$118:B120))</f>
        <v>3</v>
      </c>
      <c r="C120" s="118" t="str">
        <f t="shared" si="7"/>
        <v>Zara Power</v>
      </c>
      <c r="D120" s="334" t="str">
        <f t="shared" si="8"/>
        <v>RB</v>
      </c>
      <c r="E120" s="336" t="s">
        <v>301</v>
      </c>
      <c r="F120" s="337" t="s">
        <v>347</v>
      </c>
      <c r="G120" s="338">
        <v>46248</v>
      </c>
      <c r="H120" s="339">
        <v>7</v>
      </c>
      <c r="I120" s="340">
        <f t="shared" si="9"/>
        <v>46297</v>
      </c>
    </row>
    <row r="121" spans="2:30" x14ac:dyDescent="0.45">
      <c r="B121" s="198">
        <f>IF($C121="","",ROWS($B$118:B121))</f>
        <v>4</v>
      </c>
      <c r="C121" s="122" t="str">
        <f t="shared" si="7"/>
        <v>Heidi Cerubini Dunne</v>
      </c>
      <c r="D121" s="335" t="str">
        <f t="shared" si="8"/>
        <v>LB / RB</v>
      </c>
      <c r="E121" s="336" t="s">
        <v>348</v>
      </c>
      <c r="F121" s="337"/>
      <c r="G121" s="338"/>
      <c r="H121" s="339"/>
      <c r="I121" s="340" t="str">
        <f t="shared" si="9"/>
        <v/>
      </c>
    </row>
    <row r="122" spans="2:30" x14ac:dyDescent="0.45">
      <c r="B122" s="193">
        <f>IF($C122="","",ROWS($B$118:B122))</f>
        <v>5</v>
      </c>
      <c r="C122" s="118" t="str">
        <f t="shared" si="7"/>
        <v>Roisin Offenhausen</v>
      </c>
      <c r="D122" s="334" t="str">
        <f t="shared" si="8"/>
        <v>RW / ACM / ST</v>
      </c>
      <c r="E122" s="336" t="s">
        <v>348</v>
      </c>
      <c r="F122" s="337"/>
      <c r="G122" s="338"/>
      <c r="H122" s="339"/>
      <c r="I122" s="340" t="str">
        <f t="shared" si="9"/>
        <v/>
      </c>
    </row>
    <row r="123" spans="2:30" x14ac:dyDescent="0.45">
      <c r="B123" s="198">
        <f>IF($C123="","",ROWS($B$118:B123))</f>
        <v>6</v>
      </c>
      <c r="C123" s="122" t="str">
        <f t="shared" si="7"/>
        <v>Naomi Adewoyin</v>
      </c>
      <c r="D123" s="335" t="str">
        <f t="shared" si="8"/>
        <v>ACM</v>
      </c>
      <c r="E123" s="336" t="s">
        <v>348</v>
      </c>
      <c r="F123" s="337"/>
      <c r="G123" s="338"/>
      <c r="H123" s="339"/>
      <c r="I123" s="340" t="str">
        <f t="shared" si="9"/>
        <v/>
      </c>
    </row>
    <row r="124" spans="2:30" x14ac:dyDescent="0.45">
      <c r="B124" s="193">
        <f>IF($C124="","",ROWS($B$118:B124))</f>
        <v>7</v>
      </c>
      <c r="C124" s="118" t="str">
        <f t="shared" si="7"/>
        <v>Amber Kilalee</v>
      </c>
      <c r="D124" s="334" t="str">
        <f t="shared" si="8"/>
        <v>LW / ST</v>
      </c>
      <c r="E124" s="336" t="s">
        <v>348</v>
      </c>
      <c r="F124" s="337"/>
      <c r="G124" s="338"/>
      <c r="H124" s="339"/>
      <c r="I124" s="340" t="str">
        <f t="shared" si="9"/>
        <v/>
      </c>
    </row>
    <row r="125" spans="2:30" x14ac:dyDescent="0.45">
      <c r="B125" s="198">
        <f>IF($C125="","",ROWS($B$118:B125))</f>
        <v>8</v>
      </c>
      <c r="C125" s="122" t="str">
        <f t="shared" si="7"/>
        <v>Shauna Kavanagh</v>
      </c>
      <c r="D125" s="335" t="str">
        <f t="shared" si="8"/>
        <v>ST / RW</v>
      </c>
      <c r="E125" s="336" t="s">
        <v>348</v>
      </c>
      <c r="F125" s="337"/>
      <c r="G125" s="338"/>
      <c r="H125" s="339"/>
      <c r="I125" s="340" t="str">
        <f t="shared" si="9"/>
        <v/>
      </c>
    </row>
    <row r="126" spans="2:30" x14ac:dyDescent="0.45">
      <c r="B126" s="193">
        <f>IF($C126="","",ROWS($B$118:B126))</f>
        <v>9</v>
      </c>
      <c r="C126" s="118" t="str">
        <f t="shared" si="7"/>
        <v>Tara Brannigan</v>
      </c>
      <c r="D126" s="334" t="str">
        <f t="shared" si="8"/>
        <v>DM / CM</v>
      </c>
      <c r="E126" s="336" t="s">
        <v>346</v>
      </c>
      <c r="F126" s="337"/>
      <c r="G126" s="338"/>
      <c r="H126" s="339"/>
      <c r="I126" s="340" t="str">
        <f t="shared" si="9"/>
        <v/>
      </c>
    </row>
    <row r="127" spans="2:30" x14ac:dyDescent="0.45">
      <c r="B127" s="198">
        <f>IF($C127="","",ROWS($B$118:B127))</f>
        <v>10</v>
      </c>
      <c r="C127" s="122" t="str">
        <f t="shared" si="7"/>
        <v>Semilore Adesanya</v>
      </c>
      <c r="D127" s="335" t="str">
        <f t="shared" si="8"/>
        <v>CB / CM</v>
      </c>
      <c r="E127" s="336" t="s">
        <v>348</v>
      </c>
      <c r="F127" s="337"/>
      <c r="G127" s="338"/>
      <c r="H127" s="339"/>
      <c r="I127" s="340" t="str">
        <f t="shared" si="9"/>
        <v/>
      </c>
    </row>
    <row r="128" spans="2:30" x14ac:dyDescent="0.45">
      <c r="B128" s="193">
        <f>IF($C128="","",ROWS($B$118:B128))</f>
        <v>11</v>
      </c>
      <c r="C128" s="118" t="str">
        <f t="shared" si="7"/>
        <v>Hannah Fleming</v>
      </c>
      <c r="D128" s="334" t="str">
        <f t="shared" si="8"/>
        <v>LB / LW</v>
      </c>
      <c r="E128" s="336" t="s">
        <v>348</v>
      </c>
      <c r="F128" s="337"/>
      <c r="G128" s="338"/>
      <c r="H128" s="339"/>
      <c r="I128" s="340" t="str">
        <f t="shared" si="9"/>
        <v/>
      </c>
    </row>
    <row r="129" spans="2:9" x14ac:dyDescent="0.45">
      <c r="B129" s="198">
        <f>IF($C129="","",ROWS($B$118:B129))</f>
        <v>12</v>
      </c>
      <c r="C129" s="122" t="str">
        <f t="shared" si="7"/>
        <v>Emma Kelly</v>
      </c>
      <c r="D129" s="335" t="str">
        <f t="shared" si="8"/>
        <v>CB</v>
      </c>
      <c r="E129" s="336" t="s">
        <v>348</v>
      </c>
      <c r="F129" s="337"/>
      <c r="G129" s="338"/>
      <c r="H129" s="339"/>
      <c r="I129" s="340" t="str">
        <f t="shared" si="9"/>
        <v/>
      </c>
    </row>
    <row r="130" spans="2:9" x14ac:dyDescent="0.45">
      <c r="B130" s="193">
        <f>IF($C130="","",ROWS($B$118:B130))</f>
        <v>13</v>
      </c>
      <c r="C130" s="118" t="str">
        <f t="shared" si="7"/>
        <v>Roma Memon</v>
      </c>
      <c r="D130" s="334" t="str">
        <f t="shared" si="8"/>
        <v>DM / CM</v>
      </c>
      <c r="E130" s="336" t="s">
        <v>348</v>
      </c>
      <c r="F130" s="337"/>
      <c r="G130" s="338"/>
      <c r="H130" s="339"/>
      <c r="I130" s="340" t="str">
        <f t="shared" si="9"/>
        <v/>
      </c>
    </row>
    <row r="131" spans="2:9" x14ac:dyDescent="0.45">
      <c r="B131" s="198">
        <f>IF($C131="","",ROWS($B$118:B131))</f>
        <v>14</v>
      </c>
      <c r="C131" s="122" t="str">
        <f t="shared" si="7"/>
        <v>Emma Dromgoole</v>
      </c>
      <c r="D131" s="335" t="str">
        <f t="shared" si="8"/>
        <v>RW / ST</v>
      </c>
      <c r="E131" s="336" t="s">
        <v>348</v>
      </c>
      <c r="F131" s="337"/>
      <c r="G131" s="338"/>
      <c r="H131" s="339"/>
      <c r="I131" s="340" t="str">
        <f t="shared" si="9"/>
        <v/>
      </c>
    </row>
    <row r="132" spans="2:9" x14ac:dyDescent="0.45">
      <c r="B132" s="193">
        <f>IF($C132="","",ROWS($B$118:B132))</f>
        <v>15</v>
      </c>
      <c r="C132" s="118" t="str">
        <f t="shared" si="7"/>
        <v>Elsie Morrison</v>
      </c>
      <c r="D132" s="334" t="str">
        <f t="shared" si="8"/>
        <v>LW / ST / GK</v>
      </c>
      <c r="E132" s="336" t="s">
        <v>348</v>
      </c>
      <c r="F132" s="337"/>
      <c r="G132" s="338"/>
      <c r="H132" s="339"/>
      <c r="I132" s="340" t="str">
        <f t="shared" si="9"/>
        <v/>
      </c>
    </row>
    <row r="133" spans="2:9" x14ac:dyDescent="0.45">
      <c r="B133" s="198">
        <f>IF($C133="","",ROWS($B$118:B133))</f>
        <v>16</v>
      </c>
      <c r="C133" s="122" t="str">
        <f t="shared" si="7"/>
        <v>Zara Freeman</v>
      </c>
      <c r="D133" s="335" t="str">
        <f t="shared" si="8"/>
        <v xml:space="preserve">ST </v>
      </c>
      <c r="E133" s="336" t="s">
        <v>348</v>
      </c>
      <c r="F133" s="337"/>
      <c r="G133" s="338"/>
      <c r="H133" s="339"/>
      <c r="I133" s="340" t="str">
        <f t="shared" si="9"/>
        <v/>
      </c>
    </row>
    <row r="134" spans="2:9" x14ac:dyDescent="0.45">
      <c r="B134" s="193">
        <f>IF($C134="","",ROWS($B$118:B134))</f>
        <v>17</v>
      </c>
      <c r="C134" s="118" t="str">
        <f t="shared" si="7"/>
        <v>Marianna</v>
      </c>
      <c r="D134" s="334" t="str">
        <f t="shared" si="8"/>
        <v>RB / CB</v>
      </c>
      <c r="E134" s="336" t="s">
        <v>348</v>
      </c>
      <c r="F134" s="337"/>
      <c r="G134" s="338"/>
      <c r="H134" s="339"/>
      <c r="I134" s="340" t="str">
        <f t="shared" si="9"/>
        <v/>
      </c>
    </row>
    <row r="135" spans="2:9" x14ac:dyDescent="0.45">
      <c r="B135" s="198" t="str">
        <f>IF($C135="","",ROWS($B$118:B135))</f>
        <v/>
      </c>
      <c r="C135" s="122" t="str">
        <f t="shared" si="7"/>
        <v/>
      </c>
      <c r="D135" s="335" t="str">
        <f t="shared" si="8"/>
        <v/>
      </c>
      <c r="E135" s="336"/>
      <c r="F135" s="337"/>
      <c r="G135" s="338"/>
      <c r="H135" s="339"/>
      <c r="I135" s="340" t="str">
        <f t="shared" si="9"/>
        <v/>
      </c>
    </row>
    <row r="136" spans="2:9" x14ac:dyDescent="0.45">
      <c r="B136" s="193" t="str">
        <f>IF($C136="","",ROWS($B$118:B136))</f>
        <v/>
      </c>
      <c r="C136" s="118" t="str">
        <f t="shared" si="7"/>
        <v/>
      </c>
      <c r="D136" s="334" t="str">
        <f t="shared" si="8"/>
        <v/>
      </c>
      <c r="E136" s="336"/>
      <c r="F136" s="337"/>
      <c r="G136" s="338"/>
      <c r="H136" s="339"/>
      <c r="I136" s="340" t="str">
        <f t="shared" si="9"/>
        <v/>
      </c>
    </row>
    <row r="137" spans="2:9" x14ac:dyDescent="0.45">
      <c r="B137" s="198" t="str">
        <f>IF($C137="","",ROWS($B$118:B137))</f>
        <v/>
      </c>
      <c r="C137" s="122" t="str">
        <f t="shared" si="7"/>
        <v/>
      </c>
      <c r="D137" s="335" t="str">
        <f t="shared" si="8"/>
        <v/>
      </c>
      <c r="E137" s="344"/>
      <c r="F137" s="345"/>
      <c r="G137" s="346"/>
      <c r="H137" s="347"/>
      <c r="I137" s="348" t="str">
        <f t="shared" si="9"/>
        <v/>
      </c>
    </row>
    <row r="138" spans="2:9" x14ac:dyDescent="0.45">
      <c r="E138" s="349"/>
      <c r="F138" s="349"/>
      <c r="G138" s="349"/>
      <c r="H138" s="349"/>
      <c r="I138" s="349"/>
    </row>
    <row r="139" spans="2:9" x14ac:dyDescent="0.45">
      <c r="B139" s="205" t="s">
        <v>300</v>
      </c>
      <c r="D139" s="206" t="str" cm="1">
        <f t="array" ref="D139">COUNTIF($E$64:$E$83,"Yes")&amp;" of "&amp;SUMPRODUCT(--($C$64:$C$83&lt;&gt;""))</f>
        <v>15 of 17</v>
      </c>
    </row>
    <row r="140" spans="2:9" x14ac:dyDescent="0.45">
      <c r="B140" s="191" t="s">
        <v>301</v>
      </c>
      <c r="D140" s="207">
        <f>COUNTIF($E$118:$E$137,"Injured")</f>
        <v>1</v>
      </c>
    </row>
    <row r="141" spans="2:9" x14ac:dyDescent="0.45">
      <c r="B141" s="191" t="s">
        <v>346</v>
      </c>
      <c r="D141" s="207">
        <f>COUNTIF($E$118:$E$137,"Absent")</f>
        <v>1</v>
      </c>
    </row>
    <row r="142" spans="2:9" x14ac:dyDescent="0.45">
      <c r="B142" s="191"/>
      <c r="D142" s="207"/>
    </row>
  </sheetData>
  <mergeCells count="43">
    <mergeCell ref="B14:C14"/>
    <mergeCell ref="D14:F14"/>
    <mergeCell ref="Q13:S13"/>
    <mergeCell ref="S15:U15"/>
    <mergeCell ref="S16:U16"/>
    <mergeCell ref="M18:O18"/>
    <mergeCell ref="M19:O19"/>
    <mergeCell ref="K15:M15"/>
    <mergeCell ref="K16:M16"/>
    <mergeCell ref="O15:Q15"/>
    <mergeCell ref="O16:Q16"/>
    <mergeCell ref="R62:AA62"/>
    <mergeCell ref="B86:F86"/>
    <mergeCell ref="B23:H23"/>
    <mergeCell ref="G8:U8"/>
    <mergeCell ref="B38:G38"/>
    <mergeCell ref="G9:I9"/>
    <mergeCell ref="G10:I10"/>
    <mergeCell ref="M9:O9"/>
    <mergeCell ref="M10:O10"/>
    <mergeCell ref="S9:U9"/>
    <mergeCell ref="S10:U10"/>
    <mergeCell ref="I12:K12"/>
    <mergeCell ref="I13:K13"/>
    <mergeCell ref="M12:O12"/>
    <mergeCell ref="M13:O13"/>
    <mergeCell ref="Q12:S12"/>
    <mergeCell ref="B116:G116"/>
    <mergeCell ref="B2:F2"/>
    <mergeCell ref="B3:L3"/>
    <mergeCell ref="B102:H102"/>
    <mergeCell ref="B62:P62"/>
    <mergeCell ref="B8:F8"/>
    <mergeCell ref="B10:C10"/>
    <mergeCell ref="D10:F10"/>
    <mergeCell ref="B11:C11"/>
    <mergeCell ref="D11:F11"/>
    <mergeCell ref="B12:C12"/>
    <mergeCell ref="G15:I15"/>
    <mergeCell ref="G16:I16"/>
    <mergeCell ref="D12:F12"/>
    <mergeCell ref="B13:C13"/>
    <mergeCell ref="D13:F13"/>
  </mergeCells>
  <conditionalFormatting sqref="E118:E137">
    <cfRule type="containsText" dxfId="3" priority="1" operator="containsText" text="Injured">
      <formula>NOT(ISERROR(SEARCH("Injured",E118)))</formula>
    </cfRule>
    <cfRule type="containsText" dxfId="2" priority="2" operator="containsText" text="Holiday">
      <formula>NOT(ISERROR(SEARCH("Holiday",E118)))</formula>
    </cfRule>
    <cfRule type="containsText" dxfId="1" priority="3" operator="containsText" text="Suspended">
      <formula>NOT(ISERROR(SEARCH("Suspended",E118)))</formula>
    </cfRule>
  </conditionalFormatting>
  <conditionalFormatting sqref="G40:G59">
    <cfRule type="containsText" dxfId="0" priority="4" operator="containsText" text="Unavailable">
      <formula>NOT(ISERROR(SEARCH("Unavailable",G40)))</formula>
    </cfRule>
  </conditionalFormatting>
  <dataValidations count="6">
    <dataValidation type="whole" allowBlank="1" showInputMessage="1" showErrorMessage="1" sqref="C104:AD113" xr:uid="{2CE521C9-7922-4DCB-AB64-33360BBBFF99}">
      <formula1>0</formula1>
      <formula2>3</formula2>
    </dataValidation>
    <dataValidation type="list" allowBlank="1" showInputMessage="1" showErrorMessage="1" sqref="B6" xr:uid="{5E86576E-BBAA-4009-9262-DB07EBE5FE4A}">
      <formula1>"1,2,3,4,5,6,7,8,9,10,11,12,13,14,15,16,17,18,19,20,21,22"</formula1>
    </dataValidation>
    <dataValidation type="list" allowBlank="1" showInputMessage="1" showErrorMessage="1" sqref="J6" xr:uid="{44E92DF0-EFE3-42F3-9495-AF4BEBB9D64F}">
      <formula1>"On,Off"</formula1>
    </dataValidation>
    <dataValidation type="list" allowBlank="1" showInputMessage="1" showErrorMessage="1" sqref="H25:H35" xr:uid="{0B81CB39-F585-4707-870D-5E52175754EF}">
      <formula1>PlayerList</formula1>
    </dataValidation>
    <dataValidation type="list" allowBlank="1" showInputMessage="1" showErrorMessage="1" sqref="E118:E137" xr:uid="{04DBBBB8-7698-4FE1-AFE8-E96E38879F6A}">
      <formula1>"Available,Injured,Absent"</formula1>
    </dataValidation>
    <dataValidation type="whole" operator="greaterThanOrEqual" allowBlank="1" showInputMessage="1" showErrorMessage="1" sqref="H118:H137" xr:uid="{5407CF08-2C3F-4E38-A3A3-BDB9EB2EE06C}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7FFA-7F2C-443A-84A4-A29265E847D5}">
  <dimension ref="A1:AD200"/>
  <sheetViews>
    <sheetView workbookViewId="0">
      <pane ySplit="6" topLeftCell="A7" activePane="bottomLeft" state="frozen"/>
      <selection pane="bottomLeft" activeCell="E7" sqref="E7"/>
    </sheetView>
  </sheetViews>
  <sheetFormatPr defaultRowHeight="14.25" x14ac:dyDescent="0.45"/>
  <cols>
    <col min="1" max="1" width="2.1328125" customWidth="1"/>
    <col min="2" max="3" width="26.6640625" customWidth="1"/>
    <col min="4" max="4" width="19.53125" customWidth="1"/>
    <col min="5" max="6" width="12.46484375" customWidth="1"/>
    <col min="7" max="8" width="19.53125" customWidth="1"/>
    <col min="9" max="9" width="3.53125" customWidth="1"/>
    <col min="10" max="10" width="10.6640625" customWidth="1"/>
    <col min="11" max="16" width="23.1328125" customWidth="1"/>
    <col min="17" max="17" width="3.53125" customWidth="1"/>
    <col min="18" max="18" width="30.19921875" customWidth="1"/>
    <col min="19" max="28" width="23.1328125" customWidth="1"/>
    <col min="29" max="30" width="56.86328125" customWidth="1"/>
  </cols>
  <sheetData>
    <row r="1" spans="1:30" x14ac:dyDescent="0.45">
      <c r="A1" s="208"/>
      <c r="B1" s="208"/>
      <c r="C1" s="208"/>
      <c r="D1" s="208"/>
      <c r="E1" s="208"/>
      <c r="F1" s="208"/>
      <c r="G1" s="208"/>
      <c r="H1" s="208"/>
    </row>
    <row r="2" spans="1:30" ht="18" x14ac:dyDescent="0.55000000000000004">
      <c r="A2" s="208"/>
      <c r="B2" s="329" t="s">
        <v>302</v>
      </c>
      <c r="C2" s="329"/>
      <c r="D2" s="329"/>
      <c r="E2" s="208"/>
      <c r="F2" s="208"/>
      <c r="G2" s="208"/>
      <c r="H2" s="208"/>
    </row>
    <row r="3" spans="1:30" x14ac:dyDescent="0.45">
      <c r="A3" s="208"/>
      <c r="B3" s="330" t="s">
        <v>303</v>
      </c>
      <c r="C3" s="330"/>
      <c r="D3" s="330"/>
      <c r="E3" s="330"/>
      <c r="F3" s="330"/>
      <c r="G3" s="330"/>
      <c r="H3" s="330"/>
    </row>
    <row r="4" spans="1:30" x14ac:dyDescent="0.45">
      <c r="A4" s="208"/>
      <c r="B4" s="208"/>
      <c r="C4" s="208"/>
      <c r="D4" s="208"/>
      <c r="E4" s="208"/>
      <c r="F4" s="208"/>
      <c r="G4" s="208"/>
      <c r="H4" s="208"/>
    </row>
    <row r="5" spans="1:30" x14ac:dyDescent="0.45">
      <c r="A5" s="208"/>
      <c r="B5" s="10" t="s">
        <v>165</v>
      </c>
      <c r="C5" s="208"/>
      <c r="D5" s="208"/>
      <c r="E5" s="208"/>
      <c r="F5" s="208"/>
      <c r="G5" s="208"/>
      <c r="H5" s="208"/>
    </row>
    <row r="6" spans="1:30" ht="15.75" x14ac:dyDescent="0.5">
      <c r="A6" s="208"/>
      <c r="B6" s="224">
        <v>1</v>
      </c>
      <c r="C6" s="324" t="str">
        <f>"GW "&amp;$B$6&amp;" of 22"&amp;IF($D$10="(not set)",""," — vs "&amp;$D$10&amp;" ("&amp;$D$11&amp;")"&amp;IF($D$12="Not played",""," — "&amp;$D$12&amp;" "&amp;$D$13))</f>
        <v>GW 1 of 22</v>
      </c>
      <c r="D6" s="324"/>
      <c r="E6" s="324"/>
      <c r="F6" s="324"/>
      <c r="G6" s="324"/>
      <c r="H6" s="208"/>
    </row>
    <row r="7" spans="1:30" x14ac:dyDescent="0.45">
      <c r="A7" s="208"/>
      <c r="B7" s="208"/>
      <c r="C7" s="208"/>
      <c r="D7" s="208"/>
      <c r="E7" s="208"/>
      <c r="F7" s="208"/>
      <c r="G7" s="208"/>
      <c r="H7" s="208"/>
      <c r="J7" s="323" t="s">
        <v>316</v>
      </c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3"/>
      <c r="AA7" s="323"/>
      <c r="AB7" s="323"/>
      <c r="AC7" s="323"/>
      <c r="AD7" s="323"/>
    </row>
    <row r="8" spans="1:30" x14ac:dyDescent="0.45">
      <c r="A8" s="208"/>
      <c r="B8" s="325" t="s">
        <v>304</v>
      </c>
      <c r="C8" s="325"/>
      <c r="D8" s="325"/>
      <c r="E8" s="325"/>
      <c r="F8" s="325"/>
      <c r="J8" s="220" t="s">
        <v>216</v>
      </c>
      <c r="K8" s="220" t="s">
        <v>317</v>
      </c>
      <c r="L8" s="220" t="s">
        <v>318</v>
      </c>
      <c r="M8" s="220" t="s">
        <v>319</v>
      </c>
      <c r="N8" s="220" t="s">
        <v>320</v>
      </c>
      <c r="O8" s="220" t="s">
        <v>321</v>
      </c>
      <c r="P8" s="220" t="s">
        <v>322</v>
      </c>
      <c r="Q8" s="220" t="s">
        <v>323</v>
      </c>
      <c r="R8" s="220" t="s">
        <v>324</v>
      </c>
      <c r="S8" s="220" t="s">
        <v>325</v>
      </c>
      <c r="T8" s="220" t="s">
        <v>326</v>
      </c>
      <c r="U8" s="220" t="s">
        <v>327</v>
      </c>
      <c r="V8" s="220" t="s">
        <v>328</v>
      </c>
      <c r="W8" s="220" t="s">
        <v>329</v>
      </c>
      <c r="X8" s="220" t="s">
        <v>330</v>
      </c>
      <c r="Y8" s="220" t="s">
        <v>331</v>
      </c>
      <c r="Z8" s="220" t="s">
        <v>332</v>
      </c>
      <c r="AA8" s="220" t="s">
        <v>333</v>
      </c>
      <c r="AB8" s="220" t="s">
        <v>334</v>
      </c>
      <c r="AC8" s="220" t="s">
        <v>335</v>
      </c>
      <c r="AD8" s="220" t="s">
        <v>336</v>
      </c>
    </row>
    <row r="9" spans="1:30" x14ac:dyDescent="0.45">
      <c r="A9" s="208"/>
      <c r="B9" s="326" t="s">
        <v>168</v>
      </c>
      <c r="C9" s="326"/>
      <c r="D9" s="331" t="str" cm="1">
        <f t="array" ref="D9">IFERROR(IF(INDEX(Attendance!$CP$2:$FY$2,1,($B$6-1)*4+1)="","(not set)",INDEX(Attendance!$CP$2:$FY$2,1,($B$6-1)*4+1)),"(not set)")</f>
        <v>(not set)</v>
      </c>
      <c r="E9" s="331"/>
      <c r="F9" s="331"/>
      <c r="G9" s="208"/>
      <c r="H9" s="208"/>
      <c r="J9" s="221">
        <v>1</v>
      </c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  <c r="AA9" s="222"/>
      <c r="AB9" s="222"/>
      <c r="AC9" s="223"/>
      <c r="AD9" s="223"/>
    </row>
    <row r="10" spans="1:30" x14ac:dyDescent="0.45">
      <c r="A10" s="208"/>
      <c r="B10" s="326" t="s">
        <v>305</v>
      </c>
      <c r="C10" s="326"/>
      <c r="D10" s="327" t="str" cm="1">
        <f t="array" ref="D10">IFERROR(IF(INDEX(Attendance!$CP$3:$FY$3,1,($B$6-1)*4+1)="","(not set)",INDEX(Attendance!$CP$3:$FY$3,1,($B$6-1)*4+1)),"(not set)")</f>
        <v>(not set)</v>
      </c>
      <c r="E10" s="327"/>
      <c r="F10" s="327"/>
      <c r="G10" s="208"/>
      <c r="H10" s="208"/>
      <c r="J10" s="221">
        <v>2</v>
      </c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3"/>
      <c r="AD10" s="223"/>
    </row>
    <row r="11" spans="1:30" x14ac:dyDescent="0.45">
      <c r="A11" s="208"/>
      <c r="B11" s="326" t="s">
        <v>306</v>
      </c>
      <c r="C11" s="326"/>
      <c r="D11" s="328" t="str" cm="1">
        <f t="array" ref="D11">IFERROR(IF(INDEX(Attendance!$CP$3:$FY$3,1,($B$6-1)*4+4)="","(not set)",IF(INDEX(Attendance!$CP$3:$FY$3,1,($B$6-1)*4+4)="H","Home","Away")),"(not set)")</f>
        <v>(not set)</v>
      </c>
      <c r="E11" s="328"/>
      <c r="F11" s="328"/>
      <c r="G11" s="208"/>
      <c r="H11" s="208"/>
      <c r="J11" s="221">
        <v>3</v>
      </c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3"/>
      <c r="AD11" s="223"/>
    </row>
    <row r="12" spans="1:30" x14ac:dyDescent="0.45">
      <c r="A12" s="208"/>
      <c r="B12" s="326" t="s">
        <v>307</v>
      </c>
      <c r="C12" s="326"/>
      <c r="D12" s="327" t="str" cm="1">
        <f t="array" ref="D12">IFERROR(IF(OR(INDEX(Attendance!$CP$26:$FY$26,1,($B$6-1)*4+1)="",INDEX(Attendance!$CP$27:$FY$27,1,($B$6-1)*4+1)=""),"Not played",INDEX(Attendance!$CP$26:$FY$26,1,($B$6-1)*4+1)&amp;" - "&amp;INDEX(Attendance!$CP$27:$FY$27,1,($B$6-1)*4+1)),"Not played")</f>
        <v>Not played</v>
      </c>
      <c r="E12" s="327"/>
      <c r="F12" s="327"/>
      <c r="G12" s="208"/>
      <c r="H12" s="208"/>
      <c r="J12" s="221">
        <v>4</v>
      </c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3"/>
      <c r="AD12" s="223"/>
    </row>
    <row r="13" spans="1:30" x14ac:dyDescent="0.45">
      <c r="A13" s="208"/>
      <c r="B13" s="326" t="s">
        <v>171</v>
      </c>
      <c r="C13" s="326"/>
      <c r="D13" s="328" t="str" cm="1">
        <f t="array" ref="D13">IFERROR(IF(INDEX(Attendance!$CP$28:$FY$28,1,($B$6-1)*4+1)="","Not played",IF(INDEX(Attendance!$CP$28:$FY$28,1,($B$6-1)*4+1)="W","Win",IF(INDEX(Attendance!$CP$28:$FY$28,1,($B$6-1)*4+1)="D","Draw","Loss"))),"Not played")</f>
        <v>Not played</v>
      </c>
      <c r="E13" s="328"/>
      <c r="F13" s="328"/>
      <c r="G13" s="208"/>
      <c r="H13" s="208"/>
      <c r="J13" s="221">
        <v>5</v>
      </c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3"/>
      <c r="AD13" s="223"/>
    </row>
    <row r="14" spans="1:30" x14ac:dyDescent="0.45">
      <c r="A14" s="208"/>
      <c r="B14" s="326" t="s">
        <v>308</v>
      </c>
      <c r="C14" s="326"/>
      <c r="D14" s="327" t="str">
        <f>IFERROR(INDEX(Attendance!$D$5:$D$24,MATCH("Yes",INDEX(Attendance!$CP$5:$FY$24,0,($B$6-1)*4+4),0)),"(not awarded)")</f>
        <v>(not awarded)</v>
      </c>
      <c r="E14" s="327"/>
      <c r="F14" s="327"/>
      <c r="G14" s="208"/>
      <c r="H14" s="208"/>
      <c r="J14" s="221">
        <v>6</v>
      </c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3"/>
      <c r="AD14" s="223"/>
    </row>
    <row r="15" spans="1:30" x14ac:dyDescent="0.45">
      <c r="A15" s="208"/>
      <c r="B15" s="208"/>
      <c r="C15" s="208"/>
      <c r="D15" s="208"/>
      <c r="E15" s="208"/>
      <c r="F15" s="208"/>
      <c r="G15" s="208"/>
      <c r="H15" s="208"/>
      <c r="J15" s="221">
        <v>7</v>
      </c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  <c r="AB15" s="222"/>
      <c r="AC15" s="223"/>
      <c r="AD15" s="223"/>
    </row>
    <row r="16" spans="1:30" x14ac:dyDescent="0.45">
      <c r="A16" s="208"/>
      <c r="B16" s="325" t="s">
        <v>337</v>
      </c>
      <c r="C16" s="325"/>
      <c r="D16" s="325"/>
      <c r="E16" s="325"/>
      <c r="F16" s="325"/>
      <c r="G16" s="325"/>
      <c r="J16" s="221">
        <v>8</v>
      </c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22"/>
      <c r="AB16" s="222"/>
      <c r="AC16" s="223"/>
      <c r="AD16" s="223"/>
    </row>
    <row r="17" spans="1:30" x14ac:dyDescent="0.45">
      <c r="A17" s="208"/>
      <c r="B17" s="192" t="s">
        <v>181</v>
      </c>
      <c r="C17" s="192" t="s">
        <v>4</v>
      </c>
      <c r="D17" s="192" t="s">
        <v>32</v>
      </c>
      <c r="E17" s="192" t="s">
        <v>33</v>
      </c>
      <c r="F17" s="192" t="s">
        <v>309</v>
      </c>
      <c r="G17" s="192" t="s">
        <v>34</v>
      </c>
      <c r="H17" s="208"/>
      <c r="J17" s="221">
        <v>9</v>
      </c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3"/>
      <c r="AD17" s="223"/>
    </row>
    <row r="18" spans="1:30" x14ac:dyDescent="0.45">
      <c r="A18" s="208"/>
      <c r="B18" s="216" t="s">
        <v>141</v>
      </c>
      <c r="C18" s="118" t="str" cm="1">
        <f t="array" ref="C18">IFERROR(IF(INDEX($K$9:$U$30,MATCH($B$6,$J$9:$J$30,0),ROWS($C$18:C18))="",IF($B$6='Team Selection'!$B$6,'Team Selection'!$D25,""),INDEX($K$9:$U$30,MATCH($B$6,$J$9:$J$30,0),ROWS($C$18:C18))),"")</f>
        <v>Elsie Morrison</v>
      </c>
      <c r="D18" s="212" t="str" cm="1">
        <f t="array" ref="D18">IFERROR(IF(OR($C18="",INDEX(INDEX(Attendance!$CP$5:$FY$24,MATCH($C18,Attendance!$D$5:$D$24,0),0),1,($B$6-1)*4+2)=""),"",INDEX(INDEX(Attendance!$CP$5:$FY$24,MATCH($C18,Attendance!$D$5:$D$24,0),0),1,($B$6-1)*4+2)),"")</f>
        <v/>
      </c>
      <c r="E18" s="213" t="str" cm="1">
        <f t="array" ref="E18">IFERROR(IF(OR($C18="",INDEX(INDEX(Attendance!$CP$5:$FY$24,MATCH($C18,Attendance!$D$5:$D$24,0),0),1,($B$6-1)*4+3)=""),"",INDEX(INDEX(Attendance!$CP$5:$FY$24,MATCH($C18,Attendance!$D$5:$D$24,0),0),1,($B$6-1)*4+3)),"")</f>
        <v/>
      </c>
      <c r="F18" s="195" t="str">
        <f>IFERROR(IF($E18="","",LOOKUP($E18,$J$35:$J$40,$K$35:$K$40)),"")</f>
        <v/>
      </c>
      <c r="G18" s="217" t="str">
        <f>IF($C18="","",IF($C18=$D$14,"★ MOTM",""))</f>
        <v/>
      </c>
      <c r="H18" s="208"/>
      <c r="J18" s="221">
        <v>10</v>
      </c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3"/>
      <c r="AD18" s="223"/>
    </row>
    <row r="19" spans="1:30" x14ac:dyDescent="0.45">
      <c r="A19" s="208"/>
      <c r="B19" s="218" t="s">
        <v>143</v>
      </c>
      <c r="C19" s="122" t="str" cm="1">
        <f t="array" ref="C19">IFERROR(IF(INDEX($K$9:$U$30,MATCH($B$6,$J$9:$J$30,0),ROWS($C$18:C19))="",IF($B$6='Team Selection'!$B$6,'Team Selection'!$D26,""),INDEX($K$9:$U$30,MATCH($B$6,$J$9:$J$30,0),ROWS($C$18:C19))),"")</f>
        <v>Marianna</v>
      </c>
      <c r="D19" s="214" t="str" cm="1">
        <f t="array" ref="D19">IFERROR(IF(OR($C19="",INDEX(INDEX(Attendance!$CP$5:$FY$24,MATCH($C19,Attendance!$D$5:$D$24,0),0),1,($B$6-1)*4+2)=""),"",INDEX(INDEX(Attendance!$CP$5:$FY$24,MATCH($C19,Attendance!$D$5:$D$24,0),0),1,($B$6-1)*4+2)),"")</f>
        <v/>
      </c>
      <c r="E19" s="215" t="str" cm="1">
        <f t="array" ref="E19">IFERROR(IF(OR($C19="",INDEX(INDEX(Attendance!$CP$5:$FY$24,MATCH($C19,Attendance!$D$5:$D$24,0),0),1,($B$6-1)*4+3)=""),"",INDEX(INDEX(Attendance!$CP$5:$FY$24,MATCH($C19,Attendance!$D$5:$D$24,0),0),1,($B$6-1)*4+3)),"")</f>
        <v/>
      </c>
      <c r="F19" s="200" t="str">
        <f t="shared" ref="F19:F28" si="0">IFERROR(IF($E19="","",LOOKUP($E19,$J$35:$J$40,$K$35:$K$40)),"")</f>
        <v/>
      </c>
      <c r="G19" s="219" t="str">
        <f t="shared" ref="G19:G28" si="1">IF($C19="","",IF($C19=$D$14,"★ MOTM",""))</f>
        <v/>
      </c>
      <c r="H19" s="208"/>
      <c r="J19" s="221">
        <v>11</v>
      </c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3"/>
      <c r="AD19" s="223"/>
    </row>
    <row r="20" spans="1:30" x14ac:dyDescent="0.45">
      <c r="A20" s="208"/>
      <c r="B20" s="216" t="s">
        <v>147</v>
      </c>
      <c r="C20" s="118" t="str" cm="1">
        <f t="array" ref="C20">IFERROR(IF(INDEX($K$9:$U$30,MATCH($B$6,$J$9:$J$30,0),ROWS($C$18:C20))="",IF($B$6='Team Selection'!$B$6,'Team Selection'!$D27,""),INDEX($K$9:$U$30,MATCH($B$6,$J$9:$J$30,0),ROWS($C$18:C20))),"")</f>
        <v>Emma Kelly</v>
      </c>
      <c r="D20" s="212" t="str" cm="1">
        <f t="array" ref="D20">IFERROR(IF(OR($C20="",INDEX(INDEX(Attendance!$CP$5:$FY$24,MATCH($C20,Attendance!$D$5:$D$24,0),0),1,($B$6-1)*4+2)=""),"",INDEX(INDEX(Attendance!$CP$5:$FY$24,MATCH($C20,Attendance!$D$5:$D$24,0),0),1,($B$6-1)*4+2)),"")</f>
        <v/>
      </c>
      <c r="E20" s="213" t="str" cm="1">
        <f t="array" ref="E20">IFERROR(IF(OR($C20="",INDEX(INDEX(Attendance!$CP$5:$FY$24,MATCH($C20,Attendance!$D$5:$D$24,0),0),1,($B$6-1)*4+3)=""),"",INDEX(INDEX(Attendance!$CP$5:$FY$24,MATCH($C20,Attendance!$D$5:$D$24,0),0),1,($B$6-1)*4+3)),"")</f>
        <v/>
      </c>
      <c r="F20" s="195" t="str">
        <f t="shared" si="0"/>
        <v/>
      </c>
      <c r="G20" s="217" t="str">
        <f t="shared" si="1"/>
        <v/>
      </c>
      <c r="H20" s="208"/>
      <c r="J20" s="221">
        <v>12</v>
      </c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2"/>
      <c r="AC20" s="223"/>
      <c r="AD20" s="223"/>
    </row>
    <row r="21" spans="1:30" x14ac:dyDescent="0.45">
      <c r="A21" s="208"/>
      <c r="B21" s="218" t="s">
        <v>147</v>
      </c>
      <c r="C21" s="122" t="str" cm="1">
        <f t="array" ref="C21">IFERROR(IF(INDEX($K$9:$U$30,MATCH($B$6,$J$9:$J$30,0),ROWS($C$18:C21))="",IF($B$6='Team Selection'!$B$6,'Team Selection'!$D28,""),INDEX($K$9:$U$30,MATCH($B$6,$J$9:$J$30,0),ROWS($C$18:C21))),"")</f>
        <v>Semilore Adesanya</v>
      </c>
      <c r="D21" s="214" t="str" cm="1">
        <f t="array" ref="D21">IFERROR(IF(OR($C21="",INDEX(INDEX(Attendance!$CP$5:$FY$24,MATCH($C21,Attendance!$D$5:$D$24,0),0),1,($B$6-1)*4+2)=""),"",INDEX(INDEX(Attendance!$CP$5:$FY$24,MATCH($C21,Attendance!$D$5:$D$24,0),0),1,($B$6-1)*4+2)),"")</f>
        <v/>
      </c>
      <c r="E21" s="215" t="str" cm="1">
        <f t="array" ref="E21">IFERROR(IF(OR($C21="",INDEX(INDEX(Attendance!$CP$5:$FY$24,MATCH($C21,Attendance!$D$5:$D$24,0),0),1,($B$6-1)*4+3)=""),"",INDEX(INDEX(Attendance!$CP$5:$FY$24,MATCH($C21,Attendance!$D$5:$D$24,0),0),1,($B$6-1)*4+3)),"")</f>
        <v/>
      </c>
      <c r="F21" s="200" t="str">
        <f t="shared" si="0"/>
        <v/>
      </c>
      <c r="G21" s="219" t="str">
        <f t="shared" si="1"/>
        <v/>
      </c>
      <c r="H21" s="208"/>
      <c r="J21" s="221">
        <v>13</v>
      </c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  <c r="AA21" s="222"/>
      <c r="AB21" s="222"/>
      <c r="AC21" s="223"/>
      <c r="AD21" s="223"/>
    </row>
    <row r="22" spans="1:30" x14ac:dyDescent="0.45">
      <c r="A22" s="208"/>
      <c r="B22" s="216" t="s">
        <v>145</v>
      </c>
      <c r="C22" s="118" t="str" cm="1">
        <f t="array" ref="C22">IFERROR(IF(INDEX($K$9:$U$30,MATCH($B$6,$J$9:$J$30,0),ROWS($C$18:C22))="",IF($B$6='Team Selection'!$B$6,'Team Selection'!$D29,""),INDEX($K$9:$U$30,MATCH($B$6,$J$9:$J$30,0),ROWS($C$18:C22))),"")</f>
        <v>Hannah Fleming</v>
      </c>
      <c r="D22" s="212" t="str" cm="1">
        <f t="array" ref="D22">IFERROR(IF(OR($C22="",INDEX(INDEX(Attendance!$CP$5:$FY$24,MATCH($C22,Attendance!$D$5:$D$24,0),0),1,($B$6-1)*4+2)=""),"",INDEX(INDEX(Attendance!$CP$5:$FY$24,MATCH($C22,Attendance!$D$5:$D$24,0),0),1,($B$6-1)*4+2)),"")</f>
        <v/>
      </c>
      <c r="E22" s="213" t="str" cm="1">
        <f t="array" ref="E22">IFERROR(IF(OR($C22="",INDEX(INDEX(Attendance!$CP$5:$FY$24,MATCH($C22,Attendance!$D$5:$D$24,0),0),1,($B$6-1)*4+3)=""),"",INDEX(INDEX(Attendance!$CP$5:$FY$24,MATCH($C22,Attendance!$D$5:$D$24,0),0),1,($B$6-1)*4+3)),"")</f>
        <v/>
      </c>
      <c r="F22" s="195" t="str">
        <f t="shared" si="0"/>
        <v/>
      </c>
      <c r="G22" s="217" t="str">
        <f t="shared" si="1"/>
        <v/>
      </c>
      <c r="H22" s="208"/>
      <c r="J22" s="221">
        <v>14</v>
      </c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3"/>
      <c r="AD22" s="223"/>
    </row>
    <row r="23" spans="1:30" x14ac:dyDescent="0.45">
      <c r="A23" s="208"/>
      <c r="B23" s="218" t="s">
        <v>149</v>
      </c>
      <c r="C23" s="122" t="str" cm="1">
        <f t="array" ref="C23">IFERROR(IF(INDEX($K$9:$U$30,MATCH($B$6,$J$9:$J$30,0),ROWS($C$18:C23))="",IF($B$6='Team Selection'!$B$6,'Team Selection'!$D30,""),INDEX($K$9:$U$30,MATCH($B$6,$J$9:$J$30,0),ROWS($C$18:C23))),"")</f>
        <v>Roma Memon</v>
      </c>
      <c r="D23" s="214" t="str" cm="1">
        <f t="array" ref="D23">IFERROR(IF(OR($C23="",INDEX(INDEX(Attendance!$CP$5:$FY$24,MATCH($C23,Attendance!$D$5:$D$24,0),0),1,($B$6-1)*4+2)=""),"",INDEX(INDEX(Attendance!$CP$5:$FY$24,MATCH($C23,Attendance!$D$5:$D$24,0),0),1,($B$6-1)*4+2)),"")</f>
        <v/>
      </c>
      <c r="E23" s="215" t="str" cm="1">
        <f t="array" ref="E23">IFERROR(IF(OR($C23="",INDEX(INDEX(Attendance!$CP$5:$FY$24,MATCH($C23,Attendance!$D$5:$D$24,0),0),1,($B$6-1)*4+3)=""),"",INDEX(INDEX(Attendance!$CP$5:$FY$24,MATCH($C23,Attendance!$D$5:$D$24,0),0),1,($B$6-1)*4+3)),"")</f>
        <v/>
      </c>
      <c r="F23" s="200" t="str">
        <f t="shared" si="0"/>
        <v/>
      </c>
      <c r="G23" s="219" t="str">
        <f t="shared" si="1"/>
        <v/>
      </c>
      <c r="H23" s="208"/>
      <c r="J23" s="221">
        <v>15</v>
      </c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3"/>
      <c r="AD23" s="223"/>
    </row>
    <row r="24" spans="1:30" x14ac:dyDescent="0.45">
      <c r="A24" s="208"/>
      <c r="B24" s="216" t="s">
        <v>151</v>
      </c>
      <c r="C24" s="118" t="str" cm="1">
        <f t="array" ref="C24">IFERROR(IF(INDEX($K$9:$U$30,MATCH($B$6,$J$9:$J$30,0),ROWS($C$18:C24))="",IF($B$6='Team Selection'!$B$6,'Team Selection'!$D31,""),INDEX($K$9:$U$30,MATCH($B$6,$J$9:$J$30,0),ROWS($C$18:C24))),"")</f>
        <v/>
      </c>
      <c r="D24" s="212" t="str" cm="1">
        <f t="array" ref="D24">IFERROR(IF(OR($C24="",INDEX(INDEX(Attendance!$CP$5:$FY$24,MATCH($C24,Attendance!$D$5:$D$24,0),0),1,($B$6-1)*4+2)=""),"",INDEX(INDEX(Attendance!$CP$5:$FY$24,MATCH($C24,Attendance!$D$5:$D$24,0),0),1,($B$6-1)*4+2)),"")</f>
        <v/>
      </c>
      <c r="E24" s="213" t="str" cm="1">
        <f t="array" ref="E24">IFERROR(IF(OR($C24="",INDEX(INDEX(Attendance!$CP$5:$FY$24,MATCH($C24,Attendance!$D$5:$D$24,0),0),1,($B$6-1)*4+3)=""),"",INDEX(INDEX(Attendance!$CP$5:$FY$24,MATCH($C24,Attendance!$D$5:$D$24,0),0),1,($B$6-1)*4+3)),"")</f>
        <v/>
      </c>
      <c r="F24" s="195" t="str">
        <f t="shared" si="0"/>
        <v/>
      </c>
      <c r="G24" s="217" t="str">
        <f t="shared" si="1"/>
        <v/>
      </c>
      <c r="H24" s="208"/>
      <c r="J24" s="221">
        <v>16</v>
      </c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3"/>
      <c r="AD24" s="223"/>
    </row>
    <row r="25" spans="1:30" x14ac:dyDescent="0.45">
      <c r="A25" s="208"/>
      <c r="B25" s="218" t="s">
        <v>153</v>
      </c>
      <c r="C25" s="122" t="str" cm="1">
        <f t="array" ref="C25">IFERROR(IF(INDEX($K$9:$U$30,MATCH($B$6,$J$9:$J$30,0),ROWS($C$18:C25))="",IF($B$6='Team Selection'!$B$6,'Team Selection'!$D32,""),INDEX($K$9:$U$30,MATCH($B$6,$J$9:$J$30,0),ROWS($C$18:C25))),"")</f>
        <v>Roisin Offenhausen</v>
      </c>
      <c r="D25" s="214" t="str" cm="1">
        <f t="array" ref="D25">IFERROR(IF(OR($C25="",INDEX(INDEX(Attendance!$CP$5:$FY$24,MATCH($C25,Attendance!$D$5:$D$24,0),0),1,($B$6-1)*4+2)=""),"",INDEX(INDEX(Attendance!$CP$5:$FY$24,MATCH($C25,Attendance!$D$5:$D$24,0),0),1,($B$6-1)*4+2)),"")</f>
        <v/>
      </c>
      <c r="E25" s="215" t="str" cm="1">
        <f t="array" ref="E25">IFERROR(IF(OR($C25="",INDEX(INDEX(Attendance!$CP$5:$FY$24,MATCH($C25,Attendance!$D$5:$D$24,0),0),1,($B$6-1)*4+3)=""),"",INDEX(INDEX(Attendance!$CP$5:$FY$24,MATCH($C25,Attendance!$D$5:$D$24,0),0),1,($B$6-1)*4+3)),"")</f>
        <v/>
      </c>
      <c r="F25" s="200" t="str">
        <f t="shared" si="0"/>
        <v/>
      </c>
      <c r="G25" s="219" t="str">
        <f t="shared" si="1"/>
        <v/>
      </c>
      <c r="H25" s="208"/>
      <c r="J25" s="221">
        <v>17</v>
      </c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3"/>
      <c r="AD25" s="223"/>
    </row>
    <row r="26" spans="1:30" x14ac:dyDescent="0.45">
      <c r="A26" s="208"/>
      <c r="B26" s="216" t="s">
        <v>155</v>
      </c>
      <c r="C26" s="118" t="str" cm="1">
        <f t="array" ref="C26">IFERROR(IF(INDEX($K$9:$U$30,MATCH($B$6,$J$9:$J$30,0),ROWS($C$18:C26))="",IF($B$6='Team Selection'!$B$6,'Team Selection'!$D33,""),INDEX($K$9:$U$30,MATCH($B$6,$J$9:$J$30,0),ROWS($C$18:C26))),"")</f>
        <v>Emma Dromgoole</v>
      </c>
      <c r="D26" s="212" t="str" cm="1">
        <f t="array" ref="D26">IFERROR(IF(OR($C26="",INDEX(INDEX(Attendance!$CP$5:$FY$24,MATCH($C26,Attendance!$D$5:$D$24,0),0),1,($B$6-1)*4+2)=""),"",INDEX(INDEX(Attendance!$CP$5:$FY$24,MATCH($C26,Attendance!$D$5:$D$24,0),0),1,($B$6-1)*4+2)),"")</f>
        <v/>
      </c>
      <c r="E26" s="213" t="str" cm="1">
        <f t="array" ref="E26">IFERROR(IF(OR($C26="",INDEX(INDEX(Attendance!$CP$5:$FY$24,MATCH($C26,Attendance!$D$5:$D$24,0),0),1,($B$6-1)*4+3)=""),"",INDEX(INDEX(Attendance!$CP$5:$FY$24,MATCH($C26,Attendance!$D$5:$D$24,0),0),1,($B$6-1)*4+3)),"")</f>
        <v/>
      </c>
      <c r="F26" s="195" t="str">
        <f t="shared" si="0"/>
        <v/>
      </c>
      <c r="G26" s="217" t="str">
        <f t="shared" si="1"/>
        <v/>
      </c>
      <c r="H26" s="208"/>
      <c r="J26" s="221">
        <v>18</v>
      </c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3"/>
      <c r="AD26" s="223"/>
    </row>
    <row r="27" spans="1:30" x14ac:dyDescent="0.45">
      <c r="A27" s="208"/>
      <c r="B27" s="218" t="s">
        <v>159</v>
      </c>
      <c r="C27" s="122" t="str" cm="1">
        <f t="array" ref="C27">IFERROR(IF(INDEX($K$9:$U$30,MATCH($B$6,$J$9:$J$30,0),ROWS($C$18:C27))="",IF($B$6='Team Selection'!$B$6,'Team Selection'!$D34,""),INDEX($K$9:$U$30,MATCH($B$6,$J$9:$J$30,0),ROWS($C$18:C27))),"")</f>
        <v>Zara Freeman</v>
      </c>
      <c r="D27" s="214" t="str" cm="1">
        <f t="array" ref="D27">IFERROR(IF(OR($C27="",INDEX(INDEX(Attendance!$CP$5:$FY$24,MATCH($C27,Attendance!$D$5:$D$24,0),0),1,($B$6-1)*4+2)=""),"",INDEX(INDEX(Attendance!$CP$5:$FY$24,MATCH($C27,Attendance!$D$5:$D$24,0),0),1,($B$6-1)*4+2)),"")</f>
        <v/>
      </c>
      <c r="E27" s="215" t="str" cm="1">
        <f t="array" ref="E27">IFERROR(IF(OR($C27="",INDEX(INDEX(Attendance!$CP$5:$FY$24,MATCH($C27,Attendance!$D$5:$D$24,0),0),1,($B$6-1)*4+3)=""),"",INDEX(INDEX(Attendance!$CP$5:$FY$24,MATCH($C27,Attendance!$D$5:$D$24,0),0),1,($B$6-1)*4+3)),"")</f>
        <v/>
      </c>
      <c r="F27" s="200" t="str">
        <f t="shared" si="0"/>
        <v/>
      </c>
      <c r="G27" s="219" t="str">
        <f t="shared" si="1"/>
        <v/>
      </c>
      <c r="H27" s="208"/>
      <c r="J27" s="221">
        <v>19</v>
      </c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  <c r="AB27" s="222"/>
      <c r="AC27" s="223"/>
      <c r="AD27" s="223"/>
    </row>
    <row r="28" spans="1:30" x14ac:dyDescent="0.45">
      <c r="A28" s="208"/>
      <c r="B28" s="216" t="s">
        <v>157</v>
      </c>
      <c r="C28" s="118" t="str" cm="1">
        <f t="array" ref="C28">IFERROR(IF(INDEX($K$9:$U$30,MATCH($B$6,$J$9:$J$30,0),ROWS($C$18:C28))="",IF($B$6='Team Selection'!$B$6,'Team Selection'!$D35,""),INDEX($K$9:$U$30,MATCH($B$6,$J$9:$J$30,0),ROWS($C$18:C28))),"")</f>
        <v>Amber Kilalee</v>
      </c>
      <c r="D28" s="212" t="str" cm="1">
        <f t="array" ref="D28">IFERROR(IF(OR($C28="",INDEX(INDEX(Attendance!$CP$5:$FY$24,MATCH($C28,Attendance!$D$5:$D$24,0),0),1,($B$6-1)*4+2)=""),"",INDEX(INDEX(Attendance!$CP$5:$FY$24,MATCH($C28,Attendance!$D$5:$D$24,0),0),1,($B$6-1)*4+2)),"")</f>
        <v/>
      </c>
      <c r="E28" s="213" t="str" cm="1">
        <f t="array" ref="E28">IFERROR(IF(OR($C28="",INDEX(INDEX(Attendance!$CP$5:$FY$24,MATCH($C28,Attendance!$D$5:$D$24,0),0),1,($B$6-1)*4+3)=""),"",INDEX(INDEX(Attendance!$CP$5:$FY$24,MATCH($C28,Attendance!$D$5:$D$24,0),0),1,($B$6-1)*4+3)),"")</f>
        <v/>
      </c>
      <c r="F28" s="195" t="str">
        <f t="shared" si="0"/>
        <v/>
      </c>
      <c r="G28" s="217" t="str">
        <f t="shared" si="1"/>
        <v/>
      </c>
      <c r="H28" s="208"/>
      <c r="J28" s="221">
        <v>20</v>
      </c>
      <c r="K28" s="222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  <c r="AA28" s="222"/>
      <c r="AB28" s="222"/>
      <c r="AC28" s="223"/>
      <c r="AD28" s="223"/>
    </row>
    <row r="29" spans="1:30" x14ac:dyDescent="0.45">
      <c r="A29" s="208"/>
      <c r="B29" s="208"/>
      <c r="C29" s="208"/>
      <c r="D29" s="208"/>
      <c r="E29" s="208"/>
      <c r="F29" s="208"/>
      <c r="G29" s="208"/>
      <c r="H29" s="208"/>
      <c r="J29" s="221">
        <v>21</v>
      </c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3"/>
      <c r="AD29" s="223"/>
    </row>
    <row r="30" spans="1:30" x14ac:dyDescent="0.45">
      <c r="A30" s="208"/>
      <c r="B30" s="325" t="s">
        <v>310</v>
      </c>
      <c r="C30" s="325"/>
      <c r="D30" s="325"/>
      <c r="E30" s="325"/>
      <c r="F30" s="325"/>
      <c r="G30" s="325"/>
      <c r="J30" s="221">
        <v>22</v>
      </c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3"/>
      <c r="AD30" s="223"/>
    </row>
    <row r="31" spans="1:30" x14ac:dyDescent="0.45">
      <c r="A31" s="208"/>
      <c r="B31" s="192" t="s">
        <v>3</v>
      </c>
      <c r="C31" s="192" t="s">
        <v>4</v>
      </c>
      <c r="D31" s="192" t="s">
        <v>32</v>
      </c>
      <c r="E31" s="192" t="s">
        <v>33</v>
      </c>
      <c r="F31" s="192" t="s">
        <v>309</v>
      </c>
      <c r="G31" s="192" t="s">
        <v>34</v>
      </c>
      <c r="H31" s="208"/>
    </row>
    <row r="32" spans="1:30" x14ac:dyDescent="0.45">
      <c r="A32" s="208"/>
      <c r="B32" s="195">
        <v>1</v>
      </c>
      <c r="C32" s="118" t="str" cm="1">
        <f t="array" ref="C32">IFERROR(IF(INDEX($V$9:$AB$30,MATCH($B$6,$J$9:$J$30,0),ROWS($C$32:C32))="","",INDEX($V$9:$AB$30,MATCH($B$6,$J$9:$J$30,0),ROWS($C$32:C32))),"")</f>
        <v/>
      </c>
      <c r="D32" s="212" t="str" cm="1">
        <f t="array" ref="D32">IFERROR(IF(OR($C32="",INDEX(INDEX(Attendance!$CP$5:$FY$24,MATCH($C32,Attendance!$D$5:$D$24,0),0),1,($B$6-1)*4+2)=""),"",INDEX(INDEX(Attendance!$CP$5:$FY$24,MATCH($C32,Attendance!$D$5:$D$24,0),0),1,($B$6-1)*4+2)),"")</f>
        <v/>
      </c>
      <c r="E32" s="213" t="str" cm="1">
        <f t="array" ref="E32">IFERROR(IF(OR($C32="",INDEX(INDEX(Attendance!$CP$5:$FY$24,MATCH($C32,Attendance!$D$5:$D$24,0),0),1,($B$6-1)*4+3)=""),"",INDEX(INDEX(Attendance!$CP$5:$FY$24,MATCH($C32,Attendance!$D$5:$D$24,0),0),1,($B$6-1)*4+3)),"")</f>
        <v/>
      </c>
      <c r="F32" s="195" t="str">
        <f>IFERROR(IF($E32="","",LOOKUP($E32,$J$35:$J$40,$K$35:$K$40)),"")</f>
        <v/>
      </c>
      <c r="G32" s="217" t="str">
        <f>IF($C32="","",IF($C32=$D$14,"★ MOTM",""))</f>
        <v/>
      </c>
      <c r="H32" s="208"/>
    </row>
    <row r="33" spans="1:18" x14ac:dyDescent="0.45">
      <c r="A33" s="208"/>
      <c r="B33" s="200">
        <v>2</v>
      </c>
      <c r="C33" s="122" t="str" cm="1">
        <f t="array" ref="C33">IFERROR(IF(INDEX($V$9:$AB$30,MATCH($B$6,$J$9:$J$30,0),ROWS($C$32:C33))="","",INDEX($V$9:$AB$30,MATCH($B$6,$J$9:$J$30,0),ROWS($C$32:C33))),"")</f>
        <v/>
      </c>
      <c r="D33" s="214" t="str" cm="1">
        <f t="array" ref="D33">IFERROR(IF(OR($C33="",INDEX(INDEX(Attendance!$CP$5:$FY$24,MATCH($C33,Attendance!$D$5:$D$24,0),0),1,($B$6-1)*4+2)=""),"",INDEX(INDEX(Attendance!$CP$5:$FY$24,MATCH($C33,Attendance!$D$5:$D$24,0),0),1,($B$6-1)*4+2)),"")</f>
        <v/>
      </c>
      <c r="E33" s="215" t="str" cm="1">
        <f t="array" ref="E33">IFERROR(IF(OR($C33="",INDEX(INDEX(Attendance!$CP$5:$FY$24,MATCH($C33,Attendance!$D$5:$D$24,0),0),1,($B$6-1)*4+3)=""),"",INDEX(INDEX(Attendance!$CP$5:$FY$24,MATCH($C33,Attendance!$D$5:$D$24,0),0),1,($B$6-1)*4+3)),"")</f>
        <v/>
      </c>
      <c r="F33" s="200" t="str">
        <f t="shared" ref="F33:F38" si="2">IFERROR(IF($E33="","",LOOKUP($E33,$J$35:$J$40,$K$35:$K$40)),"")</f>
        <v/>
      </c>
      <c r="G33" s="219" t="str">
        <f t="shared" ref="G33:G38" si="3">IF($C33="","",IF($C33=$D$14,"★ MOTM",""))</f>
        <v/>
      </c>
      <c r="H33" s="208"/>
      <c r="J33" s="209" t="s">
        <v>312</v>
      </c>
    </row>
    <row r="34" spans="1:18" x14ac:dyDescent="0.45">
      <c r="A34" s="208"/>
      <c r="B34" s="195">
        <v>3</v>
      </c>
      <c r="C34" s="118" t="str" cm="1">
        <f t="array" ref="C34">IFERROR(IF(INDEX($V$9:$AB$30,MATCH($B$6,$J$9:$J$30,0),ROWS($C$32:C34))="","",INDEX($V$9:$AB$30,MATCH($B$6,$J$9:$J$30,0),ROWS($C$32:C34))),"")</f>
        <v/>
      </c>
      <c r="D34" s="212" t="str" cm="1">
        <f t="array" ref="D34">IFERROR(IF(OR($C34="",INDEX(INDEX(Attendance!$CP$5:$FY$24,MATCH($C34,Attendance!$D$5:$D$24,0),0),1,($B$6-1)*4+2)=""),"",INDEX(INDEX(Attendance!$CP$5:$FY$24,MATCH($C34,Attendance!$D$5:$D$24,0),0),1,($B$6-1)*4+2)),"")</f>
        <v/>
      </c>
      <c r="E34" s="213" t="str" cm="1">
        <f t="array" ref="E34">IFERROR(IF(OR($C34="",INDEX(INDEX(Attendance!$CP$5:$FY$24,MATCH($C34,Attendance!$D$5:$D$24,0),0),1,($B$6-1)*4+3)=""),"",INDEX(INDEX(Attendance!$CP$5:$FY$24,MATCH($C34,Attendance!$D$5:$D$24,0),0),1,($B$6-1)*4+3)),"")</f>
        <v/>
      </c>
      <c r="F34" s="195" t="str">
        <f t="shared" si="2"/>
        <v/>
      </c>
      <c r="G34" s="217" t="str">
        <f t="shared" si="3"/>
        <v/>
      </c>
      <c r="H34" s="208"/>
      <c r="J34" s="210" t="s">
        <v>311</v>
      </c>
      <c r="K34" s="210" t="s">
        <v>309</v>
      </c>
    </row>
    <row r="35" spans="1:18" x14ac:dyDescent="0.45">
      <c r="A35" s="208"/>
      <c r="B35" s="200">
        <v>4</v>
      </c>
      <c r="C35" s="122" t="str" cm="1">
        <f t="array" ref="C35">IFERROR(IF(INDEX($V$9:$AB$30,MATCH($B$6,$J$9:$J$30,0),ROWS($C$32:C35))="","",INDEX($V$9:$AB$30,MATCH($B$6,$J$9:$J$30,0),ROWS($C$32:C35))),"")</f>
        <v/>
      </c>
      <c r="D35" s="214" t="str" cm="1">
        <f t="array" ref="D35">IFERROR(IF(OR($C35="",INDEX(INDEX(Attendance!$CP$5:$FY$24,MATCH($C35,Attendance!$D$5:$D$24,0),0),1,($B$6-1)*4+2)=""),"",INDEX(INDEX(Attendance!$CP$5:$FY$24,MATCH($C35,Attendance!$D$5:$D$24,0),0),1,($B$6-1)*4+2)),"")</f>
        <v/>
      </c>
      <c r="E35" s="215" t="str" cm="1">
        <f t="array" ref="E35">IFERROR(IF(OR($C35="",INDEX(INDEX(Attendance!$CP$5:$FY$24,MATCH($C35,Attendance!$D$5:$D$24,0),0),1,($B$6-1)*4+3)=""),"",INDEX(INDEX(Attendance!$CP$5:$FY$24,MATCH($C35,Attendance!$D$5:$D$24,0),0),1,($B$6-1)*4+3)),"")</f>
        <v/>
      </c>
      <c r="F35" s="200" t="str">
        <f t="shared" si="2"/>
        <v/>
      </c>
      <c r="G35" s="219" t="str">
        <f t="shared" si="3"/>
        <v/>
      </c>
      <c r="H35" s="208"/>
      <c r="J35" s="211">
        <v>0</v>
      </c>
      <c r="K35" s="211" t="s">
        <v>95</v>
      </c>
    </row>
    <row r="36" spans="1:18" x14ac:dyDescent="0.45">
      <c r="A36" s="208"/>
      <c r="B36" s="195">
        <v>5</v>
      </c>
      <c r="C36" s="118" t="str" cm="1">
        <f t="array" ref="C36">IFERROR(IF(INDEX($V$9:$AB$30,MATCH($B$6,$J$9:$J$30,0),ROWS($C$32:C36))="","",INDEX($V$9:$AB$30,MATCH($B$6,$J$9:$J$30,0),ROWS($C$32:C36))),"")</f>
        <v/>
      </c>
      <c r="D36" s="212" t="str" cm="1">
        <f t="array" ref="D36">IFERROR(IF(OR($C36="",INDEX(INDEX(Attendance!$CP$5:$FY$24,MATCH($C36,Attendance!$D$5:$D$24,0),0),1,($B$6-1)*4+2)=""),"",INDEX(INDEX(Attendance!$CP$5:$FY$24,MATCH($C36,Attendance!$D$5:$D$24,0),0),1,($B$6-1)*4+2)),"")</f>
        <v/>
      </c>
      <c r="E36" s="213" t="str" cm="1">
        <f t="array" ref="E36">IFERROR(IF(OR($C36="",INDEX(INDEX(Attendance!$CP$5:$FY$24,MATCH($C36,Attendance!$D$5:$D$24,0),0),1,($B$6-1)*4+3)=""),"",INDEX(INDEX(Attendance!$CP$5:$FY$24,MATCH($C36,Attendance!$D$5:$D$24,0),0),1,($B$6-1)*4+3)),"")</f>
        <v/>
      </c>
      <c r="F36" s="195" t="str">
        <f t="shared" si="2"/>
        <v/>
      </c>
      <c r="G36" s="217" t="str">
        <f t="shared" si="3"/>
        <v/>
      </c>
      <c r="H36" s="208"/>
      <c r="J36" s="211">
        <v>5</v>
      </c>
      <c r="K36" s="211" t="s">
        <v>92</v>
      </c>
    </row>
    <row r="37" spans="1:18" x14ac:dyDescent="0.45">
      <c r="A37" s="208"/>
      <c r="B37" s="200">
        <v>6</v>
      </c>
      <c r="C37" s="122" t="str" cm="1">
        <f t="array" ref="C37">IFERROR(IF(INDEX($V$9:$AB$30,MATCH($B$6,$J$9:$J$30,0),ROWS($C$32:C37))="","",INDEX($V$9:$AB$30,MATCH($B$6,$J$9:$J$30,0),ROWS($C$32:C37))),"")</f>
        <v/>
      </c>
      <c r="D37" s="214" t="str" cm="1">
        <f t="array" ref="D37">IFERROR(IF(OR($C37="",INDEX(INDEX(Attendance!$CP$5:$FY$24,MATCH($C37,Attendance!$D$5:$D$24,0),0),1,($B$6-1)*4+2)=""),"",INDEX(INDEX(Attendance!$CP$5:$FY$24,MATCH($C37,Attendance!$D$5:$D$24,0),0),1,($B$6-1)*4+2)),"")</f>
        <v/>
      </c>
      <c r="E37" s="215" t="str" cm="1">
        <f t="array" ref="E37">IFERROR(IF(OR($C37="",INDEX(INDEX(Attendance!$CP$5:$FY$24,MATCH($C37,Attendance!$D$5:$D$24,0),0),1,($B$6-1)*4+3)=""),"",INDEX(INDEX(Attendance!$CP$5:$FY$24,MATCH($C37,Attendance!$D$5:$D$24,0),0),1,($B$6-1)*4+3)),"")</f>
        <v/>
      </c>
      <c r="F37" s="200" t="str">
        <f t="shared" si="2"/>
        <v/>
      </c>
      <c r="G37" s="219" t="str">
        <f t="shared" si="3"/>
        <v/>
      </c>
      <c r="H37" s="208"/>
      <c r="J37" s="211">
        <v>6</v>
      </c>
      <c r="K37" s="211" t="s">
        <v>89</v>
      </c>
    </row>
    <row r="38" spans="1:18" x14ac:dyDescent="0.45">
      <c r="A38" s="208"/>
      <c r="B38" s="195">
        <v>7</v>
      </c>
      <c r="C38" s="118" t="str" cm="1">
        <f t="array" ref="C38">IFERROR(IF(INDEX($V$9:$AB$30,MATCH($B$6,$J$9:$J$30,0),ROWS($C$32:C38))="","",INDEX($V$9:$AB$30,MATCH($B$6,$J$9:$J$30,0),ROWS($C$32:C38))),"")</f>
        <v/>
      </c>
      <c r="D38" s="212" t="str" cm="1">
        <f t="array" ref="D38">IFERROR(IF(OR($C38="",INDEX(INDEX(Attendance!$CP$5:$FY$24,MATCH($C38,Attendance!$D$5:$D$24,0),0),1,($B$6-1)*4+2)=""),"",INDEX(INDEX(Attendance!$CP$5:$FY$24,MATCH($C38,Attendance!$D$5:$D$24,0),0),1,($B$6-1)*4+2)),"")</f>
        <v/>
      </c>
      <c r="E38" s="213" t="str" cm="1">
        <f t="array" ref="E38">IFERROR(IF(OR($C38="",INDEX(INDEX(Attendance!$CP$5:$FY$24,MATCH($C38,Attendance!$D$5:$D$24,0),0),1,($B$6-1)*4+3)=""),"",INDEX(INDEX(Attendance!$CP$5:$FY$24,MATCH($C38,Attendance!$D$5:$D$24,0),0),1,($B$6-1)*4+3)),"")</f>
        <v/>
      </c>
      <c r="F38" s="195" t="str">
        <f t="shared" si="2"/>
        <v/>
      </c>
      <c r="G38" s="217" t="str">
        <f t="shared" si="3"/>
        <v/>
      </c>
      <c r="H38" s="208"/>
      <c r="J38" s="211">
        <v>7</v>
      </c>
      <c r="K38" s="211" t="s">
        <v>86</v>
      </c>
    </row>
    <row r="39" spans="1:18" x14ac:dyDescent="0.45">
      <c r="A39" s="208"/>
      <c r="B39" s="208"/>
      <c r="C39" s="208"/>
      <c r="D39" s="208"/>
      <c r="E39" s="208"/>
      <c r="F39" s="208"/>
      <c r="G39" s="208"/>
      <c r="H39" s="208"/>
      <c r="J39" s="211">
        <v>8</v>
      </c>
      <c r="K39" s="211" t="s">
        <v>83</v>
      </c>
    </row>
    <row r="40" spans="1:18" x14ac:dyDescent="0.45">
      <c r="A40" s="208"/>
      <c r="B40" s="323" t="s">
        <v>313</v>
      </c>
      <c r="C40" s="323"/>
      <c r="D40" s="323"/>
      <c r="E40" s="323"/>
      <c r="F40" s="323"/>
      <c r="G40" s="323"/>
      <c r="H40" s="323"/>
      <c r="J40" s="211">
        <v>9</v>
      </c>
      <c r="K40" s="211" t="s">
        <v>69</v>
      </c>
    </row>
    <row r="41" spans="1:18" x14ac:dyDescent="0.45">
      <c r="A41" s="208"/>
      <c r="B41" s="192" t="s">
        <v>3</v>
      </c>
      <c r="C41" s="192" t="s">
        <v>4</v>
      </c>
      <c r="D41" s="192" t="s">
        <v>131</v>
      </c>
      <c r="E41" s="192" t="s">
        <v>8</v>
      </c>
      <c r="F41" s="192" t="s">
        <v>32</v>
      </c>
      <c r="G41" s="192" t="s">
        <v>33</v>
      </c>
      <c r="H41" s="192" t="s">
        <v>309</v>
      </c>
    </row>
    <row r="42" spans="1:18" x14ac:dyDescent="0.45">
      <c r="A42" s="208"/>
      <c r="B42" s="193">
        <f>IF($C42="","",ROWS($B$42:B42))</f>
        <v>1</v>
      </c>
      <c r="C42" s="118" t="str">
        <f>IF(Attendance!$D5="","",Attendance!$D5)</f>
        <v>Aoife Kennan</v>
      </c>
      <c r="D42" s="203" t="str">
        <f>IF($C42="","",'Player Grading'!$D6)</f>
        <v>GK</v>
      </c>
      <c r="E42" s="203" t="str" cm="1">
        <f t="array" ref="E42">IFERROR(IF(OR($C42="",INDEX(Attendance!$CP5:$FY5,1,($B$6-1)*4+1)=""),"",INDEX(Attendance!$CP5:$FY5,1,($B$6-1)*4+1)),"")</f>
        <v/>
      </c>
      <c r="F42" s="212" t="str" cm="1">
        <f t="array" ref="F42">IFERROR(IF(OR($C42="",INDEX(Attendance!$CP5:$FY5,1,($B$6-1)*4+2)=""),"",INDEX(Attendance!$CP5:$FY5,1,($B$6-1)*4+2)),"")</f>
        <v/>
      </c>
      <c r="G42" s="213" t="str" cm="1">
        <f t="array" ref="G42">IFERROR(IF(OR($C42="",INDEX(Attendance!$CP5:$FY5,1,($B$6-1)*4+3)=""),"",INDEX(Attendance!$CP5:$FY5,1,($B$6-1)*4+3)),"")</f>
        <v/>
      </c>
      <c r="H42" s="195" t="str">
        <f>IFERROR(IF($G42="","",LOOKUP($G42,$J$35:$J$40,$K$35:$K$40)),"")</f>
        <v/>
      </c>
    </row>
    <row r="43" spans="1:18" x14ac:dyDescent="0.45">
      <c r="A43" s="208"/>
      <c r="B43" s="198">
        <f>IF($C43="","",ROWS($B$42:B43))</f>
        <v>2</v>
      </c>
      <c r="C43" s="122" t="str">
        <f>IF(Attendance!$D6="","",Attendance!$D6)</f>
        <v>Stella McEvoy</v>
      </c>
      <c r="D43" s="204" t="str">
        <f>IF($C43="","",'Player Grading'!$D7)</f>
        <v>LB / RB</v>
      </c>
      <c r="E43" s="204" t="str" cm="1">
        <f t="array" ref="E43">IFERROR(IF(OR($C43="",INDEX(Attendance!$CP6:$FY6,1,($B$6-1)*4+1)=""),"",INDEX(Attendance!$CP6:$FY6,1,($B$6-1)*4+1)),"")</f>
        <v/>
      </c>
      <c r="F43" s="214" t="str" cm="1">
        <f t="array" ref="F43">IFERROR(IF(OR($C43="",INDEX(Attendance!$CP6:$FY6,1,($B$6-1)*4+2)=""),"",INDEX(Attendance!$CP6:$FY6,1,($B$6-1)*4+2)),"")</f>
        <v/>
      </c>
      <c r="G43" s="215" t="str" cm="1">
        <f t="array" ref="G43">IFERROR(IF(OR($C43="",INDEX(Attendance!$CP6:$FY6,1,($B$6-1)*4+3)=""),"",INDEX(Attendance!$CP6:$FY6,1,($B$6-1)*4+3)),"")</f>
        <v/>
      </c>
      <c r="H43" s="200" t="str">
        <f t="shared" ref="H43:H61" si="4">IFERROR(IF($G43="","",LOOKUP($G43,$J$35:$J$40,$K$35:$K$40)),"")</f>
        <v/>
      </c>
      <c r="J43" s="323" t="s">
        <v>338</v>
      </c>
      <c r="K43" s="323"/>
      <c r="L43" s="323"/>
      <c r="M43" s="323"/>
      <c r="N43" s="323"/>
      <c r="O43" s="323"/>
      <c r="P43" s="323"/>
      <c r="R43" s="232" t="s">
        <v>339</v>
      </c>
    </row>
    <row r="44" spans="1:18" x14ac:dyDescent="0.45">
      <c r="A44" s="208"/>
      <c r="B44" s="193">
        <f>IF($C44="","",ROWS($B$42:B44))</f>
        <v>3</v>
      </c>
      <c r="C44" s="118" t="str">
        <f>IF(Attendance!$D7="","",Attendance!$D7)</f>
        <v>Zara Power</v>
      </c>
      <c r="D44" s="203" t="str">
        <f>IF($C44="","",'Player Grading'!$D8)</f>
        <v>RB</v>
      </c>
      <c r="E44" s="203" t="str" cm="1">
        <f t="array" ref="E44">IFERROR(IF(OR($C44="",INDEX(Attendance!$CP7:$FY7,1,($B$6-1)*4+1)=""),"",INDEX(Attendance!$CP7:$FY7,1,($B$6-1)*4+1)),"")</f>
        <v/>
      </c>
      <c r="F44" s="212" t="str" cm="1">
        <f t="array" ref="F44">IFERROR(IF(OR($C44="",INDEX(Attendance!$CP7:$FY7,1,($B$6-1)*4+2)=""),"",INDEX(Attendance!$CP7:$FY7,1,($B$6-1)*4+2)),"")</f>
        <v/>
      </c>
      <c r="G44" s="213" t="str" cm="1">
        <f t="array" ref="G44">IFERROR(IF(OR($C44="",INDEX(Attendance!$CP7:$FY7,1,($B$6-1)*4+3)=""),"",INDEX(Attendance!$CP7:$FY7,1,($B$6-1)*4+3)),"")</f>
        <v/>
      </c>
      <c r="H44" s="195" t="str">
        <f t="shared" si="4"/>
        <v/>
      </c>
      <c r="J44" s="225" t="s">
        <v>216</v>
      </c>
      <c r="K44" s="225" t="s">
        <v>168</v>
      </c>
      <c r="L44" s="225" t="s">
        <v>166</v>
      </c>
      <c r="M44" s="225" t="s">
        <v>306</v>
      </c>
      <c r="N44" s="225" t="s">
        <v>169</v>
      </c>
      <c r="O44" s="225" t="s">
        <v>170</v>
      </c>
      <c r="P44" s="225" t="s">
        <v>171</v>
      </c>
      <c r="R44" s="220" t="s">
        <v>340</v>
      </c>
    </row>
    <row r="45" spans="1:18" x14ac:dyDescent="0.45">
      <c r="A45" s="208"/>
      <c r="B45" s="198">
        <f>IF($C45="","",ROWS($B$42:B45))</f>
        <v>4</v>
      </c>
      <c r="C45" s="122" t="str">
        <f>IF(Attendance!$D8="","",Attendance!$D8)</f>
        <v>Heidi Cerubini Dunne</v>
      </c>
      <c r="D45" s="204" t="str">
        <f>IF($C45="","",'Player Grading'!$D9)</f>
        <v>LB / RB</v>
      </c>
      <c r="E45" s="204" t="str" cm="1">
        <f t="array" ref="E45">IFERROR(IF(OR($C45="",INDEX(Attendance!$CP8:$FY8,1,($B$6-1)*4+1)=""),"",INDEX(Attendance!$CP8:$FY8,1,($B$6-1)*4+1)),"")</f>
        <v/>
      </c>
      <c r="F45" s="214" t="str" cm="1">
        <f t="array" ref="F45">IFERROR(IF(OR($C45="",INDEX(Attendance!$CP8:$FY8,1,($B$6-1)*4+2)=""),"",INDEX(Attendance!$CP8:$FY8,1,($B$6-1)*4+2)),"")</f>
        <v/>
      </c>
      <c r="G45" s="215" t="str" cm="1">
        <f t="array" ref="G45">IFERROR(IF(OR($C45="",INDEX(Attendance!$CP8:$FY8,1,($B$6-1)*4+3)=""),"",INDEX(Attendance!$CP8:$FY8,1,($B$6-1)*4+3)),"")</f>
        <v/>
      </c>
      <c r="H45" s="200" t="str">
        <f t="shared" si="4"/>
        <v/>
      </c>
      <c r="J45" s="221">
        <v>1</v>
      </c>
      <c r="K45" s="226"/>
      <c r="L45" s="227"/>
      <c r="M45" s="228"/>
      <c r="N45" s="229"/>
      <c r="O45" s="229"/>
      <c r="P45" s="230" t="str">
        <f>IF(OR($N45="",$O45=""),"",IF($N45&gt;$O45,"W",IF($N45=$O45,"D","L")))</f>
        <v/>
      </c>
      <c r="R45" s="5" t="s">
        <v>285</v>
      </c>
    </row>
    <row r="46" spans="1:18" x14ac:dyDescent="0.45">
      <c r="A46" s="208"/>
      <c r="B46" s="193">
        <f>IF($C46="","",ROWS($B$42:B46))</f>
        <v>5</v>
      </c>
      <c r="C46" s="118" t="str">
        <f>IF(Attendance!$D9="","",Attendance!$D9)</f>
        <v>Roisin Offenhausen</v>
      </c>
      <c r="D46" s="203" t="str">
        <f>IF($C46="","",'Player Grading'!$D10)</f>
        <v>RW / ACM / ST</v>
      </c>
      <c r="E46" s="203" t="str" cm="1">
        <f t="array" ref="E46">IFERROR(IF(OR($C46="",INDEX(Attendance!$CP9:$FY9,1,($B$6-1)*4+1)=""),"",INDEX(Attendance!$CP9:$FY9,1,($B$6-1)*4+1)),"")</f>
        <v/>
      </c>
      <c r="F46" s="212" t="str" cm="1">
        <f t="array" ref="F46">IFERROR(IF(OR($C46="",INDEX(Attendance!$CP9:$FY9,1,($B$6-1)*4+2)=""),"",INDEX(Attendance!$CP9:$FY9,1,($B$6-1)*4+2)),"")</f>
        <v/>
      </c>
      <c r="G46" s="213" t="str" cm="1">
        <f t="array" ref="G46">IFERROR(IF(OR($C46="",INDEX(Attendance!$CP9:$FY9,1,($B$6-1)*4+3)=""),"",INDEX(Attendance!$CP9:$FY9,1,($B$6-1)*4+3)),"")</f>
        <v/>
      </c>
      <c r="H46" s="195" t="str">
        <f t="shared" si="4"/>
        <v/>
      </c>
      <c r="J46" s="221">
        <v>2</v>
      </c>
      <c r="K46" s="226"/>
      <c r="L46" s="227"/>
      <c r="M46" s="228"/>
      <c r="N46" s="229"/>
      <c r="O46" s="229"/>
      <c r="P46" s="230" t="str">
        <f t="shared" ref="P46:P66" si="5">IF(OR($N46="",$O46=""),"",IF($N46&gt;$O46,"W",IF($N46=$O46,"D","L")))</f>
        <v/>
      </c>
      <c r="R46" s="7" t="s">
        <v>286</v>
      </c>
    </row>
    <row r="47" spans="1:18" x14ac:dyDescent="0.45">
      <c r="A47" s="208"/>
      <c r="B47" s="198">
        <f>IF($C47="","",ROWS($B$42:B47))</f>
        <v>6</v>
      </c>
      <c r="C47" s="122" t="str">
        <f>IF(Attendance!$D10="","",Attendance!$D10)</f>
        <v>Naomi Adewoyin</v>
      </c>
      <c r="D47" s="204" t="str">
        <f>IF($C47="","",'Player Grading'!$D11)</f>
        <v>ACM</v>
      </c>
      <c r="E47" s="204" t="str" cm="1">
        <f t="array" ref="E47">IFERROR(IF(OR($C47="",INDEX(Attendance!$CP10:$FY10,1,($B$6-1)*4+1)=""),"",INDEX(Attendance!$CP10:$FY10,1,($B$6-1)*4+1)),"")</f>
        <v/>
      </c>
      <c r="F47" s="214" t="str" cm="1">
        <f t="array" ref="F47">IFERROR(IF(OR($C47="",INDEX(Attendance!$CP10:$FY10,1,($B$6-1)*4+2)=""),"",INDEX(Attendance!$CP10:$FY10,1,($B$6-1)*4+2)),"")</f>
        <v/>
      </c>
      <c r="G47" s="215" t="str" cm="1">
        <f t="array" ref="G47">IFERROR(IF(OR($C47="",INDEX(Attendance!$CP10:$FY10,1,($B$6-1)*4+3)=""),"",INDEX(Attendance!$CP10:$FY10,1,($B$6-1)*4+3)),"")</f>
        <v/>
      </c>
      <c r="H47" s="200" t="str">
        <f t="shared" si="4"/>
        <v/>
      </c>
      <c r="J47" s="221">
        <v>3</v>
      </c>
      <c r="K47" s="226"/>
      <c r="L47" s="227"/>
      <c r="M47" s="228"/>
      <c r="N47" s="229"/>
      <c r="O47" s="229"/>
      <c r="P47" s="230" t="str">
        <f t="shared" si="5"/>
        <v/>
      </c>
      <c r="R47" s="7" t="s">
        <v>287</v>
      </c>
    </row>
    <row r="48" spans="1:18" x14ac:dyDescent="0.45">
      <c r="A48" s="208"/>
      <c r="B48" s="193">
        <f>IF($C48="","",ROWS($B$42:B48))</f>
        <v>7</v>
      </c>
      <c r="C48" s="118" t="str">
        <f>IF(Attendance!$D11="","",Attendance!$D11)</f>
        <v>Amber Kilalee</v>
      </c>
      <c r="D48" s="203" t="str">
        <f>IF($C48="","",'Player Grading'!$D12)</f>
        <v>LW / ST</v>
      </c>
      <c r="E48" s="203" t="str" cm="1">
        <f t="array" ref="E48">IFERROR(IF(OR($C48="",INDEX(Attendance!$CP11:$FY11,1,($B$6-1)*4+1)=""),"",INDEX(Attendance!$CP11:$FY11,1,($B$6-1)*4+1)),"")</f>
        <v/>
      </c>
      <c r="F48" s="212" t="str" cm="1">
        <f t="array" ref="F48">IFERROR(IF(OR($C48="",INDEX(Attendance!$CP11:$FY11,1,($B$6-1)*4+2)=""),"",INDEX(Attendance!$CP11:$FY11,1,($B$6-1)*4+2)),"")</f>
        <v/>
      </c>
      <c r="G48" s="213" t="str" cm="1">
        <f t="array" ref="G48">IFERROR(IF(OR($C48="",INDEX(Attendance!$CP11:$FY11,1,($B$6-1)*4+3)=""),"",INDEX(Attendance!$CP11:$FY11,1,($B$6-1)*4+3)),"")</f>
        <v/>
      </c>
      <c r="H48" s="195" t="str">
        <f t="shared" si="4"/>
        <v/>
      </c>
      <c r="J48" s="221">
        <v>4</v>
      </c>
      <c r="K48" s="226"/>
      <c r="L48" s="227"/>
      <c r="M48" s="228"/>
      <c r="N48" s="229"/>
      <c r="O48" s="229"/>
      <c r="P48" s="230" t="str">
        <f t="shared" si="5"/>
        <v/>
      </c>
      <c r="R48" s="7" t="s">
        <v>288</v>
      </c>
    </row>
    <row r="49" spans="1:18" x14ac:dyDescent="0.45">
      <c r="A49" s="208"/>
      <c r="B49" s="198">
        <f>IF($C49="","",ROWS($B$42:B49))</f>
        <v>8</v>
      </c>
      <c r="C49" s="122" t="str">
        <f>IF(Attendance!$D12="","",Attendance!$D12)</f>
        <v>Shauna Kavanagh</v>
      </c>
      <c r="D49" s="204" t="str">
        <f>IF($C49="","",'Player Grading'!$D13)</f>
        <v>ST / RW</v>
      </c>
      <c r="E49" s="204" t="str" cm="1">
        <f t="array" ref="E49">IFERROR(IF(OR($C49="",INDEX(Attendance!$CP12:$FY12,1,($B$6-1)*4+1)=""),"",INDEX(Attendance!$CP12:$FY12,1,($B$6-1)*4+1)),"")</f>
        <v/>
      </c>
      <c r="F49" s="214" t="str" cm="1">
        <f t="array" ref="F49">IFERROR(IF(OR($C49="",INDEX(Attendance!$CP12:$FY12,1,($B$6-1)*4+2)=""),"",INDEX(Attendance!$CP12:$FY12,1,($B$6-1)*4+2)),"")</f>
        <v/>
      </c>
      <c r="G49" s="215" t="str" cm="1">
        <f t="array" ref="G49">IFERROR(IF(OR($C49="",INDEX(Attendance!$CP12:$FY12,1,($B$6-1)*4+3)=""),"",INDEX(Attendance!$CP12:$FY12,1,($B$6-1)*4+3)),"")</f>
        <v/>
      </c>
      <c r="H49" s="200" t="str">
        <f t="shared" si="4"/>
        <v/>
      </c>
      <c r="J49" s="221">
        <v>5</v>
      </c>
      <c r="K49" s="226"/>
      <c r="L49" s="227"/>
      <c r="M49" s="228"/>
      <c r="N49" s="229"/>
      <c r="O49" s="229"/>
      <c r="P49" s="230" t="str">
        <f t="shared" si="5"/>
        <v/>
      </c>
      <c r="R49" s="7" t="s">
        <v>289</v>
      </c>
    </row>
    <row r="50" spans="1:18" x14ac:dyDescent="0.45">
      <c r="A50" s="208"/>
      <c r="B50" s="193">
        <f>IF($C50="","",ROWS($B$42:B50))</f>
        <v>9</v>
      </c>
      <c r="C50" s="118" t="str">
        <f>IF(Attendance!$D13="","",Attendance!$D13)</f>
        <v>Tara Brannigan</v>
      </c>
      <c r="D50" s="203" t="str">
        <f>IF($C50="","",'Player Grading'!$D14)</f>
        <v>DM / CM</v>
      </c>
      <c r="E50" s="203" t="str" cm="1">
        <f t="array" ref="E50">IFERROR(IF(OR($C50="",INDEX(Attendance!$CP13:$FY13,1,($B$6-1)*4+1)=""),"",INDEX(Attendance!$CP13:$FY13,1,($B$6-1)*4+1)),"")</f>
        <v/>
      </c>
      <c r="F50" s="212" t="str" cm="1">
        <f t="array" ref="F50">IFERROR(IF(OR($C50="",INDEX(Attendance!$CP13:$FY13,1,($B$6-1)*4+2)=""),"",INDEX(Attendance!$CP13:$FY13,1,($B$6-1)*4+2)),"")</f>
        <v/>
      </c>
      <c r="G50" s="213" t="str" cm="1">
        <f t="array" ref="G50">IFERROR(IF(OR($C50="",INDEX(Attendance!$CP13:$FY13,1,($B$6-1)*4+3)=""),"",INDEX(Attendance!$CP13:$FY13,1,($B$6-1)*4+3)),"")</f>
        <v/>
      </c>
      <c r="H50" s="195" t="str">
        <f t="shared" si="4"/>
        <v/>
      </c>
      <c r="J50" s="221">
        <v>6</v>
      </c>
      <c r="K50" s="226"/>
      <c r="L50" s="227"/>
      <c r="M50" s="228"/>
      <c r="N50" s="229"/>
      <c r="O50" s="229"/>
      <c r="P50" s="230" t="str">
        <f t="shared" si="5"/>
        <v/>
      </c>
      <c r="R50" s="7" t="s">
        <v>290</v>
      </c>
    </row>
    <row r="51" spans="1:18" x14ac:dyDescent="0.45">
      <c r="A51" s="208"/>
      <c r="B51" s="198">
        <f>IF($C51="","",ROWS($B$42:B51))</f>
        <v>10</v>
      </c>
      <c r="C51" s="122" t="str">
        <f>IF(Attendance!$D14="","",Attendance!$D14)</f>
        <v>Semilore Adesanya</v>
      </c>
      <c r="D51" s="204" t="str">
        <f>IF($C51="","",'Player Grading'!$D15)</f>
        <v>CB / CM</v>
      </c>
      <c r="E51" s="204" t="str" cm="1">
        <f t="array" ref="E51">IFERROR(IF(OR($C51="",INDEX(Attendance!$CP14:$FY14,1,($B$6-1)*4+1)=""),"",INDEX(Attendance!$CP14:$FY14,1,($B$6-1)*4+1)),"")</f>
        <v/>
      </c>
      <c r="F51" s="214" t="str" cm="1">
        <f t="array" ref="F51">IFERROR(IF(OR($C51="",INDEX(Attendance!$CP14:$FY14,1,($B$6-1)*4+2)=""),"",INDEX(Attendance!$CP14:$FY14,1,($B$6-1)*4+2)),"")</f>
        <v/>
      </c>
      <c r="G51" s="215" t="str" cm="1">
        <f t="array" ref="G51">IFERROR(IF(OR($C51="",INDEX(Attendance!$CP14:$FY14,1,($B$6-1)*4+3)=""),"",INDEX(Attendance!$CP14:$FY14,1,($B$6-1)*4+3)),"")</f>
        <v/>
      </c>
      <c r="H51" s="200" t="str">
        <f t="shared" si="4"/>
        <v/>
      </c>
      <c r="J51" s="221">
        <v>7</v>
      </c>
      <c r="K51" s="226"/>
      <c r="L51" s="227"/>
      <c r="M51" s="228"/>
      <c r="N51" s="229"/>
      <c r="O51" s="229"/>
      <c r="P51" s="230" t="str">
        <f t="shared" si="5"/>
        <v/>
      </c>
      <c r="R51" s="7" t="s">
        <v>291</v>
      </c>
    </row>
    <row r="52" spans="1:18" x14ac:dyDescent="0.45">
      <c r="A52" s="208"/>
      <c r="B52" s="193">
        <f>IF($C52="","",ROWS($B$42:B52))</f>
        <v>11</v>
      </c>
      <c r="C52" s="118" t="str">
        <f>IF(Attendance!$D15="","",Attendance!$D15)</f>
        <v>Hannah Fleming</v>
      </c>
      <c r="D52" s="203" t="str">
        <f>IF($C52="","",'Player Grading'!$D16)</f>
        <v>LB / LW</v>
      </c>
      <c r="E52" s="203" t="str" cm="1">
        <f t="array" ref="E52">IFERROR(IF(OR($C52="",INDEX(Attendance!$CP15:$FY15,1,($B$6-1)*4+1)=""),"",INDEX(Attendance!$CP15:$FY15,1,($B$6-1)*4+1)),"")</f>
        <v/>
      </c>
      <c r="F52" s="212" t="str" cm="1">
        <f t="array" ref="F52">IFERROR(IF(OR($C52="",INDEX(Attendance!$CP15:$FY15,1,($B$6-1)*4+2)=""),"",INDEX(Attendance!$CP15:$FY15,1,($B$6-1)*4+2)),"")</f>
        <v/>
      </c>
      <c r="G52" s="213" t="str" cm="1">
        <f t="array" ref="G52">IFERROR(IF(OR($C52="",INDEX(Attendance!$CP15:$FY15,1,($B$6-1)*4+3)=""),"",INDEX(Attendance!$CP15:$FY15,1,($B$6-1)*4+3)),"")</f>
        <v/>
      </c>
      <c r="H52" s="195" t="str">
        <f t="shared" si="4"/>
        <v/>
      </c>
      <c r="J52" s="221">
        <v>8</v>
      </c>
      <c r="K52" s="226"/>
      <c r="L52" s="227"/>
      <c r="M52" s="228"/>
      <c r="N52" s="229"/>
      <c r="O52" s="229"/>
      <c r="P52" s="230" t="str">
        <f t="shared" si="5"/>
        <v/>
      </c>
      <c r="R52" s="7" t="s">
        <v>292</v>
      </c>
    </row>
    <row r="53" spans="1:18" x14ac:dyDescent="0.45">
      <c r="A53" s="208"/>
      <c r="B53" s="198">
        <f>IF($C53="","",ROWS($B$42:B53))</f>
        <v>12</v>
      </c>
      <c r="C53" s="122" t="str">
        <f>IF(Attendance!$D16="","",Attendance!$D16)</f>
        <v>Emma Kelly</v>
      </c>
      <c r="D53" s="204" t="str">
        <f>IF($C53="","",'Player Grading'!$D17)</f>
        <v>CB</v>
      </c>
      <c r="E53" s="204" t="str" cm="1">
        <f t="array" ref="E53">IFERROR(IF(OR($C53="",INDEX(Attendance!$CP16:$FY16,1,($B$6-1)*4+1)=""),"",INDEX(Attendance!$CP16:$FY16,1,($B$6-1)*4+1)),"")</f>
        <v/>
      </c>
      <c r="F53" s="214" t="str" cm="1">
        <f t="array" ref="F53">IFERROR(IF(OR($C53="",INDEX(Attendance!$CP16:$FY16,1,($B$6-1)*4+2)=""),"",INDEX(Attendance!$CP16:$FY16,1,($B$6-1)*4+2)),"")</f>
        <v/>
      </c>
      <c r="G53" s="215" t="str" cm="1">
        <f t="array" ref="G53">IFERROR(IF(OR($C53="",INDEX(Attendance!$CP16:$FY16,1,($B$6-1)*4+3)=""),"",INDEX(Attendance!$CP16:$FY16,1,($B$6-1)*4+3)),"")</f>
        <v/>
      </c>
      <c r="H53" s="200" t="str">
        <f t="shared" si="4"/>
        <v/>
      </c>
      <c r="J53" s="221">
        <v>9</v>
      </c>
      <c r="K53" s="226"/>
      <c r="L53" s="227"/>
      <c r="M53" s="228"/>
      <c r="N53" s="229"/>
      <c r="O53" s="229"/>
      <c r="P53" s="230" t="str">
        <f t="shared" si="5"/>
        <v/>
      </c>
      <c r="R53" s="7" t="s">
        <v>293</v>
      </c>
    </row>
    <row r="54" spans="1:18" x14ac:dyDescent="0.45">
      <c r="A54" s="208"/>
      <c r="B54" s="193">
        <f>IF($C54="","",ROWS($B$42:B54))</f>
        <v>13</v>
      </c>
      <c r="C54" s="118" t="str">
        <f>IF(Attendance!$D17="","",Attendance!$D17)</f>
        <v>Roma Memon</v>
      </c>
      <c r="D54" s="203" t="str">
        <f>IF($C54="","",'Player Grading'!$D18)</f>
        <v>DM / CM</v>
      </c>
      <c r="E54" s="203" t="str" cm="1">
        <f t="array" ref="E54">IFERROR(IF(OR($C54="",INDEX(Attendance!$CP17:$FY17,1,($B$6-1)*4+1)=""),"",INDEX(Attendance!$CP17:$FY17,1,($B$6-1)*4+1)),"")</f>
        <v/>
      </c>
      <c r="F54" s="212" t="str" cm="1">
        <f t="array" ref="F54">IFERROR(IF(OR($C54="",INDEX(Attendance!$CP17:$FY17,1,($B$6-1)*4+2)=""),"",INDEX(Attendance!$CP17:$FY17,1,($B$6-1)*4+2)),"")</f>
        <v/>
      </c>
      <c r="G54" s="213" t="str" cm="1">
        <f t="array" ref="G54">IFERROR(IF(OR($C54="",INDEX(Attendance!$CP17:$FY17,1,($B$6-1)*4+3)=""),"",INDEX(Attendance!$CP17:$FY17,1,($B$6-1)*4+3)),"")</f>
        <v/>
      </c>
      <c r="H54" s="195" t="str">
        <f t="shared" si="4"/>
        <v/>
      </c>
      <c r="J54" s="221">
        <v>10</v>
      </c>
      <c r="K54" s="226"/>
      <c r="L54" s="227"/>
      <c r="M54" s="228"/>
      <c r="N54" s="229"/>
      <c r="O54" s="229"/>
      <c r="P54" s="230" t="str">
        <f t="shared" si="5"/>
        <v/>
      </c>
      <c r="R54" s="7" t="s">
        <v>294</v>
      </c>
    </row>
    <row r="55" spans="1:18" x14ac:dyDescent="0.45">
      <c r="A55" s="208"/>
      <c r="B55" s="198">
        <f>IF($C55="","",ROWS($B$42:B55))</f>
        <v>14</v>
      </c>
      <c r="C55" s="122" t="str">
        <f>IF(Attendance!$D18="","",Attendance!$D18)</f>
        <v>Emma Dromgoole</v>
      </c>
      <c r="D55" s="204" t="str">
        <f>IF($C55="","",'Player Grading'!$D19)</f>
        <v>RW / ST</v>
      </c>
      <c r="E55" s="204" t="str" cm="1">
        <f t="array" ref="E55">IFERROR(IF(OR($C55="",INDEX(Attendance!$CP18:$FY18,1,($B$6-1)*4+1)=""),"",INDEX(Attendance!$CP18:$FY18,1,($B$6-1)*4+1)),"")</f>
        <v/>
      </c>
      <c r="F55" s="214" t="str" cm="1">
        <f t="array" ref="F55">IFERROR(IF(OR($C55="",INDEX(Attendance!$CP18:$FY18,1,($B$6-1)*4+2)=""),"",INDEX(Attendance!$CP18:$FY18,1,($B$6-1)*4+2)),"")</f>
        <v/>
      </c>
      <c r="G55" s="215" t="str" cm="1">
        <f t="array" ref="G55">IFERROR(IF(OR($C55="",INDEX(Attendance!$CP18:$FY18,1,($B$6-1)*4+3)=""),"",INDEX(Attendance!$CP18:$FY18,1,($B$6-1)*4+3)),"")</f>
        <v/>
      </c>
      <c r="H55" s="200" t="str">
        <f t="shared" si="4"/>
        <v/>
      </c>
      <c r="J55" s="221">
        <v>11</v>
      </c>
      <c r="K55" s="226"/>
      <c r="L55" s="227"/>
      <c r="M55" s="228"/>
      <c r="N55" s="229"/>
      <c r="O55" s="229"/>
      <c r="P55" s="230" t="str">
        <f t="shared" si="5"/>
        <v/>
      </c>
      <c r="R55" s="9" t="s">
        <v>295</v>
      </c>
    </row>
    <row r="56" spans="1:18" x14ac:dyDescent="0.45">
      <c r="A56" s="208"/>
      <c r="B56" s="193">
        <f>IF($C56="","",ROWS($B$42:B56))</f>
        <v>15</v>
      </c>
      <c r="C56" s="118" t="str">
        <f>IF(Attendance!$D19="","",Attendance!$D19)</f>
        <v>Elsie Morrison</v>
      </c>
      <c r="D56" s="203" t="str">
        <f>IF($C56="","",'Player Grading'!$D20)</f>
        <v>LW / ST / GK</v>
      </c>
      <c r="E56" s="203" t="str" cm="1">
        <f t="array" ref="E56">IFERROR(IF(OR($C56="",INDEX(Attendance!$CP19:$FY19,1,($B$6-1)*4+1)=""),"",INDEX(Attendance!$CP19:$FY19,1,($B$6-1)*4+1)),"")</f>
        <v/>
      </c>
      <c r="F56" s="212" t="str" cm="1">
        <f t="array" ref="F56">IFERROR(IF(OR($C56="",INDEX(Attendance!$CP19:$FY19,1,($B$6-1)*4+2)=""),"",INDEX(Attendance!$CP19:$FY19,1,($B$6-1)*4+2)),"")</f>
        <v/>
      </c>
      <c r="G56" s="213" t="str" cm="1">
        <f t="array" ref="G56">IFERROR(IF(OR($C56="",INDEX(Attendance!$CP19:$FY19,1,($B$6-1)*4+3)=""),"",INDEX(Attendance!$CP19:$FY19,1,($B$6-1)*4+3)),"")</f>
        <v/>
      </c>
      <c r="H56" s="195" t="str">
        <f t="shared" si="4"/>
        <v/>
      </c>
      <c r="J56" s="221">
        <v>12</v>
      </c>
      <c r="K56" s="226"/>
      <c r="L56" s="227"/>
      <c r="M56" s="228"/>
      <c r="N56" s="229"/>
      <c r="O56" s="229"/>
      <c r="P56" s="230" t="str">
        <f t="shared" si="5"/>
        <v/>
      </c>
      <c r="R56" s="233"/>
    </row>
    <row r="57" spans="1:18" x14ac:dyDescent="0.45">
      <c r="A57" s="208"/>
      <c r="B57" s="198">
        <f>IF($C57="","",ROWS($B$42:B57))</f>
        <v>16</v>
      </c>
      <c r="C57" s="122" t="str">
        <f>IF(Attendance!$D20="","",Attendance!$D20)</f>
        <v>Zara Freeman</v>
      </c>
      <c r="D57" s="204" t="str">
        <f>IF($C57="","",'Player Grading'!$D21)</f>
        <v xml:space="preserve">ST </v>
      </c>
      <c r="E57" s="204" t="str" cm="1">
        <f t="array" ref="E57">IFERROR(IF(OR($C57="",INDEX(Attendance!$CP20:$FY20,1,($B$6-1)*4+1)=""),"",INDEX(Attendance!$CP20:$FY20,1,($B$6-1)*4+1)),"")</f>
        <v/>
      </c>
      <c r="F57" s="214" t="str" cm="1">
        <f t="array" ref="F57">IFERROR(IF(OR($C57="",INDEX(Attendance!$CP20:$FY20,1,($B$6-1)*4+2)=""),"",INDEX(Attendance!$CP20:$FY20,1,($B$6-1)*4+2)),"")</f>
        <v/>
      </c>
      <c r="G57" s="215" t="str" cm="1">
        <f t="array" ref="G57">IFERROR(IF(OR($C57="",INDEX(Attendance!$CP20:$FY20,1,($B$6-1)*4+3)=""),"",INDEX(Attendance!$CP20:$FY20,1,($B$6-1)*4+3)),"")</f>
        <v/>
      </c>
      <c r="H57" s="200" t="str">
        <f t="shared" si="4"/>
        <v/>
      </c>
      <c r="J57" s="221">
        <v>13</v>
      </c>
      <c r="K57" s="226"/>
      <c r="L57" s="227"/>
      <c r="M57" s="228"/>
      <c r="N57" s="229"/>
      <c r="O57" s="229"/>
      <c r="P57" s="230" t="str">
        <f t="shared" si="5"/>
        <v/>
      </c>
      <c r="R57" s="233"/>
    </row>
    <row r="58" spans="1:18" x14ac:dyDescent="0.45">
      <c r="A58" s="208"/>
      <c r="B58" s="193">
        <f>IF($C58="","",ROWS($B$42:B58))</f>
        <v>17</v>
      </c>
      <c r="C58" s="118" t="str">
        <f>IF(Attendance!$D21="","",Attendance!$D21)</f>
        <v>Marianna</v>
      </c>
      <c r="D58" s="203" t="str">
        <f>IF($C58="","",'Player Grading'!$D22)</f>
        <v>RB / CB</v>
      </c>
      <c r="E58" s="203" t="str" cm="1">
        <f t="array" ref="E58">IFERROR(IF(OR($C58="",INDEX(Attendance!$CP21:$FY21,1,($B$6-1)*4+1)=""),"",INDEX(Attendance!$CP21:$FY21,1,($B$6-1)*4+1)),"")</f>
        <v/>
      </c>
      <c r="F58" s="212" t="str" cm="1">
        <f t="array" ref="F58">IFERROR(IF(OR($C58="",INDEX(Attendance!$CP21:$FY21,1,($B$6-1)*4+2)=""),"",INDEX(Attendance!$CP21:$FY21,1,($B$6-1)*4+2)),"")</f>
        <v/>
      </c>
      <c r="G58" s="213" t="str" cm="1">
        <f t="array" ref="G58">IFERROR(IF(OR($C58="",INDEX(Attendance!$CP21:$FY21,1,($B$6-1)*4+3)=""),"",INDEX(Attendance!$CP21:$FY21,1,($B$6-1)*4+3)),"")</f>
        <v/>
      </c>
      <c r="H58" s="195" t="str">
        <f t="shared" si="4"/>
        <v/>
      </c>
      <c r="J58" s="221">
        <v>14</v>
      </c>
      <c r="K58" s="226"/>
      <c r="L58" s="227"/>
      <c r="M58" s="228"/>
      <c r="N58" s="229"/>
      <c r="O58" s="229"/>
      <c r="P58" s="230" t="str">
        <f t="shared" si="5"/>
        <v/>
      </c>
      <c r="R58" s="233"/>
    </row>
    <row r="59" spans="1:18" x14ac:dyDescent="0.45">
      <c r="A59" s="208"/>
      <c r="B59" s="198" t="str">
        <f>IF($C59="","",ROWS($B$42:B59))</f>
        <v/>
      </c>
      <c r="C59" s="122" t="str">
        <f>IF(Attendance!$D22="","",Attendance!$D22)</f>
        <v/>
      </c>
      <c r="D59" s="204" t="str">
        <f>IF($C59="","",'Player Grading'!$D23)</f>
        <v/>
      </c>
      <c r="E59" s="204" t="str" cm="1">
        <f t="array" ref="E59">IFERROR(IF(OR($C59="",INDEX(Attendance!$CP22:$FY22,1,($B$6-1)*4+1)=""),"",INDEX(Attendance!$CP22:$FY22,1,($B$6-1)*4+1)),"")</f>
        <v/>
      </c>
      <c r="F59" s="214" t="str" cm="1">
        <f t="array" ref="F59">IFERROR(IF(OR($C59="",INDEX(Attendance!$CP22:$FY22,1,($B$6-1)*4+2)=""),"",INDEX(Attendance!$CP22:$FY22,1,($B$6-1)*4+2)),"")</f>
        <v/>
      </c>
      <c r="G59" s="215" t="str" cm="1">
        <f t="array" ref="G59">IFERROR(IF(OR($C59="",INDEX(Attendance!$CP22:$FY22,1,($B$6-1)*4+3)=""),"",INDEX(Attendance!$CP22:$FY22,1,($B$6-1)*4+3)),"")</f>
        <v/>
      </c>
      <c r="H59" s="200" t="str">
        <f t="shared" si="4"/>
        <v/>
      </c>
      <c r="J59" s="221">
        <v>15</v>
      </c>
      <c r="K59" s="226"/>
      <c r="L59" s="227"/>
      <c r="M59" s="228"/>
      <c r="N59" s="229"/>
      <c r="O59" s="229"/>
      <c r="P59" s="230" t="str">
        <f t="shared" si="5"/>
        <v/>
      </c>
      <c r="R59" s="233"/>
    </row>
    <row r="60" spans="1:18" x14ac:dyDescent="0.45">
      <c r="A60" s="208"/>
      <c r="B60" s="193" t="str">
        <f>IF($C60="","",ROWS($B$42:B60))</f>
        <v/>
      </c>
      <c r="C60" s="118" t="str">
        <f>IF(Attendance!$D23="","",Attendance!$D23)</f>
        <v/>
      </c>
      <c r="D60" s="203" t="str">
        <f>IF($C60="","",'Player Grading'!$D24)</f>
        <v/>
      </c>
      <c r="E60" s="203" t="str" cm="1">
        <f t="array" ref="E60">IFERROR(IF(OR($C60="",INDEX(Attendance!$CP23:$FY23,1,($B$6-1)*4+1)=""),"",INDEX(Attendance!$CP23:$FY23,1,($B$6-1)*4+1)),"")</f>
        <v/>
      </c>
      <c r="F60" s="212" t="str" cm="1">
        <f t="array" ref="F60">IFERROR(IF(OR($C60="",INDEX(Attendance!$CP23:$FY23,1,($B$6-1)*4+2)=""),"",INDEX(Attendance!$CP23:$FY23,1,($B$6-1)*4+2)),"")</f>
        <v/>
      </c>
      <c r="G60" s="213" t="str" cm="1">
        <f t="array" ref="G60">IFERROR(IF(OR($C60="",INDEX(Attendance!$CP23:$FY23,1,($B$6-1)*4+3)=""),"",INDEX(Attendance!$CP23:$FY23,1,($B$6-1)*4+3)),"")</f>
        <v/>
      </c>
      <c r="H60" s="195" t="str">
        <f t="shared" si="4"/>
        <v/>
      </c>
      <c r="J60" s="221">
        <v>16</v>
      </c>
      <c r="K60" s="226"/>
      <c r="L60" s="227"/>
      <c r="M60" s="228"/>
      <c r="N60" s="229"/>
      <c r="O60" s="229"/>
      <c r="P60" s="230" t="str">
        <f t="shared" si="5"/>
        <v/>
      </c>
      <c r="R60" s="233"/>
    </row>
    <row r="61" spans="1:18" x14ac:dyDescent="0.45">
      <c r="A61" s="208"/>
      <c r="B61" s="198" t="str">
        <f>IF($C61="","",ROWS($B$42:B61))</f>
        <v/>
      </c>
      <c r="C61" s="122" t="str">
        <f>IF(Attendance!$D24="","",Attendance!$D24)</f>
        <v/>
      </c>
      <c r="D61" s="204" t="str">
        <f>IF($C61="","",'Player Grading'!$D25)</f>
        <v/>
      </c>
      <c r="E61" s="204" t="str" cm="1">
        <f t="array" ref="E61">IFERROR(IF(OR($C61="",INDEX(Attendance!$CP24:$FY24,1,($B$6-1)*4+1)=""),"",INDEX(Attendance!$CP24:$FY24,1,($B$6-1)*4+1)),"")</f>
        <v/>
      </c>
      <c r="F61" s="214" t="str" cm="1">
        <f t="array" ref="F61">IFERROR(IF(OR($C61="",INDEX(Attendance!$CP24:$FY24,1,($B$6-1)*4+2)=""),"",INDEX(Attendance!$CP24:$FY24,1,($B$6-1)*4+2)),"")</f>
        <v/>
      </c>
      <c r="G61" s="215" t="str" cm="1">
        <f t="array" ref="G61">IFERROR(IF(OR($C61="",INDEX(Attendance!$CP24:$FY24,1,($B$6-1)*4+3)=""),"",INDEX(Attendance!$CP24:$FY24,1,($B$6-1)*4+3)),"")</f>
        <v/>
      </c>
      <c r="H61" s="200" t="str">
        <f t="shared" si="4"/>
        <v/>
      </c>
      <c r="J61" s="221">
        <v>17</v>
      </c>
      <c r="K61" s="226"/>
      <c r="L61" s="227"/>
      <c r="M61" s="228"/>
      <c r="N61" s="229"/>
      <c r="O61" s="229"/>
      <c r="P61" s="230" t="str">
        <f t="shared" si="5"/>
        <v/>
      </c>
      <c r="R61" s="233"/>
    </row>
    <row r="62" spans="1:18" x14ac:dyDescent="0.45">
      <c r="A62" s="208"/>
      <c r="B62" s="208"/>
      <c r="C62" s="208"/>
      <c r="D62" s="208"/>
      <c r="E62" s="208"/>
      <c r="F62" s="208"/>
      <c r="G62" s="208"/>
      <c r="H62" s="208"/>
      <c r="J62" s="221">
        <v>18</v>
      </c>
      <c r="K62" s="226"/>
      <c r="L62" s="227"/>
      <c r="M62" s="228"/>
      <c r="N62" s="229"/>
      <c r="O62" s="229"/>
      <c r="P62" s="230" t="str">
        <f t="shared" si="5"/>
        <v/>
      </c>
      <c r="R62" s="233"/>
    </row>
    <row r="63" spans="1:18" x14ac:dyDescent="0.45">
      <c r="A63" s="208"/>
      <c r="B63" s="323" t="s">
        <v>314</v>
      </c>
      <c r="C63" s="323"/>
      <c r="D63" s="323"/>
      <c r="E63" s="323"/>
      <c r="F63" s="323"/>
      <c r="G63" s="323"/>
      <c r="H63" s="323"/>
      <c r="J63" s="221">
        <v>19</v>
      </c>
      <c r="K63" s="226"/>
      <c r="L63" s="227"/>
      <c r="M63" s="228"/>
      <c r="N63" s="229"/>
      <c r="O63" s="229"/>
      <c r="P63" s="230" t="str">
        <f t="shared" si="5"/>
        <v/>
      </c>
      <c r="R63" s="233"/>
    </row>
    <row r="64" spans="1:18" x14ac:dyDescent="0.45">
      <c r="A64" s="208"/>
      <c r="B64" s="314" t="str">
        <f>IFERROR(INDEX($AC$9:$AC$30,MATCH($B$6,$J$9:$J$30,0))&amp;"","")</f>
        <v/>
      </c>
      <c r="C64" s="315"/>
      <c r="D64" s="315"/>
      <c r="E64" s="315"/>
      <c r="F64" s="315"/>
      <c r="G64" s="315"/>
      <c r="H64" s="316"/>
      <c r="J64" s="221">
        <v>20</v>
      </c>
      <c r="K64" s="226"/>
      <c r="L64" s="227"/>
      <c r="M64" s="228"/>
      <c r="N64" s="229"/>
      <c r="O64" s="229"/>
      <c r="P64" s="230" t="str">
        <f t="shared" si="5"/>
        <v/>
      </c>
      <c r="R64" s="233"/>
    </row>
    <row r="65" spans="1:16" x14ac:dyDescent="0.45">
      <c r="A65" s="208"/>
      <c r="B65" s="317"/>
      <c r="C65" s="318"/>
      <c r="D65" s="318"/>
      <c r="E65" s="318"/>
      <c r="F65" s="318"/>
      <c r="G65" s="318"/>
      <c r="H65" s="319"/>
      <c r="J65" s="221">
        <v>21</v>
      </c>
      <c r="K65" s="226"/>
      <c r="L65" s="227"/>
      <c r="M65" s="228"/>
      <c r="N65" s="229"/>
      <c r="O65" s="229"/>
      <c r="P65" s="230" t="str">
        <f t="shared" si="5"/>
        <v/>
      </c>
    </row>
    <row r="66" spans="1:16" x14ac:dyDescent="0.45">
      <c r="A66" s="208"/>
      <c r="B66" s="317"/>
      <c r="C66" s="318"/>
      <c r="D66" s="318"/>
      <c r="E66" s="318"/>
      <c r="F66" s="318"/>
      <c r="G66" s="318"/>
      <c r="H66" s="319"/>
      <c r="J66" s="221">
        <v>22</v>
      </c>
      <c r="K66" s="226"/>
      <c r="L66" s="227"/>
      <c r="M66" s="228"/>
      <c r="N66" s="229"/>
      <c r="O66" s="229"/>
      <c r="P66" s="230" t="str">
        <f t="shared" si="5"/>
        <v/>
      </c>
    </row>
    <row r="67" spans="1:16" x14ac:dyDescent="0.45">
      <c r="A67" s="208"/>
      <c r="B67" s="317"/>
      <c r="C67" s="318"/>
      <c r="D67" s="318"/>
      <c r="E67" s="318"/>
      <c r="F67" s="318"/>
      <c r="G67" s="318"/>
      <c r="H67" s="319"/>
    </row>
    <row r="68" spans="1:16" x14ac:dyDescent="0.45">
      <c r="A68" s="208"/>
      <c r="B68" s="317"/>
      <c r="C68" s="318"/>
      <c r="D68" s="318"/>
      <c r="E68" s="318"/>
      <c r="F68" s="318"/>
      <c r="G68" s="318"/>
      <c r="H68" s="319"/>
    </row>
    <row r="69" spans="1:16" x14ac:dyDescent="0.45">
      <c r="A69" s="208"/>
      <c r="B69" s="317"/>
      <c r="C69" s="318"/>
      <c r="D69" s="318"/>
      <c r="E69" s="318"/>
      <c r="F69" s="318"/>
      <c r="G69" s="318"/>
      <c r="H69" s="319"/>
    </row>
    <row r="70" spans="1:16" x14ac:dyDescent="0.45">
      <c r="A70" s="208"/>
      <c r="B70" s="320"/>
      <c r="C70" s="321"/>
      <c r="D70" s="321"/>
      <c r="E70" s="321"/>
      <c r="F70" s="321"/>
      <c r="G70" s="321"/>
      <c r="H70" s="322"/>
    </row>
    <row r="71" spans="1:16" x14ac:dyDescent="0.45">
      <c r="A71" s="208"/>
      <c r="B71" s="208"/>
      <c r="C71" s="208"/>
      <c r="D71" s="208"/>
      <c r="E71" s="208"/>
      <c r="F71" s="208"/>
      <c r="G71" s="208"/>
      <c r="H71" s="208"/>
    </row>
    <row r="72" spans="1:16" x14ac:dyDescent="0.45">
      <c r="A72" s="208"/>
      <c r="B72" s="323" t="s">
        <v>315</v>
      </c>
      <c r="C72" s="323"/>
      <c r="D72" s="323"/>
      <c r="E72" s="323"/>
      <c r="F72" s="323"/>
      <c r="G72" s="323"/>
      <c r="H72" s="323"/>
    </row>
    <row r="73" spans="1:16" x14ac:dyDescent="0.45">
      <c r="A73" s="208"/>
      <c r="B73" s="314" t="str">
        <f>IFERROR(INDEX($AD$9:$AD$30,MATCH($B$6,$J$9:$J$30,0))&amp;"","")</f>
        <v/>
      </c>
      <c r="C73" s="315"/>
      <c r="D73" s="315"/>
      <c r="E73" s="315"/>
      <c r="F73" s="315"/>
      <c r="G73" s="315"/>
      <c r="H73" s="316"/>
    </row>
    <row r="74" spans="1:16" x14ac:dyDescent="0.45">
      <c r="A74" s="208"/>
      <c r="B74" s="317"/>
      <c r="C74" s="318"/>
      <c r="D74" s="318"/>
      <c r="E74" s="318"/>
      <c r="F74" s="318"/>
      <c r="G74" s="318"/>
      <c r="H74" s="319"/>
    </row>
    <row r="75" spans="1:16" x14ac:dyDescent="0.45">
      <c r="A75" s="208"/>
      <c r="B75" s="317"/>
      <c r="C75" s="318"/>
      <c r="D75" s="318"/>
      <c r="E75" s="318"/>
      <c r="F75" s="318"/>
      <c r="G75" s="318"/>
      <c r="H75" s="319"/>
    </row>
    <row r="76" spans="1:16" x14ac:dyDescent="0.45">
      <c r="A76" s="208"/>
      <c r="B76" s="317"/>
      <c r="C76" s="318"/>
      <c r="D76" s="318"/>
      <c r="E76" s="318"/>
      <c r="F76" s="318"/>
      <c r="G76" s="318"/>
      <c r="H76" s="319"/>
    </row>
    <row r="77" spans="1:16" x14ac:dyDescent="0.45">
      <c r="A77" s="208"/>
      <c r="B77" s="317"/>
      <c r="C77" s="318"/>
      <c r="D77" s="318"/>
      <c r="E77" s="318"/>
      <c r="F77" s="318"/>
      <c r="G77" s="318"/>
      <c r="H77" s="319"/>
    </row>
    <row r="78" spans="1:16" x14ac:dyDescent="0.45">
      <c r="A78" s="208"/>
      <c r="B78" s="317"/>
      <c r="C78" s="318"/>
      <c r="D78" s="318"/>
      <c r="E78" s="318"/>
      <c r="F78" s="318"/>
      <c r="G78" s="318"/>
      <c r="H78" s="319"/>
    </row>
    <row r="79" spans="1:16" x14ac:dyDescent="0.45">
      <c r="A79" s="208"/>
      <c r="B79" s="320"/>
      <c r="C79" s="321"/>
      <c r="D79" s="321"/>
      <c r="E79" s="321"/>
      <c r="F79" s="321"/>
      <c r="G79" s="321"/>
      <c r="H79" s="322"/>
    </row>
    <row r="80" spans="1:16" x14ac:dyDescent="0.45">
      <c r="A80" s="208"/>
      <c r="B80" s="208"/>
      <c r="C80" s="208"/>
      <c r="D80" s="208"/>
      <c r="E80" s="208"/>
      <c r="F80" s="208"/>
      <c r="G80" s="208"/>
      <c r="H80" s="208"/>
    </row>
    <row r="81" spans="1:8" x14ac:dyDescent="0.45">
      <c r="A81" s="208"/>
      <c r="B81" s="208"/>
      <c r="C81" s="208"/>
      <c r="D81" s="208"/>
      <c r="E81" s="208"/>
      <c r="F81" s="208"/>
      <c r="G81" s="208"/>
      <c r="H81" s="208"/>
    </row>
    <row r="82" spans="1:8" x14ac:dyDescent="0.45">
      <c r="A82" s="208"/>
      <c r="B82" s="208"/>
      <c r="C82" s="208"/>
      <c r="D82" s="208"/>
      <c r="E82" s="208"/>
      <c r="F82" s="208"/>
      <c r="G82" s="208"/>
      <c r="H82" s="208"/>
    </row>
    <row r="83" spans="1:8" x14ac:dyDescent="0.45">
      <c r="A83" s="208"/>
      <c r="B83" s="208"/>
      <c r="C83" s="208"/>
      <c r="D83" s="208"/>
      <c r="E83" s="208"/>
      <c r="F83" s="208"/>
      <c r="G83" s="208"/>
      <c r="H83" s="208"/>
    </row>
    <row r="84" spans="1:8" x14ac:dyDescent="0.45">
      <c r="A84" s="208"/>
      <c r="B84" s="208"/>
      <c r="C84" s="208"/>
      <c r="D84" s="208"/>
      <c r="E84" s="208"/>
      <c r="F84" s="208"/>
      <c r="G84" s="208"/>
      <c r="H84" s="208"/>
    </row>
    <row r="85" spans="1:8" x14ac:dyDescent="0.45">
      <c r="A85" s="208"/>
      <c r="B85" s="208"/>
      <c r="C85" s="208"/>
      <c r="D85" s="208"/>
      <c r="E85" s="208"/>
      <c r="F85" s="208"/>
      <c r="G85" s="208"/>
      <c r="H85" s="208"/>
    </row>
    <row r="86" spans="1:8" x14ac:dyDescent="0.45">
      <c r="A86" s="208"/>
      <c r="B86" s="208"/>
      <c r="C86" s="208"/>
      <c r="D86" s="208"/>
      <c r="E86" s="208"/>
      <c r="F86" s="208"/>
      <c r="G86" s="208"/>
      <c r="H86" s="208"/>
    </row>
    <row r="87" spans="1:8" x14ac:dyDescent="0.45">
      <c r="A87" s="208"/>
      <c r="B87" s="208"/>
      <c r="C87" s="208"/>
      <c r="D87" s="208"/>
      <c r="E87" s="208"/>
      <c r="F87" s="208"/>
      <c r="G87" s="208"/>
      <c r="H87" s="208"/>
    </row>
    <row r="88" spans="1:8" x14ac:dyDescent="0.45">
      <c r="A88" s="208"/>
      <c r="B88" s="208"/>
      <c r="C88" s="208"/>
      <c r="D88" s="208"/>
      <c r="E88" s="208"/>
      <c r="F88" s="208"/>
      <c r="G88" s="208"/>
      <c r="H88" s="208"/>
    </row>
    <row r="89" spans="1:8" x14ac:dyDescent="0.45">
      <c r="A89" s="208"/>
      <c r="B89" s="208"/>
      <c r="C89" s="208"/>
      <c r="D89" s="208"/>
      <c r="E89" s="208"/>
      <c r="F89" s="208"/>
      <c r="G89" s="208"/>
      <c r="H89" s="208"/>
    </row>
    <row r="90" spans="1:8" x14ac:dyDescent="0.45">
      <c r="A90" s="208"/>
      <c r="B90" s="208"/>
      <c r="C90" s="208"/>
      <c r="D90" s="208"/>
      <c r="E90" s="208"/>
      <c r="F90" s="208"/>
      <c r="G90" s="208"/>
      <c r="H90" s="208"/>
    </row>
    <row r="91" spans="1:8" x14ac:dyDescent="0.45">
      <c r="A91" s="208"/>
      <c r="B91" s="208"/>
      <c r="C91" s="208"/>
      <c r="D91" s="208"/>
      <c r="E91" s="208"/>
      <c r="F91" s="208"/>
      <c r="G91" s="208"/>
      <c r="H91" s="208"/>
    </row>
    <row r="92" spans="1:8" x14ac:dyDescent="0.45">
      <c r="A92" s="208"/>
      <c r="B92" s="208"/>
      <c r="C92" s="208"/>
      <c r="D92" s="208"/>
      <c r="E92" s="208"/>
      <c r="F92" s="208"/>
      <c r="G92" s="208"/>
      <c r="H92" s="208"/>
    </row>
    <row r="93" spans="1:8" x14ac:dyDescent="0.45">
      <c r="A93" s="208"/>
      <c r="B93" s="208"/>
      <c r="C93" s="208"/>
      <c r="D93" s="208"/>
      <c r="E93" s="208"/>
      <c r="F93" s="208"/>
      <c r="G93" s="208"/>
      <c r="H93" s="208"/>
    </row>
    <row r="94" spans="1:8" x14ac:dyDescent="0.45">
      <c r="A94" s="208"/>
      <c r="B94" s="208"/>
      <c r="C94" s="208"/>
      <c r="D94" s="208"/>
      <c r="E94" s="208"/>
      <c r="F94" s="208"/>
      <c r="G94" s="208"/>
      <c r="H94" s="208"/>
    </row>
    <row r="95" spans="1:8" x14ac:dyDescent="0.45">
      <c r="A95" s="208"/>
      <c r="B95" s="208"/>
      <c r="C95" s="208"/>
      <c r="D95" s="208"/>
      <c r="E95" s="208"/>
      <c r="F95" s="208"/>
      <c r="G95" s="208"/>
      <c r="H95" s="208"/>
    </row>
    <row r="96" spans="1:8" x14ac:dyDescent="0.45">
      <c r="A96" s="208"/>
      <c r="B96" s="208"/>
      <c r="C96" s="208"/>
      <c r="D96" s="208"/>
      <c r="E96" s="208"/>
      <c r="F96" s="208"/>
      <c r="G96" s="208"/>
      <c r="H96" s="208"/>
    </row>
    <row r="97" spans="1:8" x14ac:dyDescent="0.45">
      <c r="A97" s="208"/>
      <c r="B97" s="208"/>
      <c r="C97" s="208"/>
      <c r="D97" s="208"/>
      <c r="E97" s="208"/>
      <c r="F97" s="208"/>
      <c r="G97" s="208"/>
      <c r="H97" s="208"/>
    </row>
    <row r="98" spans="1:8" x14ac:dyDescent="0.45">
      <c r="A98" s="208"/>
      <c r="B98" s="208"/>
      <c r="C98" s="208"/>
      <c r="D98" s="208"/>
      <c r="E98" s="208"/>
      <c r="F98" s="208"/>
      <c r="G98" s="208"/>
      <c r="H98" s="208"/>
    </row>
    <row r="99" spans="1:8" x14ac:dyDescent="0.45">
      <c r="A99" s="208"/>
      <c r="B99" s="208"/>
      <c r="C99" s="208"/>
      <c r="D99" s="208"/>
      <c r="E99" s="208"/>
      <c r="F99" s="208"/>
      <c r="G99" s="208"/>
      <c r="H99" s="208"/>
    </row>
    <row r="100" spans="1:8" x14ac:dyDescent="0.45">
      <c r="A100" s="208"/>
      <c r="B100" s="208"/>
      <c r="C100" s="208"/>
      <c r="D100" s="208"/>
      <c r="E100" s="208"/>
      <c r="F100" s="208"/>
      <c r="G100" s="208"/>
      <c r="H100" s="208"/>
    </row>
    <row r="101" spans="1:8" x14ac:dyDescent="0.45">
      <c r="A101" s="208"/>
      <c r="B101" s="208"/>
      <c r="C101" s="208"/>
      <c r="D101" s="208"/>
      <c r="E101" s="208"/>
      <c r="F101" s="208"/>
      <c r="G101" s="208"/>
      <c r="H101" s="208"/>
    </row>
    <row r="102" spans="1:8" x14ac:dyDescent="0.45">
      <c r="A102" s="208"/>
      <c r="B102" s="208"/>
      <c r="C102" s="208"/>
      <c r="D102" s="208"/>
      <c r="E102" s="208"/>
      <c r="F102" s="208"/>
      <c r="G102" s="208"/>
      <c r="H102" s="208"/>
    </row>
    <row r="103" spans="1:8" x14ac:dyDescent="0.45">
      <c r="A103" s="208"/>
      <c r="B103" s="208"/>
      <c r="C103" s="208"/>
      <c r="D103" s="208"/>
      <c r="E103" s="208"/>
      <c r="F103" s="208"/>
      <c r="G103" s="208"/>
      <c r="H103" s="208"/>
    </row>
    <row r="104" spans="1:8" x14ac:dyDescent="0.45">
      <c r="A104" s="208"/>
      <c r="B104" s="208"/>
      <c r="C104" s="208"/>
      <c r="D104" s="208"/>
      <c r="E104" s="208"/>
      <c r="F104" s="208"/>
      <c r="G104" s="208"/>
      <c r="H104" s="208"/>
    </row>
    <row r="105" spans="1:8" x14ac:dyDescent="0.45">
      <c r="A105" s="208"/>
      <c r="B105" s="208"/>
      <c r="C105" s="208"/>
      <c r="D105" s="208"/>
      <c r="E105" s="208"/>
      <c r="F105" s="208"/>
      <c r="G105" s="208"/>
      <c r="H105" s="208"/>
    </row>
    <row r="106" spans="1:8" x14ac:dyDescent="0.45">
      <c r="A106" s="208"/>
      <c r="B106" s="208"/>
      <c r="C106" s="208"/>
      <c r="D106" s="208"/>
      <c r="E106" s="208"/>
      <c r="F106" s="208"/>
      <c r="G106" s="208"/>
      <c r="H106" s="208"/>
    </row>
    <row r="107" spans="1:8" x14ac:dyDescent="0.45">
      <c r="A107" s="208"/>
      <c r="B107" s="208"/>
      <c r="C107" s="208"/>
      <c r="D107" s="208"/>
      <c r="E107" s="208"/>
      <c r="F107" s="208"/>
      <c r="G107" s="208"/>
      <c r="H107" s="208"/>
    </row>
    <row r="108" spans="1:8" x14ac:dyDescent="0.45">
      <c r="A108" s="208"/>
      <c r="B108" s="208"/>
      <c r="C108" s="208"/>
      <c r="D108" s="208"/>
      <c r="E108" s="208"/>
      <c r="F108" s="208"/>
      <c r="G108" s="208"/>
      <c r="H108" s="208"/>
    </row>
    <row r="109" spans="1:8" x14ac:dyDescent="0.45">
      <c r="A109" s="208"/>
      <c r="B109" s="208"/>
      <c r="C109" s="208"/>
      <c r="D109" s="208"/>
      <c r="E109" s="208"/>
      <c r="F109" s="208"/>
      <c r="G109" s="208"/>
      <c r="H109" s="208"/>
    </row>
    <row r="110" spans="1:8" x14ac:dyDescent="0.45">
      <c r="A110" s="208"/>
      <c r="B110" s="208"/>
      <c r="C110" s="208"/>
      <c r="D110" s="208"/>
      <c r="E110" s="208"/>
      <c r="F110" s="208"/>
      <c r="G110" s="208"/>
      <c r="H110" s="208"/>
    </row>
    <row r="111" spans="1:8" x14ac:dyDescent="0.45">
      <c r="A111" s="208"/>
      <c r="B111" s="208"/>
      <c r="C111" s="208"/>
      <c r="D111" s="208"/>
      <c r="E111" s="208"/>
      <c r="F111" s="208"/>
      <c r="G111" s="208"/>
      <c r="H111" s="208"/>
    </row>
    <row r="112" spans="1:8" x14ac:dyDescent="0.45">
      <c r="A112" s="208"/>
      <c r="B112" s="208"/>
      <c r="C112" s="208"/>
      <c r="D112" s="208"/>
      <c r="E112" s="208"/>
      <c r="F112" s="208"/>
      <c r="G112" s="208"/>
      <c r="H112" s="208"/>
    </row>
    <row r="113" spans="1:8" x14ac:dyDescent="0.45">
      <c r="A113" s="208"/>
      <c r="B113" s="208"/>
      <c r="C113" s="208"/>
      <c r="D113" s="208"/>
      <c r="E113" s="208"/>
      <c r="F113" s="208"/>
      <c r="G113" s="208"/>
      <c r="H113" s="208"/>
    </row>
    <row r="114" spans="1:8" x14ac:dyDescent="0.45">
      <c r="A114" s="208"/>
      <c r="B114" s="208"/>
      <c r="C114" s="208"/>
      <c r="D114" s="208"/>
      <c r="E114" s="208"/>
      <c r="F114" s="208"/>
      <c r="G114" s="208"/>
      <c r="H114" s="208"/>
    </row>
    <row r="115" spans="1:8" x14ac:dyDescent="0.45">
      <c r="A115" s="208"/>
      <c r="B115" s="208"/>
      <c r="C115" s="208"/>
      <c r="D115" s="208"/>
      <c r="E115" s="208"/>
      <c r="F115" s="208"/>
      <c r="G115" s="208"/>
      <c r="H115" s="208"/>
    </row>
    <row r="116" spans="1:8" x14ac:dyDescent="0.45">
      <c r="A116" s="208"/>
      <c r="B116" s="208"/>
      <c r="C116" s="208"/>
      <c r="D116" s="208"/>
      <c r="E116" s="208"/>
      <c r="F116" s="208"/>
      <c r="G116" s="208"/>
      <c r="H116" s="208"/>
    </row>
    <row r="117" spans="1:8" x14ac:dyDescent="0.45">
      <c r="A117" s="208"/>
      <c r="B117" s="208"/>
      <c r="C117" s="208"/>
      <c r="D117" s="208"/>
      <c r="E117" s="208"/>
      <c r="F117" s="208"/>
      <c r="G117" s="208"/>
      <c r="H117" s="208"/>
    </row>
    <row r="118" spans="1:8" x14ac:dyDescent="0.45">
      <c r="A118" s="208"/>
      <c r="B118" s="208"/>
      <c r="C118" s="208"/>
      <c r="D118" s="208"/>
      <c r="E118" s="208"/>
      <c r="F118" s="208"/>
      <c r="G118" s="208"/>
      <c r="H118" s="208"/>
    </row>
    <row r="119" spans="1:8" x14ac:dyDescent="0.45">
      <c r="A119" s="208"/>
      <c r="B119" s="208"/>
      <c r="C119" s="208"/>
      <c r="D119" s="208"/>
      <c r="E119" s="208"/>
      <c r="F119" s="208"/>
      <c r="G119" s="208"/>
      <c r="H119" s="208"/>
    </row>
    <row r="120" spans="1:8" x14ac:dyDescent="0.45">
      <c r="A120" s="208"/>
      <c r="B120" s="208"/>
      <c r="C120" s="208"/>
      <c r="D120" s="208"/>
      <c r="E120" s="208"/>
      <c r="F120" s="208"/>
      <c r="G120" s="208"/>
      <c r="H120" s="208"/>
    </row>
    <row r="121" spans="1:8" x14ac:dyDescent="0.45">
      <c r="A121" s="208"/>
      <c r="B121" s="208"/>
      <c r="C121" s="208"/>
      <c r="D121" s="208"/>
      <c r="E121" s="208"/>
      <c r="F121" s="208"/>
      <c r="G121" s="208"/>
      <c r="H121" s="208"/>
    </row>
    <row r="122" spans="1:8" x14ac:dyDescent="0.45">
      <c r="A122" s="208"/>
      <c r="B122" s="208"/>
      <c r="C122" s="208"/>
      <c r="D122" s="208"/>
      <c r="E122" s="208"/>
      <c r="F122" s="208"/>
      <c r="G122" s="208"/>
      <c r="H122" s="208"/>
    </row>
    <row r="123" spans="1:8" x14ac:dyDescent="0.45">
      <c r="A123" s="208"/>
      <c r="B123" s="208"/>
      <c r="C123" s="208"/>
      <c r="D123" s="208"/>
      <c r="E123" s="208"/>
      <c r="F123" s="208"/>
      <c r="G123" s="208"/>
      <c r="H123" s="208"/>
    </row>
    <row r="124" spans="1:8" x14ac:dyDescent="0.45">
      <c r="A124" s="208"/>
      <c r="B124" s="208"/>
      <c r="C124" s="208"/>
      <c r="D124" s="208"/>
      <c r="E124" s="208"/>
      <c r="F124" s="208"/>
      <c r="G124" s="208"/>
      <c r="H124" s="208"/>
    </row>
    <row r="125" spans="1:8" x14ac:dyDescent="0.45">
      <c r="A125" s="208"/>
      <c r="B125" s="208"/>
      <c r="C125" s="208"/>
      <c r="D125" s="208"/>
      <c r="E125" s="208"/>
      <c r="F125" s="208"/>
      <c r="G125" s="208"/>
      <c r="H125" s="208"/>
    </row>
    <row r="126" spans="1:8" x14ac:dyDescent="0.45">
      <c r="A126" s="208"/>
      <c r="B126" s="208"/>
      <c r="C126" s="208"/>
      <c r="D126" s="208"/>
      <c r="E126" s="208"/>
      <c r="F126" s="208"/>
      <c r="G126" s="208"/>
      <c r="H126" s="208"/>
    </row>
    <row r="127" spans="1:8" x14ac:dyDescent="0.45">
      <c r="A127" s="208"/>
      <c r="B127" s="208"/>
      <c r="C127" s="208"/>
      <c r="D127" s="208"/>
      <c r="E127" s="208"/>
      <c r="F127" s="208"/>
      <c r="G127" s="208"/>
      <c r="H127" s="208"/>
    </row>
    <row r="128" spans="1:8" x14ac:dyDescent="0.45">
      <c r="A128" s="208"/>
      <c r="B128" s="208"/>
      <c r="C128" s="208"/>
      <c r="D128" s="208"/>
      <c r="E128" s="208"/>
      <c r="F128" s="208"/>
      <c r="G128" s="208"/>
      <c r="H128" s="208"/>
    </row>
    <row r="129" spans="1:8" x14ac:dyDescent="0.45">
      <c r="A129" s="208"/>
      <c r="B129" s="208"/>
      <c r="C129" s="208"/>
      <c r="D129" s="208"/>
      <c r="E129" s="208"/>
      <c r="F129" s="208"/>
      <c r="G129" s="208"/>
      <c r="H129" s="208"/>
    </row>
    <row r="130" spans="1:8" x14ac:dyDescent="0.45">
      <c r="A130" s="208"/>
      <c r="B130" s="208"/>
      <c r="C130" s="208"/>
      <c r="D130" s="208"/>
      <c r="E130" s="208"/>
      <c r="F130" s="208"/>
      <c r="G130" s="208"/>
      <c r="H130" s="208"/>
    </row>
    <row r="131" spans="1:8" x14ac:dyDescent="0.45">
      <c r="A131" s="208"/>
      <c r="B131" s="208"/>
      <c r="C131" s="208"/>
      <c r="D131" s="208"/>
      <c r="E131" s="208"/>
      <c r="F131" s="208"/>
      <c r="G131" s="208"/>
      <c r="H131" s="208"/>
    </row>
    <row r="132" spans="1:8" x14ac:dyDescent="0.45">
      <c r="A132" s="208"/>
      <c r="B132" s="208"/>
      <c r="C132" s="208"/>
      <c r="D132" s="208"/>
      <c r="E132" s="208"/>
      <c r="F132" s="208"/>
      <c r="G132" s="208"/>
      <c r="H132" s="208"/>
    </row>
    <row r="133" spans="1:8" x14ac:dyDescent="0.45">
      <c r="A133" s="208"/>
      <c r="B133" s="208"/>
      <c r="C133" s="208"/>
      <c r="D133" s="208"/>
      <c r="E133" s="208"/>
      <c r="F133" s="208"/>
      <c r="G133" s="208"/>
      <c r="H133" s="208"/>
    </row>
    <row r="134" spans="1:8" x14ac:dyDescent="0.45">
      <c r="A134" s="208"/>
      <c r="B134" s="208"/>
      <c r="C134" s="208"/>
      <c r="D134" s="208"/>
      <c r="E134" s="208"/>
      <c r="F134" s="208"/>
      <c r="G134" s="208"/>
      <c r="H134" s="208"/>
    </row>
    <row r="135" spans="1:8" x14ac:dyDescent="0.45">
      <c r="A135" s="208"/>
      <c r="B135" s="208"/>
      <c r="C135" s="208"/>
      <c r="D135" s="208"/>
      <c r="E135" s="208"/>
      <c r="F135" s="208"/>
      <c r="G135" s="208"/>
      <c r="H135" s="208"/>
    </row>
    <row r="136" spans="1:8" x14ac:dyDescent="0.45">
      <c r="A136" s="208"/>
      <c r="B136" s="208"/>
      <c r="C136" s="208"/>
      <c r="D136" s="208"/>
      <c r="E136" s="208"/>
      <c r="F136" s="208"/>
      <c r="G136" s="208"/>
      <c r="H136" s="208"/>
    </row>
    <row r="137" spans="1:8" x14ac:dyDescent="0.45">
      <c r="A137" s="208"/>
      <c r="B137" s="208"/>
      <c r="C137" s="208"/>
      <c r="D137" s="208"/>
      <c r="E137" s="208"/>
      <c r="F137" s="208"/>
      <c r="G137" s="208"/>
      <c r="H137" s="208"/>
    </row>
    <row r="138" spans="1:8" x14ac:dyDescent="0.45">
      <c r="A138" s="208"/>
      <c r="B138" s="208"/>
      <c r="C138" s="208"/>
      <c r="D138" s="208"/>
      <c r="E138" s="208"/>
      <c r="F138" s="208"/>
      <c r="G138" s="208"/>
      <c r="H138" s="208"/>
    </row>
    <row r="139" spans="1:8" x14ac:dyDescent="0.45">
      <c r="A139" s="208"/>
      <c r="B139" s="208"/>
      <c r="C139" s="208"/>
      <c r="D139" s="208"/>
      <c r="E139" s="208"/>
      <c r="F139" s="208"/>
      <c r="G139" s="208"/>
      <c r="H139" s="208"/>
    </row>
    <row r="140" spans="1:8" x14ac:dyDescent="0.45">
      <c r="A140" s="208"/>
      <c r="B140" s="208"/>
      <c r="C140" s="208"/>
      <c r="D140" s="208"/>
      <c r="E140" s="208"/>
      <c r="F140" s="208"/>
      <c r="G140" s="208"/>
      <c r="H140" s="208"/>
    </row>
    <row r="141" spans="1:8" x14ac:dyDescent="0.45">
      <c r="A141" s="208"/>
      <c r="B141" s="208"/>
      <c r="C141" s="208"/>
      <c r="D141" s="208"/>
      <c r="E141" s="208"/>
      <c r="F141" s="208"/>
      <c r="G141" s="208"/>
      <c r="H141" s="208"/>
    </row>
    <row r="142" spans="1:8" x14ac:dyDescent="0.45">
      <c r="A142" s="208"/>
      <c r="B142" s="208"/>
      <c r="C142" s="208"/>
      <c r="D142" s="208"/>
      <c r="E142" s="208"/>
      <c r="F142" s="208"/>
      <c r="G142" s="208"/>
      <c r="H142" s="208"/>
    </row>
    <row r="143" spans="1:8" x14ac:dyDescent="0.45">
      <c r="A143" s="208"/>
      <c r="B143" s="208"/>
      <c r="C143" s="208"/>
      <c r="D143" s="208"/>
      <c r="E143" s="208"/>
      <c r="F143" s="208"/>
      <c r="G143" s="208"/>
      <c r="H143" s="208"/>
    </row>
    <row r="144" spans="1:8" x14ac:dyDescent="0.45">
      <c r="A144" s="208"/>
      <c r="B144" s="208"/>
      <c r="C144" s="208"/>
      <c r="D144" s="208"/>
      <c r="E144" s="208"/>
      <c r="F144" s="208"/>
      <c r="G144" s="208"/>
      <c r="H144" s="208"/>
    </row>
    <row r="145" spans="1:8" x14ac:dyDescent="0.45">
      <c r="A145" s="208"/>
      <c r="B145" s="208"/>
      <c r="C145" s="208"/>
      <c r="D145" s="208"/>
      <c r="E145" s="208"/>
      <c r="F145" s="208"/>
      <c r="G145" s="208"/>
      <c r="H145" s="208"/>
    </row>
    <row r="146" spans="1:8" x14ac:dyDescent="0.45">
      <c r="A146" s="208"/>
      <c r="B146" s="208"/>
      <c r="C146" s="208"/>
      <c r="D146" s="208"/>
      <c r="E146" s="208"/>
      <c r="F146" s="208"/>
      <c r="G146" s="208"/>
      <c r="H146" s="208"/>
    </row>
    <row r="147" spans="1:8" x14ac:dyDescent="0.45">
      <c r="A147" s="208"/>
      <c r="B147" s="208"/>
      <c r="C147" s="208"/>
      <c r="D147" s="208"/>
      <c r="E147" s="208"/>
      <c r="F147" s="208"/>
      <c r="G147" s="208"/>
      <c r="H147" s="208"/>
    </row>
    <row r="148" spans="1:8" x14ac:dyDescent="0.45">
      <c r="A148" s="208"/>
      <c r="B148" s="208"/>
      <c r="C148" s="208"/>
      <c r="D148" s="208"/>
      <c r="E148" s="208"/>
      <c r="F148" s="208"/>
      <c r="G148" s="208"/>
      <c r="H148" s="208"/>
    </row>
    <row r="149" spans="1:8" x14ac:dyDescent="0.45">
      <c r="A149" s="208"/>
      <c r="B149" s="208"/>
      <c r="C149" s="208"/>
      <c r="D149" s="208"/>
      <c r="E149" s="208"/>
      <c r="F149" s="208"/>
      <c r="G149" s="208"/>
      <c r="H149" s="208"/>
    </row>
    <row r="150" spans="1:8" x14ac:dyDescent="0.45">
      <c r="A150" s="208"/>
      <c r="B150" s="208"/>
      <c r="C150" s="208"/>
      <c r="D150" s="208"/>
      <c r="E150" s="208"/>
      <c r="F150" s="208"/>
      <c r="G150" s="208"/>
      <c r="H150" s="208"/>
    </row>
    <row r="151" spans="1:8" x14ac:dyDescent="0.45">
      <c r="A151" s="208"/>
      <c r="B151" s="208"/>
      <c r="C151" s="208"/>
      <c r="D151" s="208"/>
      <c r="E151" s="208"/>
      <c r="F151" s="208"/>
      <c r="G151" s="208"/>
      <c r="H151" s="208"/>
    </row>
    <row r="152" spans="1:8" x14ac:dyDescent="0.45">
      <c r="A152" s="208"/>
      <c r="B152" s="208"/>
      <c r="C152" s="208"/>
      <c r="D152" s="208"/>
      <c r="E152" s="208"/>
      <c r="F152" s="208"/>
      <c r="G152" s="208"/>
      <c r="H152" s="208"/>
    </row>
    <row r="153" spans="1:8" x14ac:dyDescent="0.45">
      <c r="A153" s="208"/>
      <c r="B153" s="208"/>
      <c r="C153" s="208"/>
      <c r="D153" s="208"/>
      <c r="E153" s="208"/>
      <c r="F153" s="208"/>
      <c r="G153" s="208"/>
      <c r="H153" s="208"/>
    </row>
    <row r="154" spans="1:8" x14ac:dyDescent="0.45">
      <c r="A154" s="208"/>
      <c r="B154" s="208"/>
      <c r="C154" s="208"/>
      <c r="D154" s="208"/>
      <c r="E154" s="208"/>
      <c r="F154" s="208"/>
      <c r="G154" s="208"/>
      <c r="H154" s="208"/>
    </row>
    <row r="155" spans="1:8" x14ac:dyDescent="0.45">
      <c r="A155" s="208"/>
      <c r="B155" s="208"/>
      <c r="C155" s="208"/>
      <c r="D155" s="208"/>
      <c r="E155" s="208"/>
      <c r="F155" s="208"/>
      <c r="G155" s="208"/>
      <c r="H155" s="208"/>
    </row>
    <row r="156" spans="1:8" x14ac:dyDescent="0.45">
      <c r="A156" s="208"/>
      <c r="B156" s="208"/>
      <c r="C156" s="208"/>
      <c r="D156" s="208"/>
      <c r="E156" s="208"/>
      <c r="F156" s="208"/>
      <c r="G156" s="208"/>
      <c r="H156" s="208"/>
    </row>
    <row r="157" spans="1:8" x14ac:dyDescent="0.45">
      <c r="A157" s="208"/>
      <c r="B157" s="208"/>
      <c r="C157" s="208"/>
      <c r="D157" s="208"/>
      <c r="E157" s="208"/>
      <c r="F157" s="208"/>
      <c r="G157" s="208"/>
      <c r="H157" s="208"/>
    </row>
    <row r="158" spans="1:8" x14ac:dyDescent="0.45">
      <c r="A158" s="208"/>
      <c r="B158" s="208"/>
      <c r="C158" s="208"/>
      <c r="D158" s="208"/>
      <c r="E158" s="208"/>
      <c r="F158" s="208"/>
      <c r="G158" s="208"/>
      <c r="H158" s="208"/>
    </row>
    <row r="159" spans="1:8" x14ac:dyDescent="0.45">
      <c r="A159" s="208"/>
      <c r="B159" s="208"/>
      <c r="C159" s="208"/>
      <c r="D159" s="208"/>
      <c r="E159" s="208"/>
      <c r="F159" s="208"/>
      <c r="G159" s="208"/>
      <c r="H159" s="208"/>
    </row>
    <row r="160" spans="1:8" x14ac:dyDescent="0.45">
      <c r="A160" s="208"/>
      <c r="B160" s="208"/>
      <c r="C160" s="208"/>
      <c r="D160" s="208"/>
      <c r="E160" s="208"/>
      <c r="F160" s="208"/>
      <c r="G160" s="208"/>
      <c r="H160" s="208"/>
    </row>
    <row r="161" spans="1:8" x14ac:dyDescent="0.45">
      <c r="A161" s="208"/>
      <c r="B161" s="208"/>
      <c r="C161" s="208"/>
      <c r="D161" s="208"/>
      <c r="E161" s="208"/>
      <c r="F161" s="208"/>
      <c r="G161" s="208"/>
      <c r="H161" s="208"/>
    </row>
    <row r="162" spans="1:8" x14ac:dyDescent="0.45">
      <c r="A162" s="208"/>
      <c r="B162" s="208"/>
      <c r="C162" s="208"/>
      <c r="D162" s="208"/>
      <c r="E162" s="208"/>
      <c r="F162" s="208"/>
      <c r="G162" s="208"/>
      <c r="H162" s="208"/>
    </row>
    <row r="163" spans="1:8" x14ac:dyDescent="0.45">
      <c r="A163" s="208"/>
      <c r="B163" s="208"/>
      <c r="C163" s="208"/>
      <c r="D163" s="208"/>
      <c r="E163" s="208"/>
      <c r="F163" s="208"/>
      <c r="G163" s="208"/>
      <c r="H163" s="208"/>
    </row>
    <row r="164" spans="1:8" x14ac:dyDescent="0.45">
      <c r="A164" s="208"/>
      <c r="B164" s="208"/>
      <c r="C164" s="208"/>
      <c r="D164" s="208"/>
      <c r="E164" s="208"/>
      <c r="F164" s="208"/>
      <c r="G164" s="208"/>
      <c r="H164" s="208"/>
    </row>
    <row r="165" spans="1:8" x14ac:dyDescent="0.45">
      <c r="A165" s="208"/>
      <c r="B165" s="208"/>
      <c r="C165" s="208"/>
      <c r="D165" s="208"/>
      <c r="E165" s="208"/>
      <c r="F165" s="208"/>
      <c r="G165" s="208"/>
      <c r="H165" s="208"/>
    </row>
    <row r="166" spans="1:8" x14ac:dyDescent="0.45">
      <c r="A166" s="208"/>
      <c r="B166" s="208"/>
      <c r="C166" s="208"/>
      <c r="D166" s="208"/>
      <c r="E166" s="208"/>
      <c r="F166" s="208"/>
      <c r="G166" s="208"/>
      <c r="H166" s="208"/>
    </row>
    <row r="167" spans="1:8" x14ac:dyDescent="0.45">
      <c r="A167" s="208"/>
      <c r="B167" s="208"/>
      <c r="C167" s="208"/>
      <c r="D167" s="208"/>
      <c r="E167" s="208"/>
      <c r="F167" s="208"/>
      <c r="G167" s="208"/>
      <c r="H167" s="208"/>
    </row>
    <row r="168" spans="1:8" x14ac:dyDescent="0.45">
      <c r="A168" s="208"/>
      <c r="B168" s="208"/>
      <c r="C168" s="208"/>
      <c r="D168" s="208"/>
      <c r="E168" s="208"/>
      <c r="F168" s="208"/>
      <c r="G168" s="208"/>
      <c r="H168" s="208"/>
    </row>
    <row r="169" spans="1:8" x14ac:dyDescent="0.45">
      <c r="A169" s="208"/>
      <c r="B169" s="208"/>
      <c r="C169" s="208"/>
      <c r="D169" s="208"/>
      <c r="E169" s="208"/>
      <c r="F169" s="208"/>
      <c r="G169" s="208"/>
      <c r="H169" s="208"/>
    </row>
    <row r="170" spans="1:8" x14ac:dyDescent="0.45">
      <c r="A170" s="208"/>
      <c r="B170" s="208"/>
      <c r="C170" s="208"/>
      <c r="D170" s="208"/>
      <c r="E170" s="208"/>
      <c r="F170" s="208"/>
      <c r="G170" s="208"/>
      <c r="H170" s="208"/>
    </row>
    <row r="171" spans="1:8" x14ac:dyDescent="0.45">
      <c r="A171" s="208"/>
      <c r="B171" s="208"/>
      <c r="C171" s="208"/>
      <c r="D171" s="208"/>
      <c r="E171" s="208"/>
      <c r="F171" s="208"/>
      <c r="G171" s="208"/>
      <c r="H171" s="208"/>
    </row>
    <row r="172" spans="1:8" x14ac:dyDescent="0.45">
      <c r="A172" s="208"/>
      <c r="B172" s="208"/>
      <c r="C172" s="208"/>
      <c r="D172" s="208"/>
      <c r="E172" s="208"/>
      <c r="F172" s="208"/>
      <c r="G172" s="208"/>
      <c r="H172" s="208"/>
    </row>
    <row r="173" spans="1:8" x14ac:dyDescent="0.45">
      <c r="A173" s="208"/>
      <c r="B173" s="208"/>
      <c r="C173" s="208"/>
      <c r="D173" s="208"/>
      <c r="E173" s="208"/>
      <c r="F173" s="208"/>
      <c r="G173" s="208"/>
      <c r="H173" s="208"/>
    </row>
    <row r="174" spans="1:8" x14ac:dyDescent="0.45">
      <c r="A174" s="208"/>
      <c r="B174" s="208"/>
      <c r="C174" s="208"/>
      <c r="D174" s="208"/>
      <c r="E174" s="208"/>
      <c r="F174" s="208"/>
      <c r="G174" s="208"/>
      <c r="H174" s="208"/>
    </row>
    <row r="175" spans="1:8" x14ac:dyDescent="0.45">
      <c r="A175" s="208"/>
      <c r="B175" s="208"/>
      <c r="C175" s="208"/>
      <c r="D175" s="208"/>
      <c r="E175" s="208"/>
      <c r="F175" s="208"/>
      <c r="G175" s="208"/>
      <c r="H175" s="208"/>
    </row>
    <row r="176" spans="1:8" x14ac:dyDescent="0.45">
      <c r="A176" s="208"/>
      <c r="B176" s="208"/>
      <c r="C176" s="208"/>
      <c r="D176" s="208"/>
      <c r="E176" s="208"/>
      <c r="F176" s="208"/>
      <c r="G176" s="208"/>
      <c r="H176" s="208"/>
    </row>
    <row r="177" spans="1:8" x14ac:dyDescent="0.45">
      <c r="A177" s="208"/>
      <c r="B177" s="208"/>
      <c r="C177" s="208"/>
      <c r="D177" s="208"/>
      <c r="E177" s="208"/>
      <c r="F177" s="208"/>
      <c r="G177" s="208"/>
      <c r="H177" s="208"/>
    </row>
    <row r="178" spans="1:8" x14ac:dyDescent="0.45">
      <c r="A178" s="208"/>
      <c r="B178" s="208"/>
      <c r="C178" s="208"/>
      <c r="D178" s="208"/>
      <c r="E178" s="208"/>
      <c r="F178" s="208"/>
      <c r="G178" s="208"/>
      <c r="H178" s="208"/>
    </row>
    <row r="179" spans="1:8" x14ac:dyDescent="0.45">
      <c r="A179" s="208"/>
      <c r="B179" s="208"/>
      <c r="C179" s="208"/>
      <c r="D179" s="208"/>
      <c r="E179" s="208"/>
      <c r="F179" s="208"/>
      <c r="G179" s="208"/>
      <c r="H179" s="208"/>
    </row>
    <row r="180" spans="1:8" x14ac:dyDescent="0.45">
      <c r="A180" s="208"/>
      <c r="B180" s="208"/>
      <c r="C180" s="208"/>
      <c r="D180" s="208"/>
      <c r="E180" s="208"/>
      <c r="F180" s="208"/>
      <c r="G180" s="208"/>
      <c r="H180" s="208"/>
    </row>
    <row r="181" spans="1:8" x14ac:dyDescent="0.45">
      <c r="A181" s="208"/>
      <c r="B181" s="208"/>
      <c r="C181" s="208"/>
      <c r="D181" s="208"/>
      <c r="E181" s="208"/>
      <c r="F181" s="208"/>
      <c r="G181" s="208"/>
      <c r="H181" s="208"/>
    </row>
    <row r="182" spans="1:8" x14ac:dyDescent="0.45">
      <c r="A182" s="208"/>
      <c r="B182" s="208"/>
      <c r="C182" s="208"/>
      <c r="D182" s="208"/>
      <c r="E182" s="208"/>
      <c r="F182" s="208"/>
      <c r="G182" s="208"/>
      <c r="H182" s="208"/>
    </row>
    <row r="183" spans="1:8" x14ac:dyDescent="0.45">
      <c r="A183" s="208"/>
      <c r="B183" s="208"/>
      <c r="C183" s="208"/>
      <c r="D183" s="208"/>
      <c r="E183" s="208"/>
      <c r="F183" s="208"/>
      <c r="G183" s="208"/>
      <c r="H183" s="208"/>
    </row>
    <row r="184" spans="1:8" x14ac:dyDescent="0.45">
      <c r="A184" s="208"/>
      <c r="B184" s="208"/>
      <c r="C184" s="208"/>
      <c r="D184" s="208"/>
      <c r="E184" s="208"/>
      <c r="F184" s="208"/>
      <c r="G184" s="208"/>
      <c r="H184" s="208"/>
    </row>
    <row r="185" spans="1:8" x14ac:dyDescent="0.45">
      <c r="A185" s="208"/>
      <c r="B185" s="208"/>
      <c r="C185" s="208"/>
      <c r="D185" s="208"/>
      <c r="E185" s="208"/>
      <c r="F185" s="208"/>
      <c r="G185" s="208"/>
      <c r="H185" s="208"/>
    </row>
    <row r="186" spans="1:8" x14ac:dyDescent="0.45">
      <c r="A186" s="208"/>
      <c r="B186" s="208"/>
      <c r="C186" s="208"/>
      <c r="D186" s="208"/>
      <c r="E186" s="208"/>
      <c r="F186" s="208"/>
      <c r="G186" s="208"/>
      <c r="H186" s="208"/>
    </row>
    <row r="187" spans="1:8" x14ac:dyDescent="0.45">
      <c r="A187" s="208"/>
      <c r="B187" s="208"/>
      <c r="C187" s="208"/>
      <c r="D187" s="208"/>
      <c r="E187" s="208"/>
      <c r="F187" s="208"/>
      <c r="G187" s="208"/>
      <c r="H187" s="208"/>
    </row>
    <row r="188" spans="1:8" x14ac:dyDescent="0.45">
      <c r="A188" s="208"/>
      <c r="B188" s="208"/>
      <c r="C188" s="208"/>
      <c r="D188" s="208"/>
      <c r="E188" s="208"/>
      <c r="F188" s="208"/>
      <c r="G188" s="208"/>
      <c r="H188" s="208"/>
    </row>
    <row r="189" spans="1:8" x14ac:dyDescent="0.45">
      <c r="A189" s="208"/>
      <c r="B189" s="208"/>
      <c r="C189" s="208"/>
      <c r="D189" s="208"/>
      <c r="E189" s="208"/>
      <c r="F189" s="208"/>
      <c r="G189" s="208"/>
      <c r="H189" s="208"/>
    </row>
    <row r="190" spans="1:8" x14ac:dyDescent="0.45">
      <c r="A190" s="208"/>
      <c r="B190" s="208"/>
      <c r="C190" s="208"/>
      <c r="D190" s="208"/>
      <c r="E190" s="208"/>
      <c r="F190" s="208"/>
      <c r="G190" s="208"/>
      <c r="H190" s="208"/>
    </row>
    <row r="191" spans="1:8" x14ac:dyDescent="0.45">
      <c r="A191" s="208"/>
      <c r="B191" s="208"/>
      <c r="C191" s="208"/>
      <c r="D191" s="208"/>
      <c r="E191" s="208"/>
      <c r="F191" s="208"/>
      <c r="G191" s="208"/>
      <c r="H191" s="208"/>
    </row>
    <row r="192" spans="1:8" x14ac:dyDescent="0.45">
      <c r="A192" s="208"/>
      <c r="B192" s="208"/>
      <c r="C192" s="208"/>
      <c r="D192" s="208"/>
      <c r="E192" s="208"/>
      <c r="F192" s="208"/>
      <c r="G192" s="208"/>
      <c r="H192" s="208"/>
    </row>
    <row r="193" spans="1:8" x14ac:dyDescent="0.45">
      <c r="A193" s="208"/>
      <c r="B193" s="208"/>
      <c r="C193" s="208"/>
      <c r="D193" s="208"/>
      <c r="E193" s="208"/>
      <c r="F193" s="208"/>
      <c r="G193" s="208"/>
      <c r="H193" s="208"/>
    </row>
    <row r="194" spans="1:8" x14ac:dyDescent="0.45">
      <c r="A194" s="208"/>
      <c r="B194" s="208"/>
      <c r="C194" s="208"/>
      <c r="D194" s="208"/>
      <c r="E194" s="208"/>
      <c r="F194" s="208"/>
      <c r="G194" s="208"/>
      <c r="H194" s="208"/>
    </row>
    <row r="195" spans="1:8" x14ac:dyDescent="0.45">
      <c r="A195" s="208"/>
      <c r="B195" s="208"/>
      <c r="C195" s="208"/>
      <c r="D195" s="208"/>
      <c r="E195" s="208"/>
      <c r="F195" s="208"/>
      <c r="G195" s="208"/>
      <c r="H195" s="208"/>
    </row>
    <row r="196" spans="1:8" x14ac:dyDescent="0.45">
      <c r="A196" s="208"/>
      <c r="B196" s="208"/>
      <c r="C196" s="208"/>
      <c r="D196" s="208"/>
      <c r="E196" s="208"/>
      <c r="F196" s="208"/>
      <c r="G196" s="208"/>
      <c r="H196" s="208"/>
    </row>
    <row r="197" spans="1:8" x14ac:dyDescent="0.45">
      <c r="A197" s="208"/>
      <c r="B197" s="208"/>
      <c r="C197" s="208"/>
      <c r="D197" s="208"/>
      <c r="E197" s="208"/>
      <c r="F197" s="208"/>
      <c r="G197" s="208"/>
      <c r="H197" s="208"/>
    </row>
    <row r="198" spans="1:8" x14ac:dyDescent="0.45">
      <c r="A198" s="208"/>
      <c r="B198" s="208"/>
      <c r="C198" s="208"/>
      <c r="D198" s="208"/>
      <c r="E198" s="208"/>
      <c r="F198" s="208"/>
      <c r="G198" s="208"/>
      <c r="H198" s="208"/>
    </row>
    <row r="199" spans="1:8" x14ac:dyDescent="0.45">
      <c r="A199" s="208"/>
      <c r="B199" s="208"/>
      <c r="C199" s="208"/>
      <c r="D199" s="208"/>
      <c r="E199" s="208"/>
      <c r="F199" s="208"/>
      <c r="G199" s="208"/>
      <c r="H199" s="208"/>
    </row>
    <row r="200" spans="1:8" x14ac:dyDescent="0.45">
      <c r="A200" s="208"/>
      <c r="B200" s="208"/>
      <c r="C200" s="208"/>
      <c r="D200" s="208"/>
      <c r="E200" s="208"/>
      <c r="F200" s="208"/>
      <c r="G200" s="208"/>
      <c r="H200" s="208"/>
    </row>
  </sheetData>
  <mergeCells count="25">
    <mergeCell ref="D12:F12"/>
    <mergeCell ref="B13:C13"/>
    <mergeCell ref="D13:F13"/>
    <mergeCell ref="B2:D2"/>
    <mergeCell ref="B3:H3"/>
    <mergeCell ref="B9:C9"/>
    <mergeCell ref="D9:F9"/>
    <mergeCell ref="B10:C10"/>
    <mergeCell ref="D10:F10"/>
    <mergeCell ref="B64:H70"/>
    <mergeCell ref="B72:H72"/>
    <mergeCell ref="B73:H79"/>
    <mergeCell ref="J7:AD7"/>
    <mergeCell ref="C6:G6"/>
    <mergeCell ref="B8:F8"/>
    <mergeCell ref="B16:G16"/>
    <mergeCell ref="B30:G30"/>
    <mergeCell ref="J43:P43"/>
    <mergeCell ref="B14:C14"/>
    <mergeCell ref="D14:F14"/>
    <mergeCell ref="B40:H40"/>
    <mergeCell ref="B63:H63"/>
    <mergeCell ref="B11:C11"/>
    <mergeCell ref="D11:F11"/>
    <mergeCell ref="B12:C12"/>
  </mergeCells>
  <conditionalFormatting sqref="J8:AD30">
    <cfRule type="expression" priority="1">
      <formula>$J9=$B$6</formula>
    </cfRule>
  </conditionalFormatting>
  <conditionalFormatting sqref="J9:AD30">
    <cfRule type="expression" priority="2">
      <formula>$J9=$B$6</formula>
    </cfRule>
    <cfRule type="expression" priority="3"/>
  </conditionalFormatting>
  <dataValidations count="3">
    <dataValidation type="list" allowBlank="1" showInputMessage="1" showErrorMessage="1" promptTitle="Game week" prompt="Pick the game week (1-22) to report on." sqref="B6" xr:uid="{DBCCB0CB-7D70-4620-A6D7-65E8F05EA1F5}">
      <formula1>$J$9:$J$30</formula1>
    </dataValidation>
    <dataValidation type="list" allowBlank="1" showInputMessage="1" showErrorMessage="1" sqref="M45:M66" xr:uid="{A8834987-34C9-45AE-B677-7103DF1D2AE3}">
      <formula1>"H,A"</formula1>
    </dataValidation>
    <dataValidation type="list" errorStyle="warning" allowBlank="1" showInputMessage="1" showErrorMessage="1" errorTitle="Not in the club list" error="Pick a club from the list, or choose Yes to enter a one-off opponent." sqref="L45:L66" xr:uid="{FD19F716-0D35-47CB-BF6D-7A564C6495EF}">
      <formula1>$R$45:$R$64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B59711-B321-4DF1-9B76-1743BC4B62CB}">
          <x14:formula1>
            <xm:f>Attendance!$D$5:$D$24</xm:f>
          </x14:formula1>
          <xm:sqref>K9:AB30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40A1-E29E-4228-8D3D-EA7E169D35CF}">
  <dimension ref="B2:AM27"/>
  <sheetViews>
    <sheetView workbookViewId="0">
      <pane ySplit="5" topLeftCell="A6" activePane="bottomLeft" state="frozen"/>
      <selection pane="bottomLeft" activeCell="F7" sqref="F7"/>
    </sheetView>
  </sheetViews>
  <sheetFormatPr defaultRowHeight="14.25" x14ac:dyDescent="0.45"/>
  <cols>
    <col min="2" max="2" width="12.796875" customWidth="1"/>
    <col min="3" max="3" width="21.33203125" customWidth="1"/>
    <col min="4" max="11" width="12.796875" customWidth="1"/>
    <col min="12" max="12" width="21.33203125" customWidth="1"/>
    <col min="13" max="14" width="12.796875" customWidth="1"/>
    <col min="15" max="15" width="21.33203125" customWidth="1"/>
    <col min="16" max="18" width="12.796875" customWidth="1"/>
    <col min="19" max="19" width="23.1328125" customWidth="1"/>
    <col min="20" max="27" width="12.796875" customWidth="1"/>
    <col min="28" max="28" width="21.33203125" customWidth="1"/>
    <col min="29" max="31" width="12.796875" customWidth="1"/>
    <col min="32" max="32" width="23.1328125" customWidth="1"/>
    <col min="33" max="36" width="12.796875" customWidth="1"/>
    <col min="38" max="38" width="23.1328125" customWidth="1"/>
  </cols>
  <sheetData>
    <row r="2" spans="2:39" ht="18" x14ac:dyDescent="0.55000000000000004">
      <c r="B2" s="239" t="s">
        <v>199</v>
      </c>
      <c r="C2" s="239"/>
      <c r="D2" s="239"/>
      <c r="E2" s="239"/>
      <c r="F2" s="239"/>
      <c r="X2" s="160" t="s">
        <v>225</v>
      </c>
      <c r="Y2" s="160" t="str">
        <f>IFERROR(MATCH(Dashboard!$C$86,Attendance!$D$5:$D$24,0)+4,"")</f>
        <v/>
      </c>
    </row>
    <row r="3" spans="2:39" x14ac:dyDescent="0.45">
      <c r="B3" s="240" t="s">
        <v>200</v>
      </c>
      <c r="C3" s="240"/>
      <c r="D3" s="240"/>
      <c r="E3" s="240"/>
      <c r="F3" s="240"/>
      <c r="G3" s="240"/>
      <c r="H3" s="240"/>
    </row>
    <row r="4" spans="2:39" x14ac:dyDescent="0.45">
      <c r="B4" s="332" t="s">
        <v>201</v>
      </c>
      <c r="C4" s="332"/>
      <c r="D4" s="332"/>
      <c r="E4" s="332"/>
      <c r="F4" s="332"/>
      <c r="G4" s="332"/>
      <c r="H4" s="332"/>
      <c r="I4" s="332"/>
      <c r="J4" s="332"/>
      <c r="K4" s="332" t="s">
        <v>202</v>
      </c>
      <c r="L4" s="332"/>
      <c r="M4" s="332"/>
      <c r="O4" s="332" t="s">
        <v>203</v>
      </c>
      <c r="P4" s="332"/>
      <c r="Q4" s="332"/>
      <c r="S4" s="332" t="s">
        <v>204</v>
      </c>
      <c r="T4" s="332"/>
      <c r="U4" s="332"/>
      <c r="V4" s="332"/>
      <c r="X4" s="332" t="s">
        <v>205</v>
      </c>
      <c r="Y4" s="332"/>
      <c r="Z4" s="332"/>
      <c r="AB4" s="18" t="s">
        <v>206</v>
      </c>
      <c r="AD4" s="332" t="s">
        <v>207</v>
      </c>
      <c r="AE4" s="332"/>
      <c r="AF4" s="332"/>
      <c r="AG4" s="332"/>
      <c r="AH4" s="332"/>
      <c r="AI4" s="332"/>
      <c r="AJ4" s="332"/>
    </row>
    <row r="5" spans="2:39" ht="32" customHeight="1" x14ac:dyDescent="0.45">
      <c r="B5" s="72" t="s">
        <v>3</v>
      </c>
      <c r="C5" s="72" t="s">
        <v>4</v>
      </c>
      <c r="D5" s="72" t="s">
        <v>208</v>
      </c>
      <c r="E5" s="72" t="s">
        <v>49</v>
      </c>
      <c r="F5" s="72" t="s">
        <v>209</v>
      </c>
      <c r="G5" s="72" t="s">
        <v>56</v>
      </c>
      <c r="H5" s="72" t="s">
        <v>177</v>
      </c>
      <c r="I5" s="72" t="s">
        <v>210</v>
      </c>
      <c r="J5" s="72" t="s">
        <v>211</v>
      </c>
      <c r="K5" s="72" t="s">
        <v>212</v>
      </c>
      <c r="L5" s="72" t="s">
        <v>4</v>
      </c>
      <c r="M5" s="72" t="s">
        <v>177</v>
      </c>
      <c r="N5" s="72"/>
      <c r="O5" s="72" t="s">
        <v>4</v>
      </c>
      <c r="P5" s="72" t="s">
        <v>49</v>
      </c>
      <c r="Q5" s="72" t="s">
        <v>56</v>
      </c>
      <c r="R5" s="72"/>
      <c r="S5" s="72" t="s">
        <v>210</v>
      </c>
      <c r="T5" s="72" t="s">
        <v>213</v>
      </c>
      <c r="U5" s="72" t="s">
        <v>214</v>
      </c>
      <c r="V5" s="72" t="s">
        <v>215</v>
      </c>
      <c r="W5" s="72"/>
      <c r="X5" s="72" t="s">
        <v>216</v>
      </c>
      <c r="Y5" s="72" t="s">
        <v>49</v>
      </c>
      <c r="Z5" s="72" t="s">
        <v>41</v>
      </c>
      <c r="AA5" s="72" t="s">
        <v>217</v>
      </c>
      <c r="AB5" s="72" t="s">
        <v>218</v>
      </c>
      <c r="AC5" s="72"/>
      <c r="AD5" s="72" t="s">
        <v>216</v>
      </c>
      <c r="AE5" s="72" t="s">
        <v>168</v>
      </c>
      <c r="AF5" s="72" t="s">
        <v>166</v>
      </c>
      <c r="AG5" s="72" t="s">
        <v>167</v>
      </c>
      <c r="AH5" s="72" t="s">
        <v>169</v>
      </c>
      <c r="AI5" s="72" t="s">
        <v>170</v>
      </c>
      <c r="AJ5" s="72" t="s">
        <v>171</v>
      </c>
      <c r="AL5" s="64" t="s">
        <v>210</v>
      </c>
      <c r="AM5" s="64" t="s">
        <v>215</v>
      </c>
    </row>
    <row r="6" spans="2:39" x14ac:dyDescent="0.45">
      <c r="B6" s="50">
        <f>IF($C6="","",Attendance!$C5)</f>
        <v>1</v>
      </c>
      <c r="C6" s="50" t="str">
        <f>IF(Attendance!$D5="","",Attendance!$D5)</f>
        <v>Aoife Kennan</v>
      </c>
      <c r="D6" s="161" t="str">
        <f>IF($C6="","",IFERROR(Attendance!$GC5,""))</f>
        <v/>
      </c>
      <c r="E6" s="162" t="str">
        <f>IF($C6="","",IFERROR(Attendance!$GD5,""))</f>
        <v/>
      </c>
      <c r="F6" s="161" t="str">
        <f>IF($C6="","",IFERROR(Attendance!$GH5,""))</f>
        <v/>
      </c>
      <c r="G6" s="162" t="str">
        <f>IF($C6="","",IFERROR(Attendance!$GK5,""))</f>
        <v/>
      </c>
      <c r="H6" s="161">
        <f>IF($C6="","",IFERROR(Attendance!$GN5,""))</f>
        <v>0</v>
      </c>
      <c r="I6" s="50" t="str">
        <f t="shared" ref="I6:I25" si="0">IF($C6="","",IF($E6="","Not graded",IF($E6&gt;=3.5,"Match Ready",IF($E6&gt;3,"Not Ready for 90 min",IF($E6&gt;2.5,"Nearly Ready",IF($E6&gt;2,"Improving",IF($E6&gt;1.5,"Not Ready","Critical")))))))</f>
        <v>Not graded</v>
      </c>
      <c r="J6" s="50">
        <f t="shared" ref="J6:J25" si="1">IF($C6="","",N($H6)+(26-ROW())/100000)</f>
        <v>2.0000000000000001E-4</v>
      </c>
      <c r="K6" s="50">
        <f>ROWS($K$6:$K6)</f>
        <v>1</v>
      </c>
      <c r="L6" s="50" t="str">
        <f>IFERROR(INDEX($C$6:$C$25,MATCH(LARGE($J$6:$J$25,ROWS($L$6:$L6)),$J$6:$J$25,0)),"")</f>
        <v>Aoife Kennan</v>
      </c>
      <c r="M6" s="161">
        <f>IFERROR(INDEX($H$6:$H$25,MATCH(LARGE($J$6:$J$25,ROWS($M$6:$M6)),$J$6:$J$25,0)),"")</f>
        <v>0</v>
      </c>
      <c r="N6" s="50"/>
      <c r="O6" s="50" t="str">
        <f t="shared" ref="O6:O25" si="2">IF($C6="","",$C6)</f>
        <v>Aoife Kennan</v>
      </c>
      <c r="P6" s="162" t="str">
        <f t="shared" ref="P6:P25" si="3">IF($C6="","",IFERROR($E6,""))</f>
        <v/>
      </c>
      <c r="Q6" s="162" t="str">
        <f t="shared" ref="Q6:Q25" si="4">IF($C6="","",IFERROR($G6,""))</f>
        <v/>
      </c>
      <c r="R6" s="50"/>
      <c r="S6" s="50" t="s">
        <v>219</v>
      </c>
      <c r="T6" s="50">
        <v>0</v>
      </c>
      <c r="U6" s="50">
        <v>1.5</v>
      </c>
      <c r="V6" s="50">
        <f t="shared" ref="V6:V11" si="5">COUNTIF($I$6:$I$25,$S6)</f>
        <v>0</v>
      </c>
      <c r="W6" s="50"/>
      <c r="X6" s="50">
        <v>1</v>
      </c>
      <c r="Y6" s="162" t="str">
        <f ca="1">IFERROR(IF($Y$2="","",AVERAGE(OFFSET(Attendance!$A$1,$Y$2-1,5+($X6-1)*4),OFFSET(Attendance!$A$1,$Y$2-1,7+($X6-1)*4))),"")</f>
        <v/>
      </c>
      <c r="Z6" s="162" t="str">
        <f ca="1">IFERROR(IF($Y$2="","",IF(LEN(OFFSET(Attendance!$A$1,$Y$2-1,95+($X6-1)*4))=0,"",OFFSET(Attendance!$A$1,$Y$2-1,95+($X6-1)*4))),"")</f>
        <v/>
      </c>
      <c r="AA6" s="50">
        <f t="shared" ref="AA6:AA25" si="6">IF($C6="","",COUNTIF($C$6:$C$25,"&lt;"&amp;$C6)+1-COUNTIF($C$6:$C$25,""))</f>
        <v>2</v>
      </c>
      <c r="AB6" s="50" t="str">
        <f>IFERROR(INDEX($C$6:$C$25,MATCH(ROWS($AB$6:$AB6),$AA$6:$AA$25,0)),"")</f>
        <v>Amber Kilalee</v>
      </c>
      <c r="AC6" s="50"/>
      <c r="AD6" s="50">
        <v>1</v>
      </c>
      <c r="AE6" s="163" t="str" cm="1">
        <f t="array" ref="AE6">IF(LEN(INDEX(Attendance!$CP$2:$FY$2,1,($AD6-1)*4+1))=0,"",INDEX(Attendance!$CP$2:$FY$2,1,($AD6-1)*4+1))</f>
        <v/>
      </c>
      <c r="AF6" s="50" t="str" cm="1">
        <f t="array" ref="AF6">IF(LEN(INDEX(Attendance!$CP$3:$FY$3,1,($AD6-1)*4+1))=0,"",INDEX(Attendance!$CP$3:$FY$3,1,($AD6-1)*4+1))</f>
        <v/>
      </c>
      <c r="AG6" s="50" t="str" cm="1">
        <f t="array" ref="AG6">IF(LEN(INDEX(Attendance!$CP$3:$FY$3,1,($AD6-1)*4+4))=0,"",INDEX(Attendance!$CP$3:$FY$3,1,($AD6-1)*4+4))</f>
        <v/>
      </c>
      <c r="AH6" s="50" t="str" cm="1">
        <f t="array" ref="AH6">IF(LEN(INDEX(Attendance!$CP$26:$FY$26,1,($AD6-1)*4+1))=0,"",INDEX(Attendance!$CP$26:$FY$26,1,($AD6-1)*4+1))</f>
        <v/>
      </c>
      <c r="AI6" s="50" t="str" cm="1">
        <f t="array" ref="AI6">IF(LEN(INDEX(Attendance!$CP$27:$FY$27,1,($AD6-1)*4+1))=0,"",INDEX(Attendance!$CP$27:$FY$27,1,($AD6-1)*4+1))</f>
        <v/>
      </c>
      <c r="AJ6" s="50" t="str" cm="1">
        <f t="array" ref="AJ6">IF(LEN(INDEX(Attendance!$CP$28:$FY$28,1,($AD6-1)*4+1))=0,"",INDEX(Attendance!$CP$28:$FY$28,1,($AD6-1)*4+1))</f>
        <v/>
      </c>
      <c r="AL6" t="str">
        <f t="shared" ref="AL6:AL11" si="7">$S6</f>
        <v>Critical</v>
      </c>
      <c r="AM6">
        <f t="shared" ref="AM6:AM11" si="8">$V6</f>
        <v>0</v>
      </c>
    </row>
    <row r="7" spans="2:39" x14ac:dyDescent="0.45">
      <c r="B7" s="50">
        <f>IF($C7="","",Attendance!$C6)</f>
        <v>2</v>
      </c>
      <c r="C7" s="50" t="str">
        <f>IF(Attendance!$D6="","",Attendance!$D6)</f>
        <v>Stella McEvoy</v>
      </c>
      <c r="D7" s="161" t="str">
        <f>IF($C7="","",IFERROR(Attendance!$GC6,""))</f>
        <v/>
      </c>
      <c r="E7" s="162" t="str">
        <f>IF($C7="","",IFERROR(Attendance!$GD6,""))</f>
        <v/>
      </c>
      <c r="F7" s="161" t="str">
        <f>IF($C7="","",IFERROR(Attendance!$GH6,""))</f>
        <v/>
      </c>
      <c r="G7" s="162" t="str">
        <f>IF($C7="","",IFERROR(Attendance!$GK6,""))</f>
        <v/>
      </c>
      <c r="H7" s="161">
        <f>IF($C7="","",IFERROR(Attendance!$GN6,""))</f>
        <v>0</v>
      </c>
      <c r="I7" s="50" t="str">
        <f t="shared" si="0"/>
        <v>Not graded</v>
      </c>
      <c r="J7" s="50">
        <f t="shared" si="1"/>
        <v>1.9000000000000001E-4</v>
      </c>
      <c r="K7" s="50">
        <f>ROWS($K$6:$K7)</f>
        <v>2</v>
      </c>
      <c r="L7" s="50" t="str">
        <f>IFERROR(INDEX($C$6:$C$25,MATCH(LARGE($J$6:$J$25,ROWS($L$6:$L7)),$J$6:$J$25,0)),"")</f>
        <v>Stella McEvoy</v>
      </c>
      <c r="M7" s="161">
        <f>IFERROR(INDEX($H$6:$H$25,MATCH(LARGE($J$6:$J$25,ROWS($M$6:$M7)),$J$6:$J$25,0)),"")</f>
        <v>0</v>
      </c>
      <c r="N7" s="50"/>
      <c r="O7" s="50" t="str">
        <f t="shared" si="2"/>
        <v>Stella McEvoy</v>
      </c>
      <c r="P7" s="162" t="str">
        <f t="shared" si="3"/>
        <v/>
      </c>
      <c r="Q7" s="162" t="str">
        <f t="shared" si="4"/>
        <v/>
      </c>
      <c r="R7" s="50"/>
      <c r="S7" s="50" t="s">
        <v>220</v>
      </c>
      <c r="T7" s="50">
        <v>1.51</v>
      </c>
      <c r="U7" s="50">
        <v>2</v>
      </c>
      <c r="V7" s="50">
        <f t="shared" si="5"/>
        <v>0</v>
      </c>
      <c r="W7" s="50"/>
      <c r="X7" s="50">
        <v>2</v>
      </c>
      <c r="Y7" s="162" t="str">
        <f ca="1">IFERROR(IF($Y$2="","",AVERAGE(OFFSET(Attendance!$A$1,$Y$2-1,5+($X7-1)*4),OFFSET(Attendance!$A$1,$Y$2-1,7+($X7-1)*4))),"")</f>
        <v/>
      </c>
      <c r="Z7" s="162" t="str">
        <f ca="1">IFERROR(IF($Y$2="","",IF(LEN(OFFSET(Attendance!$A$1,$Y$2-1,95+($X7-1)*4))=0,"",OFFSET(Attendance!$A$1,$Y$2-1,95+($X7-1)*4))),"")</f>
        <v/>
      </c>
      <c r="AA7" s="50">
        <f t="shared" si="6"/>
        <v>14</v>
      </c>
      <c r="AB7" s="50" t="str">
        <f>IFERROR(INDEX($C$6:$C$25,MATCH(ROWS($AB$6:$AB7),$AA$6:$AA$25,0)),"")</f>
        <v>Aoife Kennan</v>
      </c>
      <c r="AC7" s="50"/>
      <c r="AD7" s="50">
        <v>2</v>
      </c>
      <c r="AE7" s="163" t="str" cm="1">
        <f t="array" ref="AE7">IF(LEN(INDEX(Attendance!$CP$2:$FY$2,1,($AD7-1)*4+1))=0,"",INDEX(Attendance!$CP$2:$FY$2,1,($AD7-1)*4+1))</f>
        <v/>
      </c>
      <c r="AF7" s="50" t="str" cm="1">
        <f t="array" ref="AF7">IF(LEN(INDEX(Attendance!$CP$3:$FY$3,1,($AD7-1)*4+1))=0,"",INDEX(Attendance!$CP$3:$FY$3,1,($AD7-1)*4+1))</f>
        <v/>
      </c>
      <c r="AG7" s="50" t="str" cm="1">
        <f t="array" ref="AG7">IF(LEN(INDEX(Attendance!$CP$3:$FY$3,1,($AD7-1)*4+4))=0,"",INDEX(Attendance!$CP$3:$FY$3,1,($AD7-1)*4+4))</f>
        <v/>
      </c>
      <c r="AH7" s="50" t="str" cm="1">
        <f t="array" ref="AH7">IF(LEN(INDEX(Attendance!$CP$26:$FY$26,1,($AD7-1)*4+1))=0,"",INDEX(Attendance!$CP$26:$FY$26,1,($AD7-1)*4+1))</f>
        <v/>
      </c>
      <c r="AI7" s="50" t="str" cm="1">
        <f t="array" ref="AI7">IF(LEN(INDEX(Attendance!$CP$27:$FY$27,1,($AD7-1)*4+1))=0,"",INDEX(Attendance!$CP$27:$FY$27,1,($AD7-1)*4+1))</f>
        <v/>
      </c>
      <c r="AJ7" s="50" t="str" cm="1">
        <f t="array" ref="AJ7">IF(LEN(INDEX(Attendance!$CP$28:$FY$28,1,($AD7-1)*4+1))=0,"",INDEX(Attendance!$CP$28:$FY$28,1,($AD7-1)*4+1))</f>
        <v/>
      </c>
      <c r="AL7" t="str">
        <f t="shared" si="7"/>
        <v>Not Ready</v>
      </c>
      <c r="AM7">
        <f t="shared" si="8"/>
        <v>0</v>
      </c>
    </row>
    <row r="8" spans="2:39" x14ac:dyDescent="0.45">
      <c r="B8" s="50">
        <f>IF($C8="","",Attendance!$C7)</f>
        <v>3</v>
      </c>
      <c r="C8" s="50" t="str">
        <f>IF(Attendance!$D7="","",Attendance!$D7)</f>
        <v>Zara Power</v>
      </c>
      <c r="D8" s="161" t="str">
        <f>IF($C8="","",IFERROR(Attendance!$GC7,""))</f>
        <v/>
      </c>
      <c r="E8" s="162" t="str">
        <f>IF($C8="","",IFERROR(Attendance!$GD7,""))</f>
        <v/>
      </c>
      <c r="F8" s="161" t="str">
        <f>IF($C8="","",IFERROR(Attendance!$GH7,""))</f>
        <v/>
      </c>
      <c r="G8" s="162" t="str">
        <f>IF($C8="","",IFERROR(Attendance!$GK7,""))</f>
        <v/>
      </c>
      <c r="H8" s="161">
        <f>IF($C8="","",IFERROR(Attendance!$GN7,""))</f>
        <v>0</v>
      </c>
      <c r="I8" s="50" t="str">
        <f t="shared" si="0"/>
        <v>Not graded</v>
      </c>
      <c r="J8" s="50">
        <f t="shared" si="1"/>
        <v>1.8000000000000001E-4</v>
      </c>
      <c r="K8" s="50">
        <f>ROWS($K$6:$K8)</f>
        <v>3</v>
      </c>
      <c r="L8" s="50" t="str">
        <f>IFERROR(INDEX($C$6:$C$25,MATCH(LARGE($J$6:$J$25,ROWS($L$6:$L8)),$J$6:$J$25,0)),"")</f>
        <v>Zara Power</v>
      </c>
      <c r="M8" s="161">
        <f>IFERROR(INDEX($H$6:$H$25,MATCH(LARGE($J$6:$J$25,ROWS($M$6:$M8)),$J$6:$J$25,0)),"")</f>
        <v>0</v>
      </c>
      <c r="N8" s="50"/>
      <c r="O8" s="50" t="str">
        <f t="shared" si="2"/>
        <v>Zara Power</v>
      </c>
      <c r="P8" s="162" t="str">
        <f t="shared" si="3"/>
        <v/>
      </c>
      <c r="Q8" s="162" t="str">
        <f t="shared" si="4"/>
        <v/>
      </c>
      <c r="R8" s="50"/>
      <c r="S8" s="50" t="s">
        <v>221</v>
      </c>
      <c r="T8" s="50">
        <v>2.0099999999999998</v>
      </c>
      <c r="U8" s="50">
        <v>2.5</v>
      </c>
      <c r="V8" s="50">
        <f t="shared" si="5"/>
        <v>0</v>
      </c>
      <c r="W8" s="50"/>
      <c r="X8" s="50">
        <v>3</v>
      </c>
      <c r="Y8" s="162" t="str">
        <f ca="1">IFERROR(IF($Y$2="","",AVERAGE(OFFSET(Attendance!$A$1,$Y$2-1,5+($X8-1)*4),OFFSET(Attendance!$A$1,$Y$2-1,7+($X8-1)*4))),"")</f>
        <v/>
      </c>
      <c r="Z8" s="162" t="str">
        <f ca="1">IFERROR(IF($Y$2="","",IF(LEN(OFFSET(Attendance!$A$1,$Y$2-1,95+($X8-1)*4))=0,"",OFFSET(Attendance!$A$1,$Y$2-1,95+($X8-1)*4))),"")</f>
        <v/>
      </c>
      <c r="AA8" s="50">
        <f t="shared" si="6"/>
        <v>17</v>
      </c>
      <c r="AB8" s="50" t="str">
        <f>IFERROR(INDEX($C$6:$C$25,MATCH(ROWS($AB$6:$AB8),$AA$6:$AA$25,0)),"")</f>
        <v>Elsie Morrison</v>
      </c>
      <c r="AC8" s="50"/>
      <c r="AD8" s="50">
        <v>3</v>
      </c>
      <c r="AE8" s="163" t="str" cm="1">
        <f t="array" ref="AE8">IF(LEN(INDEX(Attendance!$CP$2:$FY$2,1,($AD8-1)*4+1))=0,"",INDEX(Attendance!$CP$2:$FY$2,1,($AD8-1)*4+1))</f>
        <v/>
      </c>
      <c r="AF8" s="50" t="str" cm="1">
        <f t="array" ref="AF8">IF(LEN(INDEX(Attendance!$CP$3:$FY$3,1,($AD8-1)*4+1))=0,"",INDEX(Attendance!$CP$3:$FY$3,1,($AD8-1)*4+1))</f>
        <v/>
      </c>
      <c r="AG8" s="50" t="str" cm="1">
        <f t="array" ref="AG8">IF(LEN(INDEX(Attendance!$CP$3:$FY$3,1,($AD8-1)*4+4))=0,"",INDEX(Attendance!$CP$3:$FY$3,1,($AD8-1)*4+4))</f>
        <v/>
      </c>
      <c r="AH8" s="50" t="str" cm="1">
        <f t="array" ref="AH8">IF(LEN(INDEX(Attendance!$CP$26:$FY$26,1,($AD8-1)*4+1))=0,"",INDEX(Attendance!$CP$26:$FY$26,1,($AD8-1)*4+1))</f>
        <v/>
      </c>
      <c r="AI8" s="50" t="str" cm="1">
        <f t="array" ref="AI8">IF(LEN(INDEX(Attendance!$CP$27:$FY$27,1,($AD8-1)*4+1))=0,"",INDEX(Attendance!$CP$27:$FY$27,1,($AD8-1)*4+1))</f>
        <v/>
      </c>
      <c r="AJ8" s="50" t="str" cm="1">
        <f t="array" ref="AJ8">IF(LEN(INDEX(Attendance!$CP$28:$FY$28,1,($AD8-1)*4+1))=0,"",INDEX(Attendance!$CP$28:$FY$28,1,($AD8-1)*4+1))</f>
        <v/>
      </c>
      <c r="AL8" t="str">
        <f t="shared" si="7"/>
        <v>Improving</v>
      </c>
      <c r="AM8">
        <f t="shared" si="8"/>
        <v>0</v>
      </c>
    </row>
    <row r="9" spans="2:39" x14ac:dyDescent="0.45">
      <c r="B9" s="50">
        <f>IF($C9="","",Attendance!$C8)</f>
        <v>4</v>
      </c>
      <c r="C9" s="50" t="str">
        <f>IF(Attendance!$D8="","",Attendance!$D8)</f>
        <v>Heidi Cerubini Dunne</v>
      </c>
      <c r="D9" s="161" t="str">
        <f>IF($C9="","",IFERROR(Attendance!$GC8,""))</f>
        <v/>
      </c>
      <c r="E9" s="162" t="str">
        <f>IF($C9="","",IFERROR(Attendance!$GD8,""))</f>
        <v/>
      </c>
      <c r="F9" s="161" t="str">
        <f>IF($C9="","",IFERROR(Attendance!$GH8,""))</f>
        <v/>
      </c>
      <c r="G9" s="162" t="str">
        <f>IF($C9="","",IFERROR(Attendance!$GK8,""))</f>
        <v/>
      </c>
      <c r="H9" s="161">
        <f>IF($C9="","",IFERROR(Attendance!$GN8,""))</f>
        <v>0</v>
      </c>
      <c r="I9" s="50" t="str">
        <f t="shared" si="0"/>
        <v>Not graded</v>
      </c>
      <c r="J9" s="50">
        <f t="shared" si="1"/>
        <v>1.7000000000000001E-4</v>
      </c>
      <c r="K9" s="50">
        <f>ROWS($K$6:$K9)</f>
        <v>4</v>
      </c>
      <c r="L9" s="50" t="str">
        <f>IFERROR(INDEX($C$6:$C$25,MATCH(LARGE($J$6:$J$25,ROWS($L$6:$L9)),$J$6:$J$25,0)),"")</f>
        <v>Heidi Cerubini Dunne</v>
      </c>
      <c r="M9" s="161">
        <f>IFERROR(INDEX($H$6:$H$25,MATCH(LARGE($J$6:$J$25,ROWS($M$6:$M9)),$J$6:$J$25,0)),"")</f>
        <v>0</v>
      </c>
      <c r="N9" s="50"/>
      <c r="O9" s="50" t="str">
        <f t="shared" si="2"/>
        <v>Heidi Cerubini Dunne</v>
      </c>
      <c r="P9" s="162" t="str">
        <f t="shared" si="3"/>
        <v/>
      </c>
      <c r="Q9" s="162" t="str">
        <f t="shared" si="4"/>
        <v/>
      </c>
      <c r="R9" s="50"/>
      <c r="S9" s="50" t="s">
        <v>222</v>
      </c>
      <c r="T9" s="50">
        <v>2.5099999999999998</v>
      </c>
      <c r="U9" s="50">
        <v>3</v>
      </c>
      <c r="V9" s="50">
        <f t="shared" si="5"/>
        <v>0</v>
      </c>
      <c r="W9" s="50"/>
      <c r="X9" s="50">
        <v>4</v>
      </c>
      <c r="Y9" s="162" t="str">
        <f ca="1">IFERROR(IF($Y$2="","",AVERAGE(OFFSET(Attendance!$A$1,$Y$2-1,5+($X9-1)*4),OFFSET(Attendance!$A$1,$Y$2-1,7+($X9-1)*4))),"")</f>
        <v/>
      </c>
      <c r="Z9" s="162" t="str">
        <f ca="1">IFERROR(IF($Y$2="","",IF(LEN(OFFSET(Attendance!$A$1,$Y$2-1,95+($X9-1)*4))=0,"",OFFSET(Attendance!$A$1,$Y$2-1,95+($X9-1)*4))),"")</f>
        <v/>
      </c>
      <c r="AA9" s="50">
        <f t="shared" si="6"/>
        <v>7</v>
      </c>
      <c r="AB9" s="50" t="str">
        <f>IFERROR(INDEX($C$6:$C$25,MATCH(ROWS($AB$6:$AB9),$AA$6:$AA$25,0)),"")</f>
        <v>Emma Dromgoole</v>
      </c>
      <c r="AC9" s="50"/>
      <c r="AD9" s="50">
        <v>4</v>
      </c>
      <c r="AE9" s="163" t="str" cm="1">
        <f t="array" ref="AE9">IF(LEN(INDEX(Attendance!$CP$2:$FY$2,1,($AD9-1)*4+1))=0,"",INDEX(Attendance!$CP$2:$FY$2,1,($AD9-1)*4+1))</f>
        <v/>
      </c>
      <c r="AF9" s="50" t="str" cm="1">
        <f t="array" ref="AF9">IF(LEN(INDEX(Attendance!$CP$3:$FY$3,1,($AD9-1)*4+1))=0,"",INDEX(Attendance!$CP$3:$FY$3,1,($AD9-1)*4+1))</f>
        <v/>
      </c>
      <c r="AG9" s="50" t="str" cm="1">
        <f t="array" ref="AG9">IF(LEN(INDEX(Attendance!$CP$3:$FY$3,1,($AD9-1)*4+4))=0,"",INDEX(Attendance!$CP$3:$FY$3,1,($AD9-1)*4+4))</f>
        <v/>
      </c>
      <c r="AH9" s="50" t="str" cm="1">
        <f t="array" ref="AH9">IF(LEN(INDEX(Attendance!$CP$26:$FY$26,1,($AD9-1)*4+1))=0,"",INDEX(Attendance!$CP$26:$FY$26,1,($AD9-1)*4+1))</f>
        <v/>
      </c>
      <c r="AI9" s="50" t="str" cm="1">
        <f t="array" ref="AI9">IF(LEN(INDEX(Attendance!$CP$27:$FY$27,1,($AD9-1)*4+1))=0,"",INDEX(Attendance!$CP$27:$FY$27,1,($AD9-1)*4+1))</f>
        <v/>
      </c>
      <c r="AJ9" s="50" t="str" cm="1">
        <f t="array" ref="AJ9">IF(LEN(INDEX(Attendance!$CP$28:$FY$28,1,($AD9-1)*4+1))=0,"",INDEX(Attendance!$CP$28:$FY$28,1,($AD9-1)*4+1))</f>
        <v/>
      </c>
      <c r="AL9" t="str">
        <f t="shared" si="7"/>
        <v>Nearly Ready</v>
      </c>
      <c r="AM9">
        <f t="shared" si="8"/>
        <v>0</v>
      </c>
    </row>
    <row r="10" spans="2:39" x14ac:dyDescent="0.45">
      <c r="B10" s="50">
        <f>IF($C10="","",Attendance!$C9)</f>
        <v>5</v>
      </c>
      <c r="C10" s="50" t="str">
        <f>IF(Attendance!$D9="","",Attendance!$D9)</f>
        <v>Roisin Offenhausen</v>
      </c>
      <c r="D10" s="161" t="str">
        <f>IF($C10="","",IFERROR(Attendance!$GC9,""))</f>
        <v/>
      </c>
      <c r="E10" s="162" t="str">
        <f>IF($C10="","",IFERROR(Attendance!$GD9,""))</f>
        <v/>
      </c>
      <c r="F10" s="161" t="str">
        <f>IF($C10="","",IFERROR(Attendance!$GH9,""))</f>
        <v/>
      </c>
      <c r="G10" s="162" t="str">
        <f>IF($C10="","",IFERROR(Attendance!$GK9,""))</f>
        <v/>
      </c>
      <c r="H10" s="161">
        <f>IF($C10="","",IFERROR(Attendance!$GN9,""))</f>
        <v>0</v>
      </c>
      <c r="I10" s="50" t="str">
        <f t="shared" si="0"/>
        <v>Not graded</v>
      </c>
      <c r="J10" s="50">
        <f t="shared" si="1"/>
        <v>1.6000000000000001E-4</v>
      </c>
      <c r="K10" s="50">
        <f>ROWS($K$6:$K10)</f>
        <v>5</v>
      </c>
      <c r="L10" s="50" t="str">
        <f>IFERROR(INDEX($C$6:$C$25,MATCH(LARGE($J$6:$J$25,ROWS($L$6:$L10)),$J$6:$J$25,0)),"")</f>
        <v>Roisin Offenhausen</v>
      </c>
      <c r="M10" s="161">
        <f>IFERROR(INDEX($H$6:$H$25,MATCH(LARGE($J$6:$J$25,ROWS($M$6:$M10)),$J$6:$J$25,0)),"")</f>
        <v>0</v>
      </c>
      <c r="N10" s="50"/>
      <c r="O10" s="50" t="str">
        <f t="shared" si="2"/>
        <v>Roisin Offenhausen</v>
      </c>
      <c r="P10" s="162" t="str">
        <f t="shared" si="3"/>
        <v/>
      </c>
      <c r="Q10" s="162" t="str">
        <f t="shared" si="4"/>
        <v/>
      </c>
      <c r="R10" s="50"/>
      <c r="S10" s="50" t="s">
        <v>223</v>
      </c>
      <c r="T10" s="50">
        <v>3.01</v>
      </c>
      <c r="U10" s="50">
        <v>3.49</v>
      </c>
      <c r="V10" s="50">
        <f t="shared" si="5"/>
        <v>0</v>
      </c>
      <c r="W10" s="50"/>
      <c r="X10" s="50">
        <v>5</v>
      </c>
      <c r="Y10" s="162" t="str">
        <f ca="1">IFERROR(IF($Y$2="","",AVERAGE(OFFSET(Attendance!$A$1,$Y$2-1,5+($X10-1)*4),OFFSET(Attendance!$A$1,$Y$2-1,7+($X10-1)*4))),"")</f>
        <v/>
      </c>
      <c r="Z10" s="162" t="str">
        <f ca="1">IFERROR(IF($Y$2="","",IF(LEN(OFFSET(Attendance!$A$1,$Y$2-1,95+($X10-1)*4))=0,"",OFFSET(Attendance!$A$1,$Y$2-1,95+($X10-1)*4))),"")</f>
        <v/>
      </c>
      <c r="AA10" s="50">
        <f t="shared" si="6"/>
        <v>10</v>
      </c>
      <c r="AB10" s="50" t="str">
        <f>IFERROR(INDEX($C$6:$C$25,MATCH(ROWS($AB$6:$AB10),$AA$6:$AA$25,0)),"")</f>
        <v>Emma Kelly</v>
      </c>
      <c r="AC10" s="50"/>
      <c r="AD10" s="50">
        <v>5</v>
      </c>
      <c r="AE10" s="163" t="str" cm="1">
        <f t="array" ref="AE10">IF(LEN(INDEX(Attendance!$CP$2:$FY$2,1,($AD10-1)*4+1))=0,"",INDEX(Attendance!$CP$2:$FY$2,1,($AD10-1)*4+1))</f>
        <v/>
      </c>
      <c r="AF10" s="50" t="str" cm="1">
        <f t="array" ref="AF10">IF(LEN(INDEX(Attendance!$CP$3:$FY$3,1,($AD10-1)*4+1))=0,"",INDEX(Attendance!$CP$3:$FY$3,1,($AD10-1)*4+1))</f>
        <v/>
      </c>
      <c r="AG10" s="50" t="str" cm="1">
        <f t="array" ref="AG10">IF(LEN(INDEX(Attendance!$CP$3:$FY$3,1,($AD10-1)*4+4))=0,"",INDEX(Attendance!$CP$3:$FY$3,1,($AD10-1)*4+4))</f>
        <v/>
      </c>
      <c r="AH10" s="50" t="str" cm="1">
        <f t="array" ref="AH10">IF(LEN(INDEX(Attendance!$CP$26:$FY$26,1,($AD10-1)*4+1))=0,"",INDEX(Attendance!$CP$26:$FY$26,1,($AD10-1)*4+1))</f>
        <v/>
      </c>
      <c r="AI10" s="50" t="str" cm="1">
        <f t="array" ref="AI10">IF(LEN(INDEX(Attendance!$CP$27:$FY$27,1,($AD10-1)*4+1))=0,"",INDEX(Attendance!$CP$27:$FY$27,1,($AD10-1)*4+1))</f>
        <v/>
      </c>
      <c r="AJ10" s="50" t="str" cm="1">
        <f t="array" ref="AJ10">IF(LEN(INDEX(Attendance!$CP$28:$FY$28,1,($AD10-1)*4+1))=0,"",INDEX(Attendance!$CP$28:$FY$28,1,($AD10-1)*4+1))</f>
        <v/>
      </c>
      <c r="AL10" t="str">
        <f t="shared" si="7"/>
        <v>Not Ready for 90 min</v>
      </c>
      <c r="AM10">
        <f t="shared" si="8"/>
        <v>0</v>
      </c>
    </row>
    <row r="11" spans="2:39" x14ac:dyDescent="0.45">
      <c r="B11" s="50">
        <f>IF($C11="","",Attendance!$C10)</f>
        <v>6</v>
      </c>
      <c r="C11" s="50" t="str">
        <f>IF(Attendance!$D10="","",Attendance!$D10)</f>
        <v>Naomi Adewoyin</v>
      </c>
      <c r="D11" s="161" t="str">
        <f>IF($C11="","",IFERROR(Attendance!$GC10,""))</f>
        <v/>
      </c>
      <c r="E11" s="162" t="str">
        <f>IF($C11="","",IFERROR(Attendance!$GD10,""))</f>
        <v/>
      </c>
      <c r="F11" s="161" t="str">
        <f>IF($C11="","",IFERROR(Attendance!$GH10,""))</f>
        <v/>
      </c>
      <c r="G11" s="162" t="str">
        <f>IF($C11="","",IFERROR(Attendance!$GK10,""))</f>
        <v/>
      </c>
      <c r="H11" s="161">
        <f>IF($C11="","",IFERROR(Attendance!$GN10,""))</f>
        <v>0</v>
      </c>
      <c r="I11" s="50" t="str">
        <f t="shared" si="0"/>
        <v>Not graded</v>
      </c>
      <c r="J11" s="50">
        <f t="shared" si="1"/>
        <v>1.4999999999999999E-4</v>
      </c>
      <c r="K11" s="50">
        <f>ROWS($K$6:$K11)</f>
        <v>6</v>
      </c>
      <c r="L11" s="50" t="str">
        <f>IFERROR(INDEX($C$6:$C$25,MATCH(LARGE($J$6:$J$25,ROWS($L$6:$L11)),$J$6:$J$25,0)),"")</f>
        <v>Naomi Adewoyin</v>
      </c>
      <c r="M11" s="161">
        <f>IFERROR(INDEX($H$6:$H$25,MATCH(LARGE($J$6:$J$25,ROWS($M$6:$M11)),$J$6:$J$25,0)),"")</f>
        <v>0</v>
      </c>
      <c r="N11" s="50"/>
      <c r="O11" s="50" t="str">
        <f t="shared" si="2"/>
        <v>Naomi Adewoyin</v>
      </c>
      <c r="P11" s="162" t="str">
        <f t="shared" si="3"/>
        <v/>
      </c>
      <c r="Q11" s="162" t="str">
        <f t="shared" si="4"/>
        <v/>
      </c>
      <c r="R11" s="50"/>
      <c r="S11" s="50" t="s">
        <v>224</v>
      </c>
      <c r="T11" s="50">
        <v>3.5</v>
      </c>
      <c r="U11" s="50">
        <v>5</v>
      </c>
      <c r="V11" s="50">
        <f t="shared" si="5"/>
        <v>0</v>
      </c>
      <c r="W11" s="50"/>
      <c r="X11" s="50">
        <v>6</v>
      </c>
      <c r="Y11" s="162" t="str">
        <f ca="1">IFERROR(IF($Y$2="","",AVERAGE(OFFSET(Attendance!$A$1,$Y$2-1,5+($X11-1)*4),OFFSET(Attendance!$A$1,$Y$2-1,7+($X11-1)*4))),"")</f>
        <v/>
      </c>
      <c r="Z11" s="162" t="str">
        <f ca="1">IFERROR(IF($Y$2="","",IF(LEN(OFFSET(Attendance!$A$1,$Y$2-1,95+($X11-1)*4))=0,"",OFFSET(Attendance!$A$1,$Y$2-1,95+($X11-1)*4))),"")</f>
        <v/>
      </c>
      <c r="AA11" s="50">
        <f t="shared" si="6"/>
        <v>9</v>
      </c>
      <c r="AB11" s="50" t="str">
        <f>IFERROR(INDEX($C$6:$C$25,MATCH(ROWS($AB$6:$AB11),$AA$6:$AA$25,0)),"")</f>
        <v>Hannah Fleming</v>
      </c>
      <c r="AC11" s="50"/>
      <c r="AD11" s="50">
        <v>6</v>
      </c>
      <c r="AE11" s="163" t="str" cm="1">
        <f t="array" ref="AE11">IF(LEN(INDEX(Attendance!$CP$2:$FY$2,1,($AD11-1)*4+1))=0,"",INDEX(Attendance!$CP$2:$FY$2,1,($AD11-1)*4+1))</f>
        <v/>
      </c>
      <c r="AF11" s="50" t="str" cm="1">
        <f t="array" ref="AF11">IF(LEN(INDEX(Attendance!$CP$3:$FY$3,1,($AD11-1)*4+1))=0,"",INDEX(Attendance!$CP$3:$FY$3,1,($AD11-1)*4+1))</f>
        <v/>
      </c>
      <c r="AG11" s="50" t="str" cm="1">
        <f t="array" ref="AG11">IF(LEN(INDEX(Attendance!$CP$3:$FY$3,1,($AD11-1)*4+4))=0,"",INDEX(Attendance!$CP$3:$FY$3,1,($AD11-1)*4+4))</f>
        <v/>
      </c>
      <c r="AH11" s="50" t="str" cm="1">
        <f t="array" ref="AH11">IF(LEN(INDEX(Attendance!$CP$26:$FY$26,1,($AD11-1)*4+1))=0,"",INDEX(Attendance!$CP$26:$FY$26,1,($AD11-1)*4+1))</f>
        <v/>
      </c>
      <c r="AI11" s="50" t="str" cm="1">
        <f t="array" ref="AI11">IF(LEN(INDEX(Attendance!$CP$27:$FY$27,1,($AD11-1)*4+1))=0,"",INDEX(Attendance!$CP$27:$FY$27,1,($AD11-1)*4+1))</f>
        <v/>
      </c>
      <c r="AJ11" s="50" t="str" cm="1">
        <f t="array" ref="AJ11">IF(LEN(INDEX(Attendance!$CP$28:$FY$28,1,($AD11-1)*4+1))=0,"",INDEX(Attendance!$CP$28:$FY$28,1,($AD11-1)*4+1))</f>
        <v/>
      </c>
      <c r="AL11" t="str">
        <f t="shared" si="7"/>
        <v>Match Ready</v>
      </c>
      <c r="AM11">
        <f t="shared" si="8"/>
        <v>0</v>
      </c>
    </row>
    <row r="12" spans="2:39" x14ac:dyDescent="0.45">
      <c r="B12" s="50">
        <f>IF($C12="","",Attendance!$C11)</f>
        <v>7</v>
      </c>
      <c r="C12" s="50" t="str">
        <f>IF(Attendance!$D11="","",Attendance!$D11)</f>
        <v>Amber Kilalee</v>
      </c>
      <c r="D12" s="161" t="str">
        <f>IF($C12="","",IFERROR(Attendance!$GC11,""))</f>
        <v/>
      </c>
      <c r="E12" s="162" t="str">
        <f>IF($C12="","",IFERROR(Attendance!$GD11,""))</f>
        <v/>
      </c>
      <c r="F12" s="161" t="str">
        <f>IF($C12="","",IFERROR(Attendance!$GH11,""))</f>
        <v/>
      </c>
      <c r="G12" s="162" t="str">
        <f>IF($C12="","",IFERROR(Attendance!$GK11,""))</f>
        <v/>
      </c>
      <c r="H12" s="161">
        <f>IF($C12="","",IFERROR(Attendance!$GN11,""))</f>
        <v>0</v>
      </c>
      <c r="I12" s="50" t="str">
        <f t="shared" si="0"/>
        <v>Not graded</v>
      </c>
      <c r="J12" s="50">
        <f t="shared" si="1"/>
        <v>1.3999999999999999E-4</v>
      </c>
      <c r="K12" s="50">
        <f>ROWS($K$6:$K12)</f>
        <v>7</v>
      </c>
      <c r="L12" s="50" t="str">
        <f>IFERROR(INDEX($C$6:$C$25,MATCH(LARGE($J$6:$J$25,ROWS($L$6:$L12)),$J$6:$J$25,0)),"")</f>
        <v>Amber Kilalee</v>
      </c>
      <c r="M12" s="161">
        <f>IFERROR(INDEX($H$6:$H$25,MATCH(LARGE($J$6:$J$25,ROWS($M$6:$M12)),$J$6:$J$25,0)),"")</f>
        <v>0</v>
      </c>
      <c r="N12" s="50"/>
      <c r="O12" s="50" t="str">
        <f t="shared" si="2"/>
        <v>Amber Kilalee</v>
      </c>
      <c r="P12" s="162" t="str">
        <f t="shared" si="3"/>
        <v/>
      </c>
      <c r="Q12" s="162" t="str">
        <f t="shared" si="4"/>
        <v/>
      </c>
      <c r="R12" s="50"/>
      <c r="S12" s="50"/>
      <c r="T12" s="50"/>
      <c r="U12" s="50"/>
      <c r="V12" s="50"/>
      <c r="W12" s="50"/>
      <c r="X12" s="50">
        <v>7</v>
      </c>
      <c r="Y12" s="162" t="str">
        <f ca="1">IFERROR(IF($Y$2="","",AVERAGE(OFFSET(Attendance!$A$1,$Y$2-1,5+($X12-1)*4),OFFSET(Attendance!$A$1,$Y$2-1,7+($X12-1)*4))),"")</f>
        <v/>
      </c>
      <c r="Z12" s="162" t="str">
        <f ca="1">IFERROR(IF($Y$2="","",IF(LEN(OFFSET(Attendance!$A$1,$Y$2-1,95+($X12-1)*4))=0,"",OFFSET(Attendance!$A$1,$Y$2-1,95+($X12-1)*4))),"")</f>
        <v/>
      </c>
      <c r="AA12" s="50">
        <f t="shared" si="6"/>
        <v>1</v>
      </c>
      <c r="AB12" s="50" t="str">
        <f>IFERROR(INDEX($C$6:$C$25,MATCH(ROWS($AB$6:$AB12),$AA$6:$AA$25,0)),"")</f>
        <v>Heidi Cerubini Dunne</v>
      </c>
      <c r="AC12" s="50"/>
      <c r="AD12" s="50">
        <v>7</v>
      </c>
      <c r="AE12" s="163" t="str" cm="1">
        <f t="array" ref="AE12">IF(LEN(INDEX(Attendance!$CP$2:$FY$2,1,($AD12-1)*4+1))=0,"",INDEX(Attendance!$CP$2:$FY$2,1,($AD12-1)*4+1))</f>
        <v/>
      </c>
      <c r="AF12" s="50" t="str" cm="1">
        <f t="array" ref="AF12">IF(LEN(INDEX(Attendance!$CP$3:$FY$3,1,($AD12-1)*4+1))=0,"",INDEX(Attendance!$CP$3:$FY$3,1,($AD12-1)*4+1))</f>
        <v/>
      </c>
      <c r="AG12" s="50" t="str" cm="1">
        <f t="array" ref="AG12">IF(LEN(INDEX(Attendance!$CP$3:$FY$3,1,($AD12-1)*4+4))=0,"",INDEX(Attendance!$CP$3:$FY$3,1,($AD12-1)*4+4))</f>
        <v/>
      </c>
      <c r="AH12" s="50" t="str" cm="1">
        <f t="array" ref="AH12">IF(LEN(INDEX(Attendance!$CP$26:$FY$26,1,($AD12-1)*4+1))=0,"",INDEX(Attendance!$CP$26:$FY$26,1,($AD12-1)*4+1))</f>
        <v/>
      </c>
      <c r="AI12" s="50" t="str" cm="1">
        <f t="array" ref="AI12">IF(LEN(INDEX(Attendance!$CP$27:$FY$27,1,($AD12-1)*4+1))=0,"",INDEX(Attendance!$CP$27:$FY$27,1,($AD12-1)*4+1))</f>
        <v/>
      </c>
      <c r="AJ12" s="50" t="str" cm="1">
        <f t="array" ref="AJ12">IF(LEN(INDEX(Attendance!$CP$28:$FY$28,1,($AD12-1)*4+1))=0,"",INDEX(Attendance!$CP$28:$FY$28,1,($AD12-1)*4+1))</f>
        <v/>
      </c>
    </row>
    <row r="13" spans="2:39" x14ac:dyDescent="0.45">
      <c r="B13" s="50">
        <f>IF($C13="","",Attendance!$C12)</f>
        <v>8</v>
      </c>
      <c r="C13" s="50" t="str">
        <f>IF(Attendance!$D12="","",Attendance!$D12)</f>
        <v>Shauna Kavanagh</v>
      </c>
      <c r="D13" s="161" t="str">
        <f>IF($C13="","",IFERROR(Attendance!$GC12,""))</f>
        <v/>
      </c>
      <c r="E13" s="162" t="str">
        <f>IF($C13="","",IFERROR(Attendance!$GD12,""))</f>
        <v/>
      </c>
      <c r="F13" s="161" t="str">
        <f>IF($C13="","",IFERROR(Attendance!$GH12,""))</f>
        <v/>
      </c>
      <c r="G13" s="162" t="str">
        <f>IF($C13="","",IFERROR(Attendance!$GK12,""))</f>
        <v/>
      </c>
      <c r="H13" s="161">
        <f>IF($C13="","",IFERROR(Attendance!$GN12,""))</f>
        <v>0</v>
      </c>
      <c r="I13" s="50" t="str">
        <f t="shared" si="0"/>
        <v>Not graded</v>
      </c>
      <c r="J13" s="50">
        <f t="shared" si="1"/>
        <v>1.2999999999999999E-4</v>
      </c>
      <c r="K13" s="50">
        <f>ROWS($K$6:$K13)</f>
        <v>8</v>
      </c>
      <c r="L13" s="50" t="str">
        <f>IFERROR(INDEX($C$6:$C$25,MATCH(LARGE($J$6:$J$25,ROWS($L$6:$L13)),$J$6:$J$25,0)),"")</f>
        <v>Shauna Kavanagh</v>
      </c>
      <c r="M13" s="161">
        <f>IFERROR(INDEX($H$6:$H$25,MATCH(LARGE($J$6:$J$25,ROWS($M$6:$M13)),$J$6:$J$25,0)),"")</f>
        <v>0</v>
      </c>
      <c r="N13" s="50"/>
      <c r="O13" s="50" t="str">
        <f t="shared" si="2"/>
        <v>Shauna Kavanagh</v>
      </c>
      <c r="P13" s="162" t="str">
        <f t="shared" si="3"/>
        <v/>
      </c>
      <c r="Q13" s="162" t="str">
        <f t="shared" si="4"/>
        <v/>
      </c>
      <c r="R13" s="50"/>
      <c r="S13" s="50"/>
      <c r="T13" s="50"/>
      <c r="U13" s="50"/>
      <c r="V13" s="50"/>
      <c r="W13" s="50"/>
      <c r="X13" s="50">
        <v>8</v>
      </c>
      <c r="Y13" s="162" t="str">
        <f ca="1">IFERROR(IF($Y$2="","",AVERAGE(OFFSET(Attendance!$A$1,$Y$2-1,5+($X13-1)*4),OFFSET(Attendance!$A$1,$Y$2-1,7+($X13-1)*4))),"")</f>
        <v/>
      </c>
      <c r="Z13" s="162" t="str">
        <f ca="1">IFERROR(IF($Y$2="","",IF(LEN(OFFSET(Attendance!$A$1,$Y$2-1,95+($X13-1)*4))=0,"",OFFSET(Attendance!$A$1,$Y$2-1,95+($X13-1)*4))),"")</f>
        <v/>
      </c>
      <c r="AA13" s="50">
        <f t="shared" si="6"/>
        <v>13</v>
      </c>
      <c r="AB13" s="50" t="str">
        <f>IFERROR(INDEX($C$6:$C$25,MATCH(ROWS($AB$6:$AB13),$AA$6:$AA$25,0)),"")</f>
        <v>Marianna</v>
      </c>
      <c r="AC13" s="50"/>
      <c r="AD13" s="50">
        <v>8</v>
      </c>
      <c r="AE13" s="163" t="str" cm="1">
        <f t="array" ref="AE13">IF(LEN(INDEX(Attendance!$CP$2:$FY$2,1,($AD13-1)*4+1))=0,"",INDEX(Attendance!$CP$2:$FY$2,1,($AD13-1)*4+1))</f>
        <v/>
      </c>
      <c r="AF13" s="50" t="str" cm="1">
        <f t="array" ref="AF13">IF(LEN(INDEX(Attendance!$CP$3:$FY$3,1,($AD13-1)*4+1))=0,"",INDEX(Attendance!$CP$3:$FY$3,1,($AD13-1)*4+1))</f>
        <v/>
      </c>
      <c r="AG13" s="50" t="str" cm="1">
        <f t="array" ref="AG13">IF(LEN(INDEX(Attendance!$CP$3:$FY$3,1,($AD13-1)*4+4))=0,"",INDEX(Attendance!$CP$3:$FY$3,1,($AD13-1)*4+4))</f>
        <v/>
      </c>
      <c r="AH13" s="50" t="str" cm="1">
        <f t="array" ref="AH13">IF(LEN(INDEX(Attendance!$CP$26:$FY$26,1,($AD13-1)*4+1))=0,"",INDEX(Attendance!$CP$26:$FY$26,1,($AD13-1)*4+1))</f>
        <v/>
      </c>
      <c r="AI13" s="50" t="str" cm="1">
        <f t="array" ref="AI13">IF(LEN(INDEX(Attendance!$CP$27:$FY$27,1,($AD13-1)*4+1))=0,"",INDEX(Attendance!$CP$27:$FY$27,1,($AD13-1)*4+1))</f>
        <v/>
      </c>
      <c r="AJ13" s="50" t="str" cm="1">
        <f t="array" ref="AJ13">IF(LEN(INDEX(Attendance!$CP$28:$FY$28,1,($AD13-1)*4+1))=0,"",INDEX(Attendance!$CP$28:$FY$28,1,($AD13-1)*4+1))</f>
        <v/>
      </c>
    </row>
    <row r="14" spans="2:39" x14ac:dyDescent="0.45">
      <c r="B14" s="50">
        <f>IF($C14="","",Attendance!$C13)</f>
        <v>9</v>
      </c>
      <c r="C14" s="50" t="str">
        <f>IF(Attendance!$D13="","",Attendance!$D13)</f>
        <v>Tara Brannigan</v>
      </c>
      <c r="D14" s="161" t="str">
        <f>IF($C14="","",IFERROR(Attendance!$GC13,""))</f>
        <v/>
      </c>
      <c r="E14" s="162" t="str">
        <f>IF($C14="","",IFERROR(Attendance!$GD13,""))</f>
        <v/>
      </c>
      <c r="F14" s="161" t="str">
        <f>IF($C14="","",IFERROR(Attendance!$GH13,""))</f>
        <v/>
      </c>
      <c r="G14" s="162" t="str">
        <f>IF($C14="","",IFERROR(Attendance!$GK13,""))</f>
        <v/>
      </c>
      <c r="H14" s="161">
        <f>IF($C14="","",IFERROR(Attendance!$GN13,""))</f>
        <v>0</v>
      </c>
      <c r="I14" s="50" t="str">
        <f t="shared" si="0"/>
        <v>Not graded</v>
      </c>
      <c r="J14" s="50">
        <f t="shared" si="1"/>
        <v>1.2E-4</v>
      </c>
      <c r="K14" s="50">
        <f>ROWS($K$6:$K14)</f>
        <v>9</v>
      </c>
      <c r="L14" s="50" t="str">
        <f>IFERROR(INDEX($C$6:$C$25,MATCH(LARGE($J$6:$J$25,ROWS($L$6:$L14)),$J$6:$J$25,0)),"")</f>
        <v>Tara Brannigan</v>
      </c>
      <c r="M14" s="161">
        <f>IFERROR(INDEX($H$6:$H$25,MATCH(LARGE($J$6:$J$25,ROWS($M$6:$M14)),$J$6:$J$25,0)),"")</f>
        <v>0</v>
      </c>
      <c r="N14" s="50"/>
      <c r="O14" s="50" t="str">
        <f t="shared" si="2"/>
        <v>Tara Brannigan</v>
      </c>
      <c r="P14" s="162" t="str">
        <f t="shared" si="3"/>
        <v/>
      </c>
      <c r="Q14" s="162" t="str">
        <f t="shared" si="4"/>
        <v/>
      </c>
      <c r="R14" s="50"/>
      <c r="S14" s="50"/>
      <c r="T14" s="50"/>
      <c r="U14" s="50"/>
      <c r="V14" s="50"/>
      <c r="W14" s="50"/>
      <c r="X14" s="50">
        <v>9</v>
      </c>
      <c r="Y14" s="162" t="str">
        <f ca="1">IFERROR(IF($Y$2="","",AVERAGE(OFFSET(Attendance!$A$1,$Y$2-1,5+($X14-1)*4),OFFSET(Attendance!$A$1,$Y$2-1,7+($X14-1)*4))),"")</f>
        <v/>
      </c>
      <c r="Z14" s="162" t="str">
        <f ca="1">IFERROR(IF($Y$2="","",IF(LEN(OFFSET(Attendance!$A$1,$Y$2-1,95+($X14-1)*4))=0,"",OFFSET(Attendance!$A$1,$Y$2-1,95+($X14-1)*4))),"")</f>
        <v/>
      </c>
      <c r="AA14" s="50">
        <f t="shared" si="6"/>
        <v>15</v>
      </c>
      <c r="AB14" s="50" t="str">
        <f>IFERROR(INDEX($C$6:$C$25,MATCH(ROWS($AB$6:$AB14),$AA$6:$AA$25,0)),"")</f>
        <v>Naomi Adewoyin</v>
      </c>
      <c r="AC14" s="50"/>
      <c r="AD14" s="50">
        <v>9</v>
      </c>
      <c r="AE14" s="163" t="str" cm="1">
        <f t="array" ref="AE14">IF(LEN(INDEX(Attendance!$CP$2:$FY$2,1,($AD14-1)*4+1))=0,"",INDEX(Attendance!$CP$2:$FY$2,1,($AD14-1)*4+1))</f>
        <v/>
      </c>
      <c r="AF14" s="50" t="str" cm="1">
        <f t="array" ref="AF14">IF(LEN(INDEX(Attendance!$CP$3:$FY$3,1,($AD14-1)*4+1))=0,"",INDEX(Attendance!$CP$3:$FY$3,1,($AD14-1)*4+1))</f>
        <v/>
      </c>
      <c r="AG14" s="50" t="str" cm="1">
        <f t="array" ref="AG14">IF(LEN(INDEX(Attendance!$CP$3:$FY$3,1,($AD14-1)*4+4))=0,"",INDEX(Attendance!$CP$3:$FY$3,1,($AD14-1)*4+4))</f>
        <v/>
      </c>
      <c r="AH14" s="50" t="str" cm="1">
        <f t="array" ref="AH14">IF(LEN(INDEX(Attendance!$CP$26:$FY$26,1,($AD14-1)*4+1))=0,"",INDEX(Attendance!$CP$26:$FY$26,1,($AD14-1)*4+1))</f>
        <v/>
      </c>
      <c r="AI14" s="50" t="str" cm="1">
        <f t="array" ref="AI14">IF(LEN(INDEX(Attendance!$CP$27:$FY$27,1,($AD14-1)*4+1))=0,"",INDEX(Attendance!$CP$27:$FY$27,1,($AD14-1)*4+1))</f>
        <v/>
      </c>
      <c r="AJ14" s="50" t="str" cm="1">
        <f t="array" ref="AJ14">IF(LEN(INDEX(Attendance!$CP$28:$FY$28,1,($AD14-1)*4+1))=0,"",INDEX(Attendance!$CP$28:$FY$28,1,($AD14-1)*4+1))</f>
        <v/>
      </c>
    </row>
    <row r="15" spans="2:39" x14ac:dyDescent="0.45">
      <c r="B15" s="50">
        <f>IF($C15="","",Attendance!$C14)</f>
        <v>10</v>
      </c>
      <c r="C15" s="50" t="str">
        <f>IF(Attendance!$D14="","",Attendance!$D14)</f>
        <v>Semilore Adesanya</v>
      </c>
      <c r="D15" s="161" t="str">
        <f>IF($C15="","",IFERROR(Attendance!$GC14,""))</f>
        <v/>
      </c>
      <c r="E15" s="162" t="str">
        <f>IF($C15="","",IFERROR(Attendance!$GD14,""))</f>
        <v/>
      </c>
      <c r="F15" s="161" t="str">
        <f>IF($C15="","",IFERROR(Attendance!$GH14,""))</f>
        <v/>
      </c>
      <c r="G15" s="162" t="str">
        <f>IF($C15="","",IFERROR(Attendance!$GK14,""))</f>
        <v/>
      </c>
      <c r="H15" s="161">
        <f>IF($C15="","",IFERROR(Attendance!$GN14,""))</f>
        <v>0</v>
      </c>
      <c r="I15" s="50" t="str">
        <f t="shared" si="0"/>
        <v>Not graded</v>
      </c>
      <c r="J15" s="50">
        <f t="shared" si="1"/>
        <v>1.1E-4</v>
      </c>
      <c r="K15" s="50">
        <f>ROWS($K$6:$K15)</f>
        <v>10</v>
      </c>
      <c r="L15" s="50" t="str">
        <f>IFERROR(INDEX($C$6:$C$25,MATCH(LARGE($J$6:$J$25,ROWS($L$6:$L15)),$J$6:$J$25,0)),"")</f>
        <v>Semilore Adesanya</v>
      </c>
      <c r="M15" s="161">
        <f>IFERROR(INDEX($H$6:$H$25,MATCH(LARGE($J$6:$J$25,ROWS($M$6:$M15)),$J$6:$J$25,0)),"")</f>
        <v>0</v>
      </c>
      <c r="N15" s="50"/>
      <c r="O15" s="50" t="str">
        <f t="shared" si="2"/>
        <v>Semilore Adesanya</v>
      </c>
      <c r="P15" s="162" t="str">
        <f t="shared" si="3"/>
        <v/>
      </c>
      <c r="Q15" s="162" t="str">
        <f t="shared" si="4"/>
        <v/>
      </c>
      <c r="R15" s="50"/>
      <c r="S15" s="50"/>
      <c r="T15" s="50"/>
      <c r="U15" s="50"/>
      <c r="V15" s="50"/>
      <c r="W15" s="50"/>
      <c r="X15" s="50">
        <v>10</v>
      </c>
      <c r="Y15" s="162" t="str">
        <f ca="1">IFERROR(IF($Y$2="","",AVERAGE(OFFSET(Attendance!$A$1,$Y$2-1,5+($X15-1)*4),OFFSET(Attendance!$A$1,$Y$2-1,7+($X15-1)*4))),"")</f>
        <v/>
      </c>
      <c r="Z15" s="162" t="str">
        <f ca="1">IFERROR(IF($Y$2="","",IF(LEN(OFFSET(Attendance!$A$1,$Y$2-1,95+($X15-1)*4))=0,"",OFFSET(Attendance!$A$1,$Y$2-1,95+($X15-1)*4))),"")</f>
        <v/>
      </c>
      <c r="AA15" s="50">
        <f t="shared" si="6"/>
        <v>12</v>
      </c>
      <c r="AB15" s="50" t="str">
        <f>IFERROR(INDEX($C$6:$C$25,MATCH(ROWS($AB$6:$AB15),$AA$6:$AA$25,0)),"")</f>
        <v>Roisin Offenhausen</v>
      </c>
      <c r="AC15" s="50"/>
      <c r="AD15" s="50">
        <v>10</v>
      </c>
      <c r="AE15" s="163" t="str" cm="1">
        <f t="array" ref="AE15">IF(LEN(INDEX(Attendance!$CP$2:$FY$2,1,($AD15-1)*4+1))=0,"",INDEX(Attendance!$CP$2:$FY$2,1,($AD15-1)*4+1))</f>
        <v/>
      </c>
      <c r="AF15" s="50" t="str" cm="1">
        <f t="array" ref="AF15">IF(LEN(INDEX(Attendance!$CP$3:$FY$3,1,($AD15-1)*4+1))=0,"",INDEX(Attendance!$CP$3:$FY$3,1,($AD15-1)*4+1))</f>
        <v/>
      </c>
      <c r="AG15" s="50" t="str" cm="1">
        <f t="array" ref="AG15">IF(LEN(INDEX(Attendance!$CP$3:$FY$3,1,($AD15-1)*4+4))=0,"",INDEX(Attendance!$CP$3:$FY$3,1,($AD15-1)*4+4))</f>
        <v/>
      </c>
      <c r="AH15" s="50" t="str" cm="1">
        <f t="array" ref="AH15">IF(LEN(INDEX(Attendance!$CP$26:$FY$26,1,($AD15-1)*4+1))=0,"",INDEX(Attendance!$CP$26:$FY$26,1,($AD15-1)*4+1))</f>
        <v/>
      </c>
      <c r="AI15" s="50" t="str" cm="1">
        <f t="array" ref="AI15">IF(LEN(INDEX(Attendance!$CP$27:$FY$27,1,($AD15-1)*4+1))=0,"",INDEX(Attendance!$CP$27:$FY$27,1,($AD15-1)*4+1))</f>
        <v/>
      </c>
      <c r="AJ15" s="50" t="str" cm="1">
        <f t="array" ref="AJ15">IF(LEN(INDEX(Attendance!$CP$28:$FY$28,1,($AD15-1)*4+1))=0,"",INDEX(Attendance!$CP$28:$FY$28,1,($AD15-1)*4+1))</f>
        <v/>
      </c>
    </row>
    <row r="16" spans="2:39" x14ac:dyDescent="0.45">
      <c r="B16" s="50">
        <f>IF($C16="","",Attendance!$C15)</f>
        <v>11</v>
      </c>
      <c r="C16" s="50" t="str">
        <f>IF(Attendance!$D15="","",Attendance!$D15)</f>
        <v>Hannah Fleming</v>
      </c>
      <c r="D16" s="161" t="str">
        <f>IF($C16="","",IFERROR(Attendance!$GC15,""))</f>
        <v/>
      </c>
      <c r="E16" s="162" t="str">
        <f>IF($C16="","",IFERROR(Attendance!$GD15,""))</f>
        <v/>
      </c>
      <c r="F16" s="161" t="str">
        <f>IF($C16="","",IFERROR(Attendance!$GH15,""))</f>
        <v/>
      </c>
      <c r="G16" s="162" t="str">
        <f>IF($C16="","",IFERROR(Attendance!$GK15,""))</f>
        <v/>
      </c>
      <c r="H16" s="161">
        <f>IF($C16="","",IFERROR(Attendance!$GN15,""))</f>
        <v>0</v>
      </c>
      <c r="I16" s="50" t="str">
        <f t="shared" si="0"/>
        <v>Not graded</v>
      </c>
      <c r="J16" s="50">
        <f t="shared" si="1"/>
        <v>1E-4</v>
      </c>
      <c r="K16" s="50">
        <f>ROWS($K$6:$K16)</f>
        <v>11</v>
      </c>
      <c r="L16" s="50" t="str">
        <f>IFERROR(INDEX($C$6:$C$25,MATCH(LARGE($J$6:$J$25,ROWS($L$6:$L16)),$J$6:$J$25,0)),"")</f>
        <v>Hannah Fleming</v>
      </c>
      <c r="M16" s="161">
        <f>IFERROR(INDEX($H$6:$H$25,MATCH(LARGE($J$6:$J$25,ROWS($M$6:$M16)),$J$6:$J$25,0)),"")</f>
        <v>0</v>
      </c>
      <c r="N16" s="50"/>
      <c r="O16" s="50" t="str">
        <f t="shared" si="2"/>
        <v>Hannah Fleming</v>
      </c>
      <c r="P16" s="162" t="str">
        <f t="shared" si="3"/>
        <v/>
      </c>
      <c r="Q16" s="162" t="str">
        <f t="shared" si="4"/>
        <v/>
      </c>
      <c r="R16" s="50"/>
      <c r="S16" s="50"/>
      <c r="T16" s="50"/>
      <c r="U16" s="50"/>
      <c r="V16" s="50"/>
      <c r="W16" s="50"/>
      <c r="X16" s="50">
        <v>11</v>
      </c>
      <c r="Y16" s="162" t="str">
        <f ca="1">IFERROR(IF($Y$2="","",AVERAGE(OFFSET(Attendance!$A$1,$Y$2-1,5+($X16-1)*4),OFFSET(Attendance!$A$1,$Y$2-1,7+($X16-1)*4))),"")</f>
        <v/>
      </c>
      <c r="Z16" s="162" t="str">
        <f ca="1">IFERROR(IF($Y$2="","",IF(LEN(OFFSET(Attendance!$A$1,$Y$2-1,95+($X16-1)*4))=0,"",OFFSET(Attendance!$A$1,$Y$2-1,95+($X16-1)*4))),"")</f>
        <v/>
      </c>
      <c r="AA16" s="50">
        <f t="shared" si="6"/>
        <v>6</v>
      </c>
      <c r="AB16" s="50" t="str">
        <f>IFERROR(INDEX($C$6:$C$25,MATCH(ROWS($AB$6:$AB16),$AA$6:$AA$25,0)),"")</f>
        <v>Roma Memon</v>
      </c>
      <c r="AC16" s="50"/>
      <c r="AD16" s="50">
        <v>11</v>
      </c>
      <c r="AE16" s="163" t="str" cm="1">
        <f t="array" ref="AE16">IF(LEN(INDEX(Attendance!$CP$2:$FY$2,1,($AD16-1)*4+1))=0,"",INDEX(Attendance!$CP$2:$FY$2,1,($AD16-1)*4+1))</f>
        <v/>
      </c>
      <c r="AF16" s="50" t="str" cm="1">
        <f t="array" ref="AF16">IF(LEN(INDEX(Attendance!$CP$3:$FY$3,1,($AD16-1)*4+1))=0,"",INDEX(Attendance!$CP$3:$FY$3,1,($AD16-1)*4+1))</f>
        <v/>
      </c>
      <c r="AG16" s="50" t="str" cm="1">
        <f t="array" ref="AG16">IF(LEN(INDEX(Attendance!$CP$3:$FY$3,1,($AD16-1)*4+4))=0,"",INDEX(Attendance!$CP$3:$FY$3,1,($AD16-1)*4+4))</f>
        <v/>
      </c>
      <c r="AH16" s="50" t="str" cm="1">
        <f t="array" ref="AH16">IF(LEN(INDEX(Attendance!$CP$26:$FY$26,1,($AD16-1)*4+1))=0,"",INDEX(Attendance!$CP$26:$FY$26,1,($AD16-1)*4+1))</f>
        <v/>
      </c>
      <c r="AI16" s="50" t="str" cm="1">
        <f t="array" ref="AI16">IF(LEN(INDEX(Attendance!$CP$27:$FY$27,1,($AD16-1)*4+1))=0,"",INDEX(Attendance!$CP$27:$FY$27,1,($AD16-1)*4+1))</f>
        <v/>
      </c>
      <c r="AJ16" s="50" t="str" cm="1">
        <f t="array" ref="AJ16">IF(LEN(INDEX(Attendance!$CP$28:$FY$28,1,($AD16-1)*4+1))=0,"",INDEX(Attendance!$CP$28:$FY$28,1,($AD16-1)*4+1))</f>
        <v/>
      </c>
    </row>
    <row r="17" spans="2:36" x14ac:dyDescent="0.45">
      <c r="B17" s="50">
        <f>IF($C17="","",Attendance!$C16)</f>
        <v>12</v>
      </c>
      <c r="C17" s="50" t="str">
        <f>IF(Attendance!$D16="","",Attendance!$D16)</f>
        <v>Emma Kelly</v>
      </c>
      <c r="D17" s="161" t="str">
        <f>IF($C17="","",IFERROR(Attendance!$GC16,""))</f>
        <v/>
      </c>
      <c r="E17" s="162" t="str">
        <f>IF($C17="","",IFERROR(Attendance!$GD16,""))</f>
        <v/>
      </c>
      <c r="F17" s="161" t="str">
        <f>IF($C17="","",IFERROR(Attendance!$GH16,""))</f>
        <v/>
      </c>
      <c r="G17" s="162" t="str">
        <f>IF($C17="","",IFERROR(Attendance!$GK16,""))</f>
        <v/>
      </c>
      <c r="H17" s="161">
        <f>IF($C17="","",IFERROR(Attendance!$GN16,""))</f>
        <v>0</v>
      </c>
      <c r="I17" s="50" t="str">
        <f t="shared" si="0"/>
        <v>Not graded</v>
      </c>
      <c r="J17" s="50">
        <f t="shared" si="1"/>
        <v>9.0000000000000006E-5</v>
      </c>
      <c r="K17" s="50">
        <f>ROWS($K$6:$K17)</f>
        <v>12</v>
      </c>
      <c r="L17" s="50" t="str">
        <f>IFERROR(INDEX($C$6:$C$25,MATCH(LARGE($J$6:$J$25,ROWS($L$6:$L17)),$J$6:$J$25,0)),"")</f>
        <v>Emma Kelly</v>
      </c>
      <c r="M17" s="161">
        <f>IFERROR(INDEX($H$6:$H$25,MATCH(LARGE($J$6:$J$25,ROWS($M$6:$M17)),$J$6:$J$25,0)),"")</f>
        <v>0</v>
      </c>
      <c r="N17" s="50"/>
      <c r="O17" s="50" t="str">
        <f t="shared" si="2"/>
        <v>Emma Kelly</v>
      </c>
      <c r="P17" s="162" t="str">
        <f t="shared" si="3"/>
        <v/>
      </c>
      <c r="Q17" s="162" t="str">
        <f t="shared" si="4"/>
        <v/>
      </c>
      <c r="R17" s="50"/>
      <c r="S17" s="50"/>
      <c r="T17" s="50"/>
      <c r="U17" s="50"/>
      <c r="V17" s="50"/>
      <c r="W17" s="50"/>
      <c r="X17" s="50">
        <v>12</v>
      </c>
      <c r="Y17" s="162" t="str">
        <f ca="1">IFERROR(IF($Y$2="","",AVERAGE(OFFSET(Attendance!$A$1,$Y$2-1,5+($X17-1)*4),OFFSET(Attendance!$A$1,$Y$2-1,7+($X17-1)*4))),"")</f>
        <v/>
      </c>
      <c r="Z17" s="162" t="str">
        <f ca="1">IFERROR(IF($Y$2="","",IF(LEN(OFFSET(Attendance!$A$1,$Y$2-1,95+($X17-1)*4))=0,"",OFFSET(Attendance!$A$1,$Y$2-1,95+($X17-1)*4))),"")</f>
        <v/>
      </c>
      <c r="AA17" s="50">
        <f t="shared" si="6"/>
        <v>5</v>
      </c>
      <c r="AB17" s="50" t="str">
        <f>IFERROR(INDEX($C$6:$C$25,MATCH(ROWS($AB$6:$AB17),$AA$6:$AA$25,0)),"")</f>
        <v>Semilore Adesanya</v>
      </c>
      <c r="AC17" s="50"/>
      <c r="AD17" s="50">
        <v>12</v>
      </c>
      <c r="AE17" s="163" t="str" cm="1">
        <f t="array" ref="AE17">IF(LEN(INDEX(Attendance!$CP$2:$FY$2,1,($AD17-1)*4+1))=0,"",INDEX(Attendance!$CP$2:$FY$2,1,($AD17-1)*4+1))</f>
        <v/>
      </c>
      <c r="AF17" s="50" t="str" cm="1">
        <f t="array" ref="AF17">IF(LEN(INDEX(Attendance!$CP$3:$FY$3,1,($AD17-1)*4+1))=0,"",INDEX(Attendance!$CP$3:$FY$3,1,($AD17-1)*4+1))</f>
        <v/>
      </c>
      <c r="AG17" s="50" t="str" cm="1">
        <f t="array" ref="AG17">IF(LEN(INDEX(Attendance!$CP$3:$FY$3,1,($AD17-1)*4+4))=0,"",INDEX(Attendance!$CP$3:$FY$3,1,($AD17-1)*4+4))</f>
        <v/>
      </c>
      <c r="AH17" s="50" t="str" cm="1">
        <f t="array" ref="AH17">IF(LEN(INDEX(Attendance!$CP$26:$FY$26,1,($AD17-1)*4+1))=0,"",INDEX(Attendance!$CP$26:$FY$26,1,($AD17-1)*4+1))</f>
        <v/>
      </c>
      <c r="AI17" s="50" t="str" cm="1">
        <f t="array" ref="AI17">IF(LEN(INDEX(Attendance!$CP$27:$FY$27,1,($AD17-1)*4+1))=0,"",INDEX(Attendance!$CP$27:$FY$27,1,($AD17-1)*4+1))</f>
        <v/>
      </c>
      <c r="AJ17" s="50" t="str" cm="1">
        <f t="array" ref="AJ17">IF(LEN(INDEX(Attendance!$CP$28:$FY$28,1,($AD17-1)*4+1))=0,"",INDEX(Attendance!$CP$28:$FY$28,1,($AD17-1)*4+1))</f>
        <v/>
      </c>
    </row>
    <row r="18" spans="2:36" x14ac:dyDescent="0.45">
      <c r="B18" s="50">
        <f>IF($C18="","",Attendance!$C17)</f>
        <v>13</v>
      </c>
      <c r="C18" s="50" t="str">
        <f>IF(Attendance!$D17="","",Attendance!$D17)</f>
        <v>Roma Memon</v>
      </c>
      <c r="D18" s="161" t="str">
        <f>IF($C18="","",IFERROR(Attendance!$GC17,""))</f>
        <v/>
      </c>
      <c r="E18" s="162" t="str">
        <f>IF($C18="","",IFERROR(Attendance!$GD17,""))</f>
        <v/>
      </c>
      <c r="F18" s="161" t="str">
        <f>IF($C18="","",IFERROR(Attendance!$GH17,""))</f>
        <v/>
      </c>
      <c r="G18" s="162" t="str">
        <f>IF($C18="","",IFERROR(Attendance!$GK17,""))</f>
        <v/>
      </c>
      <c r="H18" s="161">
        <f>IF($C18="","",IFERROR(Attendance!$GN17,""))</f>
        <v>0</v>
      </c>
      <c r="I18" s="50" t="str">
        <f t="shared" si="0"/>
        <v>Not graded</v>
      </c>
      <c r="J18" s="50">
        <f t="shared" si="1"/>
        <v>8.0000000000000007E-5</v>
      </c>
      <c r="K18" s="50">
        <f>ROWS($K$6:$K18)</f>
        <v>13</v>
      </c>
      <c r="L18" s="50" t="str">
        <f>IFERROR(INDEX($C$6:$C$25,MATCH(LARGE($J$6:$J$25,ROWS($L$6:$L18)),$J$6:$J$25,0)),"")</f>
        <v>Roma Memon</v>
      </c>
      <c r="M18" s="161">
        <f>IFERROR(INDEX($H$6:$H$25,MATCH(LARGE($J$6:$J$25,ROWS($M$6:$M18)),$J$6:$J$25,0)),"")</f>
        <v>0</v>
      </c>
      <c r="N18" s="50"/>
      <c r="O18" s="50" t="str">
        <f t="shared" si="2"/>
        <v>Roma Memon</v>
      </c>
      <c r="P18" s="162" t="str">
        <f t="shared" si="3"/>
        <v/>
      </c>
      <c r="Q18" s="162" t="str">
        <f t="shared" si="4"/>
        <v/>
      </c>
      <c r="R18" s="50"/>
      <c r="S18" s="50"/>
      <c r="T18" s="50"/>
      <c r="U18" s="50"/>
      <c r="V18" s="50"/>
      <c r="W18" s="50"/>
      <c r="X18" s="50">
        <v>13</v>
      </c>
      <c r="Y18" s="162" t="str">
        <f ca="1">IFERROR(IF($Y$2="","",AVERAGE(OFFSET(Attendance!$A$1,$Y$2-1,5+($X18-1)*4),OFFSET(Attendance!$A$1,$Y$2-1,7+($X18-1)*4))),"")</f>
        <v/>
      </c>
      <c r="Z18" s="162" t="str">
        <f ca="1">IFERROR(IF($Y$2="","",IF(LEN(OFFSET(Attendance!$A$1,$Y$2-1,95+($X18-1)*4))=0,"",OFFSET(Attendance!$A$1,$Y$2-1,95+($X18-1)*4))),"")</f>
        <v/>
      </c>
      <c r="AA18" s="50">
        <f t="shared" si="6"/>
        <v>11</v>
      </c>
      <c r="AB18" s="50" t="str">
        <f>IFERROR(INDEX($C$6:$C$25,MATCH(ROWS($AB$6:$AB18),$AA$6:$AA$25,0)),"")</f>
        <v>Shauna Kavanagh</v>
      </c>
      <c r="AC18" s="50"/>
      <c r="AD18" s="50">
        <v>13</v>
      </c>
      <c r="AE18" s="163" t="str" cm="1">
        <f t="array" ref="AE18">IF(LEN(INDEX(Attendance!$CP$2:$FY$2,1,($AD18-1)*4+1))=0,"",INDEX(Attendance!$CP$2:$FY$2,1,($AD18-1)*4+1))</f>
        <v/>
      </c>
      <c r="AF18" s="50" t="str" cm="1">
        <f t="array" ref="AF18">IF(LEN(INDEX(Attendance!$CP$3:$FY$3,1,($AD18-1)*4+1))=0,"",INDEX(Attendance!$CP$3:$FY$3,1,($AD18-1)*4+1))</f>
        <v/>
      </c>
      <c r="AG18" s="50" t="str" cm="1">
        <f t="array" ref="AG18">IF(LEN(INDEX(Attendance!$CP$3:$FY$3,1,($AD18-1)*4+4))=0,"",INDEX(Attendance!$CP$3:$FY$3,1,($AD18-1)*4+4))</f>
        <v/>
      </c>
      <c r="AH18" s="50" t="str" cm="1">
        <f t="array" ref="AH18">IF(LEN(INDEX(Attendance!$CP$26:$FY$26,1,($AD18-1)*4+1))=0,"",INDEX(Attendance!$CP$26:$FY$26,1,($AD18-1)*4+1))</f>
        <v/>
      </c>
      <c r="AI18" s="50" t="str" cm="1">
        <f t="array" ref="AI18">IF(LEN(INDEX(Attendance!$CP$27:$FY$27,1,($AD18-1)*4+1))=0,"",INDEX(Attendance!$CP$27:$FY$27,1,($AD18-1)*4+1))</f>
        <v/>
      </c>
      <c r="AJ18" s="50" t="str" cm="1">
        <f t="array" ref="AJ18">IF(LEN(INDEX(Attendance!$CP$28:$FY$28,1,($AD18-1)*4+1))=0,"",INDEX(Attendance!$CP$28:$FY$28,1,($AD18-1)*4+1))</f>
        <v/>
      </c>
    </row>
    <row r="19" spans="2:36" x14ac:dyDescent="0.45">
      <c r="B19" s="50">
        <f>IF($C19="","",Attendance!$C18)</f>
        <v>14</v>
      </c>
      <c r="C19" s="50" t="str">
        <f>IF(Attendance!$D18="","",Attendance!$D18)</f>
        <v>Emma Dromgoole</v>
      </c>
      <c r="D19" s="161" t="str">
        <f>IF($C19="","",IFERROR(Attendance!$GC18,""))</f>
        <v/>
      </c>
      <c r="E19" s="162" t="str">
        <f>IF($C19="","",IFERROR(Attendance!$GD18,""))</f>
        <v/>
      </c>
      <c r="F19" s="161" t="str">
        <f>IF($C19="","",IFERROR(Attendance!$GH18,""))</f>
        <v/>
      </c>
      <c r="G19" s="162" t="str">
        <f>IF($C19="","",IFERROR(Attendance!$GK18,""))</f>
        <v/>
      </c>
      <c r="H19" s="161">
        <f>IF($C19="","",IFERROR(Attendance!$GN18,""))</f>
        <v>0</v>
      </c>
      <c r="I19" s="50" t="str">
        <f t="shared" si="0"/>
        <v>Not graded</v>
      </c>
      <c r="J19" s="50">
        <f t="shared" si="1"/>
        <v>6.9999999999999994E-5</v>
      </c>
      <c r="K19" s="50">
        <f>ROWS($K$6:$K19)</f>
        <v>14</v>
      </c>
      <c r="L19" s="50" t="str">
        <f>IFERROR(INDEX($C$6:$C$25,MATCH(LARGE($J$6:$J$25,ROWS($L$6:$L19)),$J$6:$J$25,0)),"")</f>
        <v>Emma Dromgoole</v>
      </c>
      <c r="M19" s="161">
        <f>IFERROR(INDEX($H$6:$H$25,MATCH(LARGE($J$6:$J$25,ROWS($M$6:$M19)),$J$6:$J$25,0)),"")</f>
        <v>0</v>
      </c>
      <c r="N19" s="50"/>
      <c r="O19" s="50" t="str">
        <f t="shared" si="2"/>
        <v>Emma Dromgoole</v>
      </c>
      <c r="P19" s="162" t="str">
        <f t="shared" si="3"/>
        <v/>
      </c>
      <c r="Q19" s="162" t="str">
        <f t="shared" si="4"/>
        <v/>
      </c>
      <c r="R19" s="50"/>
      <c r="S19" s="50"/>
      <c r="T19" s="50"/>
      <c r="U19" s="50"/>
      <c r="V19" s="50"/>
      <c r="W19" s="50"/>
      <c r="X19" s="50">
        <v>14</v>
      </c>
      <c r="Y19" s="162" t="str">
        <f ca="1">IFERROR(IF($Y$2="","",AVERAGE(OFFSET(Attendance!$A$1,$Y$2-1,5+($X19-1)*4),OFFSET(Attendance!$A$1,$Y$2-1,7+($X19-1)*4))),"")</f>
        <v/>
      </c>
      <c r="Z19" s="162" t="str">
        <f ca="1">IFERROR(IF($Y$2="","",IF(LEN(OFFSET(Attendance!$A$1,$Y$2-1,95+($X19-1)*4))=0,"",OFFSET(Attendance!$A$1,$Y$2-1,95+($X19-1)*4))),"")</f>
        <v/>
      </c>
      <c r="AA19" s="50">
        <f t="shared" si="6"/>
        <v>4</v>
      </c>
      <c r="AB19" s="50" t="str">
        <f>IFERROR(INDEX($C$6:$C$25,MATCH(ROWS($AB$6:$AB19),$AA$6:$AA$25,0)),"")</f>
        <v>Stella McEvoy</v>
      </c>
      <c r="AC19" s="50"/>
      <c r="AD19" s="50">
        <v>14</v>
      </c>
      <c r="AE19" s="163" t="str" cm="1">
        <f t="array" ref="AE19">IF(LEN(INDEX(Attendance!$CP$2:$FY$2,1,($AD19-1)*4+1))=0,"",INDEX(Attendance!$CP$2:$FY$2,1,($AD19-1)*4+1))</f>
        <v/>
      </c>
      <c r="AF19" s="50" t="str" cm="1">
        <f t="array" ref="AF19">IF(LEN(INDEX(Attendance!$CP$3:$FY$3,1,($AD19-1)*4+1))=0,"",INDEX(Attendance!$CP$3:$FY$3,1,($AD19-1)*4+1))</f>
        <v/>
      </c>
      <c r="AG19" s="50" t="str" cm="1">
        <f t="array" ref="AG19">IF(LEN(INDEX(Attendance!$CP$3:$FY$3,1,($AD19-1)*4+4))=0,"",INDEX(Attendance!$CP$3:$FY$3,1,($AD19-1)*4+4))</f>
        <v/>
      </c>
      <c r="AH19" s="50" t="str" cm="1">
        <f t="array" ref="AH19">IF(LEN(INDEX(Attendance!$CP$26:$FY$26,1,($AD19-1)*4+1))=0,"",INDEX(Attendance!$CP$26:$FY$26,1,($AD19-1)*4+1))</f>
        <v/>
      </c>
      <c r="AI19" s="50" t="str" cm="1">
        <f t="array" ref="AI19">IF(LEN(INDEX(Attendance!$CP$27:$FY$27,1,($AD19-1)*4+1))=0,"",INDEX(Attendance!$CP$27:$FY$27,1,($AD19-1)*4+1))</f>
        <v/>
      </c>
      <c r="AJ19" s="50" t="str" cm="1">
        <f t="array" ref="AJ19">IF(LEN(INDEX(Attendance!$CP$28:$FY$28,1,($AD19-1)*4+1))=0,"",INDEX(Attendance!$CP$28:$FY$28,1,($AD19-1)*4+1))</f>
        <v/>
      </c>
    </row>
    <row r="20" spans="2:36" x14ac:dyDescent="0.45">
      <c r="B20" s="50">
        <f>IF($C20="","",Attendance!$C19)</f>
        <v>15</v>
      </c>
      <c r="C20" s="50" t="str">
        <f>IF(Attendance!$D19="","",Attendance!$D19)</f>
        <v>Elsie Morrison</v>
      </c>
      <c r="D20" s="161" t="str">
        <f>IF($C20="","",IFERROR(Attendance!$GC19,""))</f>
        <v/>
      </c>
      <c r="E20" s="162" t="str">
        <f>IF($C20="","",IFERROR(Attendance!$GD19,""))</f>
        <v/>
      </c>
      <c r="F20" s="161" t="str">
        <f>IF($C20="","",IFERROR(Attendance!$GH19,""))</f>
        <v/>
      </c>
      <c r="G20" s="162" t="str">
        <f>IF($C20="","",IFERROR(Attendance!$GK19,""))</f>
        <v/>
      </c>
      <c r="H20" s="161">
        <f>IF($C20="","",IFERROR(Attendance!$GN19,""))</f>
        <v>0</v>
      </c>
      <c r="I20" s="50" t="str">
        <f t="shared" si="0"/>
        <v>Not graded</v>
      </c>
      <c r="J20" s="50">
        <f t="shared" si="1"/>
        <v>6.0000000000000002E-5</v>
      </c>
      <c r="K20" s="50">
        <f>ROWS($K$6:$K20)</f>
        <v>15</v>
      </c>
      <c r="L20" s="50" t="str">
        <f>IFERROR(INDEX($C$6:$C$25,MATCH(LARGE($J$6:$J$25,ROWS($L$6:$L20)),$J$6:$J$25,0)),"")</f>
        <v>Elsie Morrison</v>
      </c>
      <c r="M20" s="161">
        <f>IFERROR(INDEX($H$6:$H$25,MATCH(LARGE($J$6:$J$25,ROWS($M$6:$M20)),$J$6:$J$25,0)),"")</f>
        <v>0</v>
      </c>
      <c r="N20" s="50"/>
      <c r="O20" s="50" t="str">
        <f t="shared" si="2"/>
        <v>Elsie Morrison</v>
      </c>
      <c r="P20" s="162" t="str">
        <f t="shared" si="3"/>
        <v/>
      </c>
      <c r="Q20" s="162" t="str">
        <f t="shared" si="4"/>
        <v/>
      </c>
      <c r="R20" s="50"/>
      <c r="S20" s="50"/>
      <c r="T20" s="50"/>
      <c r="U20" s="50"/>
      <c r="V20" s="50"/>
      <c r="W20" s="50"/>
      <c r="X20" s="50">
        <v>15</v>
      </c>
      <c r="Y20" s="162" t="str">
        <f ca="1">IFERROR(IF($Y$2="","",AVERAGE(OFFSET(Attendance!$A$1,$Y$2-1,5+($X20-1)*4),OFFSET(Attendance!$A$1,$Y$2-1,7+($X20-1)*4))),"")</f>
        <v/>
      </c>
      <c r="Z20" s="162" t="str">
        <f ca="1">IFERROR(IF($Y$2="","",IF(LEN(OFFSET(Attendance!$A$1,$Y$2-1,95+($X20-1)*4))=0,"",OFFSET(Attendance!$A$1,$Y$2-1,95+($X20-1)*4))),"")</f>
        <v/>
      </c>
      <c r="AA20" s="50">
        <f t="shared" si="6"/>
        <v>3</v>
      </c>
      <c r="AB20" s="50" t="str">
        <f>IFERROR(INDEX($C$6:$C$25,MATCH(ROWS($AB$6:$AB20),$AA$6:$AA$25,0)),"")</f>
        <v>Tara Brannigan</v>
      </c>
      <c r="AC20" s="50"/>
      <c r="AD20" s="50">
        <v>15</v>
      </c>
      <c r="AE20" s="163" t="str" cm="1">
        <f t="array" ref="AE20">IF(LEN(INDEX(Attendance!$CP$2:$FY$2,1,($AD20-1)*4+1))=0,"",INDEX(Attendance!$CP$2:$FY$2,1,($AD20-1)*4+1))</f>
        <v/>
      </c>
      <c r="AF20" s="50" t="str" cm="1">
        <f t="array" ref="AF20">IF(LEN(INDEX(Attendance!$CP$3:$FY$3,1,($AD20-1)*4+1))=0,"",INDEX(Attendance!$CP$3:$FY$3,1,($AD20-1)*4+1))</f>
        <v/>
      </c>
      <c r="AG20" s="50" t="str" cm="1">
        <f t="array" ref="AG20">IF(LEN(INDEX(Attendance!$CP$3:$FY$3,1,($AD20-1)*4+4))=0,"",INDEX(Attendance!$CP$3:$FY$3,1,($AD20-1)*4+4))</f>
        <v/>
      </c>
      <c r="AH20" s="50" t="str" cm="1">
        <f t="array" ref="AH20">IF(LEN(INDEX(Attendance!$CP$26:$FY$26,1,($AD20-1)*4+1))=0,"",INDEX(Attendance!$CP$26:$FY$26,1,($AD20-1)*4+1))</f>
        <v/>
      </c>
      <c r="AI20" s="50" t="str" cm="1">
        <f t="array" ref="AI20">IF(LEN(INDEX(Attendance!$CP$27:$FY$27,1,($AD20-1)*4+1))=0,"",INDEX(Attendance!$CP$27:$FY$27,1,($AD20-1)*4+1))</f>
        <v/>
      </c>
      <c r="AJ20" s="50" t="str" cm="1">
        <f t="array" ref="AJ20">IF(LEN(INDEX(Attendance!$CP$28:$FY$28,1,($AD20-1)*4+1))=0,"",INDEX(Attendance!$CP$28:$FY$28,1,($AD20-1)*4+1))</f>
        <v/>
      </c>
    </row>
    <row r="21" spans="2:36" x14ac:dyDescent="0.45">
      <c r="B21" s="50">
        <f>IF($C21="","",Attendance!$C20)</f>
        <v>16</v>
      </c>
      <c r="C21" s="50" t="str">
        <f>IF(Attendance!$D20="","",Attendance!$D20)</f>
        <v>Zara Freeman</v>
      </c>
      <c r="D21" s="161" t="str">
        <f>IF($C21="","",IFERROR(Attendance!$GC20,""))</f>
        <v/>
      </c>
      <c r="E21" s="162" t="str">
        <f>IF($C21="","",IFERROR(Attendance!$GD20,""))</f>
        <v/>
      </c>
      <c r="F21" s="161" t="str">
        <f>IF($C21="","",IFERROR(Attendance!$GH20,""))</f>
        <v/>
      </c>
      <c r="G21" s="162" t="str">
        <f>IF($C21="","",IFERROR(Attendance!$GK20,""))</f>
        <v/>
      </c>
      <c r="H21" s="161">
        <f>IF($C21="","",IFERROR(Attendance!$GN20,""))</f>
        <v>0</v>
      </c>
      <c r="I21" s="50" t="str">
        <f t="shared" si="0"/>
        <v>Not graded</v>
      </c>
      <c r="J21" s="50">
        <f t="shared" si="1"/>
        <v>5.0000000000000002E-5</v>
      </c>
      <c r="K21" s="50">
        <f>ROWS($K$6:$K21)</f>
        <v>16</v>
      </c>
      <c r="L21" s="50" t="str">
        <f>IFERROR(INDEX($C$6:$C$25,MATCH(LARGE($J$6:$J$25,ROWS($L$6:$L21)),$J$6:$J$25,0)),"")</f>
        <v>Zara Freeman</v>
      </c>
      <c r="M21" s="161">
        <f>IFERROR(INDEX($H$6:$H$25,MATCH(LARGE($J$6:$J$25,ROWS($M$6:$M21)),$J$6:$J$25,0)),"")</f>
        <v>0</v>
      </c>
      <c r="N21" s="50"/>
      <c r="O21" s="50" t="str">
        <f t="shared" si="2"/>
        <v>Zara Freeman</v>
      </c>
      <c r="P21" s="162" t="str">
        <f t="shared" si="3"/>
        <v/>
      </c>
      <c r="Q21" s="162" t="str">
        <f t="shared" si="4"/>
        <v/>
      </c>
      <c r="R21" s="50"/>
      <c r="S21" s="50"/>
      <c r="T21" s="50"/>
      <c r="U21" s="50"/>
      <c r="V21" s="50"/>
      <c r="W21" s="50"/>
      <c r="X21" s="50">
        <v>16</v>
      </c>
      <c r="Y21" s="162" t="str">
        <f ca="1">IFERROR(IF($Y$2="","",AVERAGE(OFFSET(Attendance!$A$1,$Y$2-1,5+($X21-1)*4),OFFSET(Attendance!$A$1,$Y$2-1,7+($X21-1)*4))),"")</f>
        <v/>
      </c>
      <c r="Z21" s="162" t="str">
        <f ca="1">IFERROR(IF($Y$2="","",IF(LEN(OFFSET(Attendance!$A$1,$Y$2-1,95+($X21-1)*4))=0,"",OFFSET(Attendance!$A$1,$Y$2-1,95+($X21-1)*4))),"")</f>
        <v/>
      </c>
      <c r="AA21" s="50">
        <f t="shared" si="6"/>
        <v>16</v>
      </c>
      <c r="AB21" s="50" t="str">
        <f>IFERROR(INDEX($C$6:$C$25,MATCH(ROWS($AB$6:$AB21),$AA$6:$AA$25,0)),"")</f>
        <v>Zara Freeman</v>
      </c>
      <c r="AC21" s="50"/>
      <c r="AD21" s="50">
        <v>16</v>
      </c>
      <c r="AE21" s="163" t="str" cm="1">
        <f t="array" ref="AE21">IF(LEN(INDEX(Attendance!$CP$2:$FY$2,1,($AD21-1)*4+1))=0,"",INDEX(Attendance!$CP$2:$FY$2,1,($AD21-1)*4+1))</f>
        <v/>
      </c>
      <c r="AF21" s="50" t="str" cm="1">
        <f t="array" ref="AF21">IF(LEN(INDEX(Attendance!$CP$3:$FY$3,1,($AD21-1)*4+1))=0,"",INDEX(Attendance!$CP$3:$FY$3,1,($AD21-1)*4+1))</f>
        <v/>
      </c>
      <c r="AG21" s="50" t="str" cm="1">
        <f t="array" ref="AG21">IF(LEN(INDEX(Attendance!$CP$3:$FY$3,1,($AD21-1)*4+4))=0,"",INDEX(Attendance!$CP$3:$FY$3,1,($AD21-1)*4+4))</f>
        <v/>
      </c>
      <c r="AH21" s="50" t="str" cm="1">
        <f t="array" ref="AH21">IF(LEN(INDEX(Attendance!$CP$26:$FY$26,1,($AD21-1)*4+1))=0,"",INDEX(Attendance!$CP$26:$FY$26,1,($AD21-1)*4+1))</f>
        <v/>
      </c>
      <c r="AI21" s="50" t="str" cm="1">
        <f t="array" ref="AI21">IF(LEN(INDEX(Attendance!$CP$27:$FY$27,1,($AD21-1)*4+1))=0,"",INDEX(Attendance!$CP$27:$FY$27,1,($AD21-1)*4+1))</f>
        <v/>
      </c>
      <c r="AJ21" s="50" t="str" cm="1">
        <f t="array" ref="AJ21">IF(LEN(INDEX(Attendance!$CP$28:$FY$28,1,($AD21-1)*4+1))=0,"",INDEX(Attendance!$CP$28:$FY$28,1,($AD21-1)*4+1))</f>
        <v/>
      </c>
    </row>
    <row r="22" spans="2:36" x14ac:dyDescent="0.45">
      <c r="B22" s="50">
        <f>IF($C22="","",Attendance!$C21)</f>
        <v>17</v>
      </c>
      <c r="C22" s="50" t="str">
        <f>IF(Attendance!$D21="","",Attendance!$D21)</f>
        <v>Marianna</v>
      </c>
      <c r="D22" s="161" t="str">
        <f>IF($C22="","",IFERROR(Attendance!$GC21,""))</f>
        <v/>
      </c>
      <c r="E22" s="162" t="str">
        <f>IF($C22="","",IFERROR(Attendance!$GD21,""))</f>
        <v/>
      </c>
      <c r="F22" s="161" t="str">
        <f>IF($C22="","",IFERROR(Attendance!$GH21,""))</f>
        <v/>
      </c>
      <c r="G22" s="162" t="str">
        <f>IF($C22="","",IFERROR(Attendance!$GK21,""))</f>
        <v/>
      </c>
      <c r="H22" s="161">
        <f>IF($C22="","",IFERROR(Attendance!$GN21,""))</f>
        <v>0</v>
      </c>
      <c r="I22" s="50" t="str">
        <f t="shared" si="0"/>
        <v>Not graded</v>
      </c>
      <c r="J22" s="50">
        <f t="shared" si="1"/>
        <v>4.0000000000000003E-5</v>
      </c>
      <c r="K22" s="50">
        <f>ROWS($K$6:$K22)</f>
        <v>17</v>
      </c>
      <c r="L22" s="50" t="str">
        <f>IFERROR(INDEX($C$6:$C$25,MATCH(LARGE($J$6:$J$25,ROWS($L$6:$L22)),$J$6:$J$25,0)),"")</f>
        <v>Marianna</v>
      </c>
      <c r="M22" s="161">
        <f>IFERROR(INDEX($H$6:$H$25,MATCH(LARGE($J$6:$J$25,ROWS($M$6:$M22)),$J$6:$J$25,0)),"")</f>
        <v>0</v>
      </c>
      <c r="N22" s="50"/>
      <c r="O22" s="50" t="str">
        <f t="shared" si="2"/>
        <v>Marianna</v>
      </c>
      <c r="P22" s="162" t="str">
        <f t="shared" si="3"/>
        <v/>
      </c>
      <c r="Q22" s="162" t="str">
        <f t="shared" si="4"/>
        <v/>
      </c>
      <c r="R22" s="50"/>
      <c r="S22" s="50"/>
      <c r="T22" s="50"/>
      <c r="U22" s="50"/>
      <c r="V22" s="50"/>
      <c r="W22" s="50"/>
      <c r="X22" s="50">
        <v>17</v>
      </c>
      <c r="Y22" s="162" t="str">
        <f ca="1">IFERROR(IF($Y$2="","",AVERAGE(OFFSET(Attendance!$A$1,$Y$2-1,5+($X22-1)*4),OFFSET(Attendance!$A$1,$Y$2-1,7+($X22-1)*4))),"")</f>
        <v/>
      </c>
      <c r="Z22" s="162" t="str">
        <f ca="1">IFERROR(IF($Y$2="","",IF(LEN(OFFSET(Attendance!$A$1,$Y$2-1,95+($X22-1)*4))=0,"",OFFSET(Attendance!$A$1,$Y$2-1,95+($X22-1)*4))),"")</f>
        <v/>
      </c>
      <c r="AA22" s="50">
        <f t="shared" si="6"/>
        <v>8</v>
      </c>
      <c r="AB22" s="50" t="str">
        <f>IFERROR(INDEX($C$6:$C$25,MATCH(ROWS($AB$6:$AB22),$AA$6:$AA$25,0)),"")</f>
        <v>Zara Power</v>
      </c>
      <c r="AC22" s="50"/>
      <c r="AD22" s="50">
        <v>17</v>
      </c>
      <c r="AE22" s="163" t="str" cm="1">
        <f t="array" ref="AE22">IF(LEN(INDEX(Attendance!$CP$2:$FY$2,1,($AD22-1)*4+1))=0,"",INDEX(Attendance!$CP$2:$FY$2,1,($AD22-1)*4+1))</f>
        <v/>
      </c>
      <c r="AF22" s="50" t="str" cm="1">
        <f t="array" ref="AF22">IF(LEN(INDEX(Attendance!$CP$3:$FY$3,1,($AD22-1)*4+1))=0,"",INDEX(Attendance!$CP$3:$FY$3,1,($AD22-1)*4+1))</f>
        <v/>
      </c>
      <c r="AG22" s="50" t="str" cm="1">
        <f t="array" ref="AG22">IF(LEN(INDEX(Attendance!$CP$3:$FY$3,1,($AD22-1)*4+4))=0,"",INDEX(Attendance!$CP$3:$FY$3,1,($AD22-1)*4+4))</f>
        <v/>
      </c>
      <c r="AH22" s="50" t="str" cm="1">
        <f t="array" ref="AH22">IF(LEN(INDEX(Attendance!$CP$26:$FY$26,1,($AD22-1)*4+1))=0,"",INDEX(Attendance!$CP$26:$FY$26,1,($AD22-1)*4+1))</f>
        <v/>
      </c>
      <c r="AI22" s="50" t="str" cm="1">
        <f t="array" ref="AI22">IF(LEN(INDEX(Attendance!$CP$27:$FY$27,1,($AD22-1)*4+1))=0,"",INDEX(Attendance!$CP$27:$FY$27,1,($AD22-1)*4+1))</f>
        <v/>
      </c>
      <c r="AJ22" s="50" t="str" cm="1">
        <f t="array" ref="AJ22">IF(LEN(INDEX(Attendance!$CP$28:$FY$28,1,($AD22-1)*4+1))=0,"",INDEX(Attendance!$CP$28:$FY$28,1,($AD22-1)*4+1))</f>
        <v/>
      </c>
    </row>
    <row r="23" spans="2:36" x14ac:dyDescent="0.45">
      <c r="B23" s="50" t="str">
        <f>IF($C23="","",Attendance!$C22)</f>
        <v/>
      </c>
      <c r="C23" s="50" t="str">
        <f>IF(Attendance!$D22="","",Attendance!$D22)</f>
        <v/>
      </c>
      <c r="D23" s="161" t="str">
        <f>IF($C23="","",IFERROR(Attendance!$GC22,""))</f>
        <v/>
      </c>
      <c r="E23" s="162" t="str">
        <f>IF($C23="","",IFERROR(Attendance!$GD22,""))</f>
        <v/>
      </c>
      <c r="F23" s="161" t="str">
        <f>IF($C23="","",IFERROR(Attendance!$GH22,""))</f>
        <v/>
      </c>
      <c r="G23" s="162" t="str">
        <f>IF($C23="","",IFERROR(Attendance!$GK22,""))</f>
        <v/>
      </c>
      <c r="H23" s="161" t="str">
        <f>IF($C23="","",IFERROR(Attendance!$GN22,""))</f>
        <v/>
      </c>
      <c r="I23" s="50" t="str">
        <f t="shared" si="0"/>
        <v/>
      </c>
      <c r="J23" s="50" t="str">
        <f t="shared" si="1"/>
        <v/>
      </c>
      <c r="K23" s="50">
        <f>ROWS($K$6:$K23)</f>
        <v>18</v>
      </c>
      <c r="L23" s="50" t="str">
        <f>IFERROR(INDEX($C$6:$C$25,MATCH(LARGE($J$6:$J$25,ROWS($L$6:$L23)),$J$6:$J$25,0)),"")</f>
        <v/>
      </c>
      <c r="M23" s="161" t="str">
        <f>IFERROR(INDEX($H$6:$H$25,MATCH(LARGE($J$6:$J$25,ROWS($M$6:$M23)),$J$6:$J$25,0)),"")</f>
        <v/>
      </c>
      <c r="N23" s="50"/>
      <c r="O23" s="50" t="str">
        <f t="shared" si="2"/>
        <v/>
      </c>
      <c r="P23" s="162" t="str">
        <f t="shared" si="3"/>
        <v/>
      </c>
      <c r="Q23" s="162" t="str">
        <f t="shared" si="4"/>
        <v/>
      </c>
      <c r="R23" s="50"/>
      <c r="S23" s="50"/>
      <c r="T23" s="50"/>
      <c r="U23" s="50"/>
      <c r="V23" s="50"/>
      <c r="W23" s="50"/>
      <c r="X23" s="50">
        <v>18</v>
      </c>
      <c r="Y23" s="162" t="str">
        <f ca="1">IFERROR(IF($Y$2="","",AVERAGE(OFFSET(Attendance!$A$1,$Y$2-1,5+($X23-1)*4),OFFSET(Attendance!$A$1,$Y$2-1,7+($X23-1)*4))),"")</f>
        <v/>
      </c>
      <c r="Z23" s="162" t="str">
        <f ca="1">IFERROR(IF($Y$2="","",IF(LEN(OFFSET(Attendance!$A$1,$Y$2-1,95+($X23-1)*4))=0,"",OFFSET(Attendance!$A$1,$Y$2-1,95+($X23-1)*4))),"")</f>
        <v/>
      </c>
      <c r="AA23" s="50" t="str">
        <f t="shared" si="6"/>
        <v/>
      </c>
      <c r="AB23" s="50" t="str">
        <f>IFERROR(INDEX($C$6:$C$25,MATCH(ROWS($AB$6:$AB23),$AA$6:$AA$25,0)),"")</f>
        <v/>
      </c>
      <c r="AC23" s="50"/>
      <c r="AD23" s="50">
        <v>18</v>
      </c>
      <c r="AE23" s="163" t="str" cm="1">
        <f t="array" ref="AE23">IF(LEN(INDEX(Attendance!$CP$2:$FY$2,1,($AD23-1)*4+1))=0,"",INDEX(Attendance!$CP$2:$FY$2,1,($AD23-1)*4+1))</f>
        <v/>
      </c>
      <c r="AF23" s="50" t="str" cm="1">
        <f t="array" ref="AF23">IF(LEN(INDEX(Attendance!$CP$3:$FY$3,1,($AD23-1)*4+1))=0,"",INDEX(Attendance!$CP$3:$FY$3,1,($AD23-1)*4+1))</f>
        <v/>
      </c>
      <c r="AG23" s="50" t="str" cm="1">
        <f t="array" ref="AG23">IF(LEN(INDEX(Attendance!$CP$3:$FY$3,1,($AD23-1)*4+4))=0,"",INDEX(Attendance!$CP$3:$FY$3,1,($AD23-1)*4+4))</f>
        <v/>
      </c>
      <c r="AH23" s="50" t="str" cm="1">
        <f t="array" ref="AH23">IF(LEN(INDEX(Attendance!$CP$26:$FY$26,1,($AD23-1)*4+1))=0,"",INDEX(Attendance!$CP$26:$FY$26,1,($AD23-1)*4+1))</f>
        <v/>
      </c>
      <c r="AI23" s="50" t="str" cm="1">
        <f t="array" ref="AI23">IF(LEN(INDEX(Attendance!$CP$27:$FY$27,1,($AD23-1)*4+1))=0,"",INDEX(Attendance!$CP$27:$FY$27,1,($AD23-1)*4+1))</f>
        <v/>
      </c>
      <c r="AJ23" s="50" t="str" cm="1">
        <f t="array" ref="AJ23">IF(LEN(INDEX(Attendance!$CP$28:$FY$28,1,($AD23-1)*4+1))=0,"",INDEX(Attendance!$CP$28:$FY$28,1,($AD23-1)*4+1))</f>
        <v/>
      </c>
    </row>
    <row r="24" spans="2:36" x14ac:dyDescent="0.45">
      <c r="B24" s="50" t="str">
        <f>IF($C24="","",Attendance!$C23)</f>
        <v/>
      </c>
      <c r="C24" s="50" t="str">
        <f>IF(Attendance!$D23="","",Attendance!$D23)</f>
        <v/>
      </c>
      <c r="D24" s="161" t="str">
        <f>IF($C24="","",IFERROR(Attendance!$GC23,""))</f>
        <v/>
      </c>
      <c r="E24" s="162" t="str">
        <f>IF($C24="","",IFERROR(Attendance!$GD23,""))</f>
        <v/>
      </c>
      <c r="F24" s="161" t="str">
        <f>IF($C24="","",IFERROR(Attendance!$GH23,""))</f>
        <v/>
      </c>
      <c r="G24" s="162" t="str">
        <f>IF($C24="","",IFERROR(Attendance!$GK23,""))</f>
        <v/>
      </c>
      <c r="H24" s="161" t="str">
        <f>IF($C24="","",IFERROR(Attendance!$GN23,""))</f>
        <v/>
      </c>
      <c r="I24" s="50" t="str">
        <f t="shared" si="0"/>
        <v/>
      </c>
      <c r="J24" s="50" t="str">
        <f t="shared" si="1"/>
        <v/>
      </c>
      <c r="K24" s="50">
        <f>ROWS($K$6:$K24)</f>
        <v>19</v>
      </c>
      <c r="L24" s="50" t="str">
        <f>IFERROR(INDEX($C$6:$C$25,MATCH(LARGE($J$6:$J$25,ROWS($L$6:$L24)),$J$6:$J$25,0)),"")</f>
        <v/>
      </c>
      <c r="M24" s="161" t="str">
        <f>IFERROR(INDEX($H$6:$H$25,MATCH(LARGE($J$6:$J$25,ROWS($M$6:$M24)),$J$6:$J$25,0)),"")</f>
        <v/>
      </c>
      <c r="N24" s="50"/>
      <c r="O24" s="50" t="str">
        <f t="shared" si="2"/>
        <v/>
      </c>
      <c r="P24" s="162" t="str">
        <f t="shared" si="3"/>
        <v/>
      </c>
      <c r="Q24" s="162" t="str">
        <f t="shared" si="4"/>
        <v/>
      </c>
      <c r="R24" s="50"/>
      <c r="S24" s="50"/>
      <c r="T24" s="50"/>
      <c r="U24" s="50"/>
      <c r="V24" s="50"/>
      <c r="W24" s="50"/>
      <c r="X24" s="50">
        <v>19</v>
      </c>
      <c r="Y24" s="162" t="str">
        <f ca="1">IFERROR(IF($Y$2="","",AVERAGE(OFFSET(Attendance!$A$1,$Y$2-1,5+($X24-1)*4),OFFSET(Attendance!$A$1,$Y$2-1,7+($X24-1)*4))),"")</f>
        <v/>
      </c>
      <c r="Z24" s="162" t="str">
        <f ca="1">IFERROR(IF($Y$2="","",IF(LEN(OFFSET(Attendance!$A$1,$Y$2-1,95+($X24-1)*4))=0,"",OFFSET(Attendance!$A$1,$Y$2-1,95+($X24-1)*4))),"")</f>
        <v/>
      </c>
      <c r="AA24" s="50" t="str">
        <f t="shared" si="6"/>
        <v/>
      </c>
      <c r="AB24" s="50" t="str">
        <f>IFERROR(INDEX($C$6:$C$25,MATCH(ROWS($AB$6:$AB24),$AA$6:$AA$25,0)),"")</f>
        <v/>
      </c>
      <c r="AC24" s="50"/>
      <c r="AD24" s="50">
        <v>19</v>
      </c>
      <c r="AE24" s="163" t="str" cm="1">
        <f t="array" ref="AE24">IF(LEN(INDEX(Attendance!$CP$2:$FY$2,1,($AD24-1)*4+1))=0,"",INDEX(Attendance!$CP$2:$FY$2,1,($AD24-1)*4+1))</f>
        <v/>
      </c>
      <c r="AF24" s="50" t="str" cm="1">
        <f t="array" ref="AF24">IF(LEN(INDEX(Attendance!$CP$3:$FY$3,1,($AD24-1)*4+1))=0,"",INDEX(Attendance!$CP$3:$FY$3,1,($AD24-1)*4+1))</f>
        <v/>
      </c>
      <c r="AG24" s="50" t="str" cm="1">
        <f t="array" ref="AG24">IF(LEN(INDEX(Attendance!$CP$3:$FY$3,1,($AD24-1)*4+4))=0,"",INDEX(Attendance!$CP$3:$FY$3,1,($AD24-1)*4+4))</f>
        <v/>
      </c>
      <c r="AH24" s="50" t="str" cm="1">
        <f t="array" ref="AH24">IF(LEN(INDEX(Attendance!$CP$26:$FY$26,1,($AD24-1)*4+1))=0,"",INDEX(Attendance!$CP$26:$FY$26,1,($AD24-1)*4+1))</f>
        <v/>
      </c>
      <c r="AI24" s="50" t="str" cm="1">
        <f t="array" ref="AI24">IF(LEN(INDEX(Attendance!$CP$27:$FY$27,1,($AD24-1)*4+1))=0,"",INDEX(Attendance!$CP$27:$FY$27,1,($AD24-1)*4+1))</f>
        <v/>
      </c>
      <c r="AJ24" s="50" t="str" cm="1">
        <f t="array" ref="AJ24">IF(LEN(INDEX(Attendance!$CP$28:$FY$28,1,($AD24-1)*4+1))=0,"",INDEX(Attendance!$CP$28:$FY$28,1,($AD24-1)*4+1))</f>
        <v/>
      </c>
    </row>
    <row r="25" spans="2:36" x14ac:dyDescent="0.45">
      <c r="B25" s="50" t="str">
        <f>IF($C25="","",Attendance!$C24)</f>
        <v/>
      </c>
      <c r="C25" s="50" t="str">
        <f>IF(Attendance!$D24="","",Attendance!$D24)</f>
        <v/>
      </c>
      <c r="D25" s="161" t="str">
        <f>IF($C25="","",IFERROR(Attendance!$GC24,""))</f>
        <v/>
      </c>
      <c r="E25" s="162" t="str">
        <f>IF($C25="","",IFERROR(Attendance!$GD24,""))</f>
        <v/>
      </c>
      <c r="F25" s="161" t="str">
        <f>IF($C25="","",IFERROR(Attendance!$GH24,""))</f>
        <v/>
      </c>
      <c r="G25" s="162" t="str">
        <f>IF($C25="","",IFERROR(Attendance!$GK24,""))</f>
        <v/>
      </c>
      <c r="H25" s="161" t="str">
        <f>IF($C25="","",IFERROR(Attendance!$GN24,""))</f>
        <v/>
      </c>
      <c r="I25" s="50" t="str">
        <f t="shared" si="0"/>
        <v/>
      </c>
      <c r="J25" s="50" t="str">
        <f t="shared" si="1"/>
        <v/>
      </c>
      <c r="K25" s="50">
        <f>ROWS($K$6:$K25)</f>
        <v>20</v>
      </c>
      <c r="L25" s="50" t="str">
        <f>IFERROR(INDEX($C$6:$C$25,MATCH(LARGE($J$6:$J$25,ROWS($L$6:$L25)),$J$6:$J$25,0)),"")</f>
        <v/>
      </c>
      <c r="M25" s="161" t="str">
        <f>IFERROR(INDEX($H$6:$H$25,MATCH(LARGE($J$6:$J$25,ROWS($M$6:$M25)),$J$6:$J$25,0)),"")</f>
        <v/>
      </c>
      <c r="N25" s="50"/>
      <c r="O25" s="50" t="str">
        <f t="shared" si="2"/>
        <v/>
      </c>
      <c r="P25" s="162" t="str">
        <f t="shared" si="3"/>
        <v/>
      </c>
      <c r="Q25" s="162" t="str">
        <f t="shared" si="4"/>
        <v/>
      </c>
      <c r="R25" s="50"/>
      <c r="S25" s="50"/>
      <c r="T25" s="50"/>
      <c r="U25" s="50"/>
      <c r="V25" s="50"/>
      <c r="W25" s="50"/>
      <c r="X25" s="50">
        <v>20</v>
      </c>
      <c r="Y25" s="162" t="str">
        <f ca="1">IFERROR(IF($Y$2="","",AVERAGE(OFFSET(Attendance!$A$1,$Y$2-1,5+($X25-1)*4),OFFSET(Attendance!$A$1,$Y$2-1,7+($X25-1)*4))),"")</f>
        <v/>
      </c>
      <c r="Z25" s="162" t="str">
        <f ca="1">IFERROR(IF($Y$2="","",IF(LEN(OFFSET(Attendance!$A$1,$Y$2-1,95+($X25-1)*4))=0,"",OFFSET(Attendance!$A$1,$Y$2-1,95+($X25-1)*4))),"")</f>
        <v/>
      </c>
      <c r="AA25" s="50" t="str">
        <f t="shared" si="6"/>
        <v/>
      </c>
      <c r="AB25" s="50" t="str">
        <f>IFERROR(INDEX($C$6:$C$25,MATCH(ROWS($AB$6:$AB25),$AA$6:$AA$25,0)),"")</f>
        <v/>
      </c>
      <c r="AC25" s="50"/>
      <c r="AD25" s="50">
        <v>20</v>
      </c>
      <c r="AE25" s="163" t="str" cm="1">
        <f t="array" ref="AE25">IF(LEN(INDEX(Attendance!$CP$2:$FY$2,1,($AD25-1)*4+1))=0,"",INDEX(Attendance!$CP$2:$FY$2,1,($AD25-1)*4+1))</f>
        <v/>
      </c>
      <c r="AF25" s="50" t="str" cm="1">
        <f t="array" ref="AF25">IF(LEN(INDEX(Attendance!$CP$3:$FY$3,1,($AD25-1)*4+1))=0,"",INDEX(Attendance!$CP$3:$FY$3,1,($AD25-1)*4+1))</f>
        <v/>
      </c>
      <c r="AG25" s="50" t="str" cm="1">
        <f t="array" ref="AG25">IF(LEN(INDEX(Attendance!$CP$3:$FY$3,1,($AD25-1)*4+4))=0,"",INDEX(Attendance!$CP$3:$FY$3,1,($AD25-1)*4+4))</f>
        <v/>
      </c>
      <c r="AH25" s="50" t="str" cm="1">
        <f t="array" ref="AH25">IF(LEN(INDEX(Attendance!$CP$26:$FY$26,1,($AD25-1)*4+1))=0,"",INDEX(Attendance!$CP$26:$FY$26,1,($AD25-1)*4+1))</f>
        <v/>
      </c>
      <c r="AI25" s="50" t="str" cm="1">
        <f t="array" ref="AI25">IF(LEN(INDEX(Attendance!$CP$27:$FY$27,1,($AD25-1)*4+1))=0,"",INDEX(Attendance!$CP$27:$FY$27,1,($AD25-1)*4+1))</f>
        <v/>
      </c>
      <c r="AJ25" s="50" t="str" cm="1">
        <f t="array" ref="AJ25">IF(LEN(INDEX(Attendance!$CP$28:$FY$28,1,($AD25-1)*4+1))=0,"",INDEX(Attendance!$CP$28:$FY$28,1,($AD25-1)*4+1))</f>
        <v/>
      </c>
    </row>
    <row r="26" spans="2:36" x14ac:dyDescent="0.45"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>
        <v>21</v>
      </c>
      <c r="Y26" s="162" t="str">
        <f ca="1">IFERROR(IF($Y$2="","",AVERAGE(OFFSET(Attendance!$A$1,$Y$2-1,5+($X26-1)*4),OFFSET(Attendance!$A$1,$Y$2-1,7+($X26-1)*4))),"")</f>
        <v/>
      </c>
      <c r="Z26" s="162" t="str">
        <f ca="1">IFERROR(IF($Y$2="","",IF(LEN(OFFSET(Attendance!$A$1,$Y$2-1,95+($X26-1)*4))=0,"",OFFSET(Attendance!$A$1,$Y$2-1,95+($X26-1)*4))),"")</f>
        <v/>
      </c>
      <c r="AA26" s="50"/>
      <c r="AB26" s="50"/>
      <c r="AC26" s="50"/>
      <c r="AD26" s="50">
        <v>21</v>
      </c>
      <c r="AE26" s="163" t="str" cm="1">
        <f t="array" ref="AE26">IF(LEN(INDEX(Attendance!$CP$2:$FY$2,1,($AD26-1)*4+1))=0,"",INDEX(Attendance!$CP$2:$FY$2,1,($AD26-1)*4+1))</f>
        <v/>
      </c>
      <c r="AF26" s="50" t="str" cm="1">
        <f t="array" ref="AF26">IF(LEN(INDEX(Attendance!$CP$3:$FY$3,1,($AD26-1)*4+1))=0,"",INDEX(Attendance!$CP$3:$FY$3,1,($AD26-1)*4+1))</f>
        <v/>
      </c>
      <c r="AG26" s="50" t="str" cm="1">
        <f t="array" ref="AG26">IF(LEN(INDEX(Attendance!$CP$3:$FY$3,1,($AD26-1)*4+4))=0,"",INDEX(Attendance!$CP$3:$FY$3,1,($AD26-1)*4+4))</f>
        <v/>
      </c>
      <c r="AH26" s="50" t="str" cm="1">
        <f t="array" ref="AH26">IF(LEN(INDEX(Attendance!$CP$26:$FY$26,1,($AD26-1)*4+1))=0,"",INDEX(Attendance!$CP$26:$FY$26,1,($AD26-1)*4+1))</f>
        <v/>
      </c>
      <c r="AI26" s="50" t="str" cm="1">
        <f t="array" ref="AI26">IF(LEN(INDEX(Attendance!$CP$27:$FY$27,1,($AD26-1)*4+1))=0,"",INDEX(Attendance!$CP$27:$FY$27,1,($AD26-1)*4+1))</f>
        <v/>
      </c>
      <c r="AJ26" s="50" t="str" cm="1">
        <f t="array" ref="AJ26">IF(LEN(INDEX(Attendance!$CP$28:$FY$28,1,($AD26-1)*4+1))=0,"",INDEX(Attendance!$CP$28:$FY$28,1,($AD26-1)*4+1))</f>
        <v/>
      </c>
    </row>
    <row r="27" spans="2:36" x14ac:dyDescent="0.45"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>
        <v>22</v>
      </c>
      <c r="Y27" s="162" t="str">
        <f ca="1">IFERROR(IF($Y$2="","",AVERAGE(OFFSET(Attendance!$A$1,$Y$2-1,5+($X27-1)*4),OFFSET(Attendance!$A$1,$Y$2-1,7+($X27-1)*4))),"")</f>
        <v/>
      </c>
      <c r="Z27" s="162" t="str">
        <f ca="1">IFERROR(IF($Y$2="","",IF(LEN(OFFSET(Attendance!$A$1,$Y$2-1,95+($X27-1)*4))=0,"",OFFSET(Attendance!$A$1,$Y$2-1,95+($X27-1)*4))),"")</f>
        <v/>
      </c>
      <c r="AA27" s="50"/>
      <c r="AB27" s="50"/>
      <c r="AC27" s="50"/>
      <c r="AD27" s="50">
        <v>22</v>
      </c>
      <c r="AE27" s="163" t="str" cm="1">
        <f t="array" ref="AE27">IF(LEN(INDEX(Attendance!$CP$2:$FY$2,1,($AD27-1)*4+1))=0,"",INDEX(Attendance!$CP$2:$FY$2,1,($AD27-1)*4+1))</f>
        <v/>
      </c>
      <c r="AF27" s="50" t="str" cm="1">
        <f t="array" ref="AF27">IF(LEN(INDEX(Attendance!$CP$3:$FY$3,1,($AD27-1)*4+1))=0,"",INDEX(Attendance!$CP$3:$FY$3,1,($AD27-1)*4+1))</f>
        <v/>
      </c>
      <c r="AG27" s="50" t="str" cm="1">
        <f t="array" ref="AG27">IF(LEN(INDEX(Attendance!$CP$3:$FY$3,1,($AD27-1)*4+4))=0,"",INDEX(Attendance!$CP$3:$FY$3,1,($AD27-1)*4+4))</f>
        <v/>
      </c>
      <c r="AH27" s="50" t="str" cm="1">
        <f t="array" ref="AH27">IF(LEN(INDEX(Attendance!$CP$26:$FY$26,1,($AD27-1)*4+1))=0,"",INDEX(Attendance!$CP$26:$FY$26,1,($AD27-1)*4+1))</f>
        <v/>
      </c>
      <c r="AI27" s="50" t="str" cm="1">
        <f t="array" ref="AI27">IF(LEN(INDEX(Attendance!$CP$27:$FY$27,1,($AD27-1)*4+1))=0,"",INDEX(Attendance!$CP$27:$FY$27,1,($AD27-1)*4+1))</f>
        <v/>
      </c>
      <c r="AJ27" s="50" t="str" cm="1">
        <f t="array" ref="AJ27">IF(LEN(INDEX(Attendance!$CP$28:$FY$28,1,($AD27-1)*4+1))=0,"",INDEX(Attendance!$CP$28:$FY$28,1,($AD27-1)*4+1))</f>
        <v/>
      </c>
    </row>
  </sheetData>
  <mergeCells count="8">
    <mergeCell ref="X4:Z4"/>
    <mergeCell ref="AD4:AJ4"/>
    <mergeCell ref="B2:F2"/>
    <mergeCell ref="B3:H3"/>
    <mergeCell ref="B4:J4"/>
    <mergeCell ref="K4:M4"/>
    <mergeCell ref="O4:Q4"/>
    <mergeCell ref="S4:V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04ED4-DE2F-4FA2-AC3D-ADF6EDAC6177}">
  <dimension ref="A2:AB63"/>
  <sheetViews>
    <sheetView workbookViewId="0">
      <pane ySplit="6" topLeftCell="A7" activePane="bottomLeft" state="frozen"/>
      <selection pane="bottomLeft" activeCell="A18" sqref="A18"/>
    </sheetView>
  </sheetViews>
  <sheetFormatPr defaultRowHeight="14.25" x14ac:dyDescent="0.45"/>
  <cols>
    <col min="1" max="1" width="160" customWidth="1"/>
    <col min="7" max="26" width="16" customWidth="1"/>
  </cols>
  <sheetData>
    <row r="2" spans="1:8" ht="18" x14ac:dyDescent="0.55000000000000004">
      <c r="A2" s="1" t="s">
        <v>243</v>
      </c>
    </row>
    <row r="3" spans="1:8" x14ac:dyDescent="0.45">
      <c r="A3" s="2" t="str">
        <f ca="1">"Copy cell A4 (minified JSON) into the website. This rebuilds itself live — but you must re-copy it after ANY data change. Last built: "&amp;TEXT(NOW(),"dd-mmm-yyyy hh:mm")</f>
        <v>Copy cell A4 (minified JSON) into the website. This rebuilds itself live — but you must re-copy it after ANY data change. Last built: 14-Aug-2026 15:06</v>
      </c>
      <c r="H3" s="183" t="s">
        <v>244</v>
      </c>
    </row>
    <row r="4" spans="1:8" x14ac:dyDescent="0.45">
      <c r="A4" s="186" t="str">
        <f ca="1">"{"&amp;$H$4&amp;","&amp;$H$5&amp;","&amp;$H$6&amp;","&amp;$H$7&amp;","&amp;$H$8&amp;","&amp;$H$9&amp;","&amp;$H$10&amp;","&amp;$H$11&amp;"}"</f>
        <v>{"meta":{"title":"Lucan Utd Youths — Girls Youth 2026/2027 League Season","squad":"Girls Youth","generated":"2026-08-14 15:06","arrayKeys":{"session":["att","wr"],"match":["att","mins","rating","motm"]},"weightings":{"trainingAttendance":0.25,"workRate":0.35,"matchdayAttendance":0.15,"matchRating":0.25}},"squadSummary":{"players":17,"sessionsHeld":0,"matchesPlayed":0,"record":{"w":0,"d":0,"l":0},"avgTrainingAttendance":0,"avgWorkRate":0,"avgMatchdayAttendance":0,"avgMatchRating":0,"seasonScore":0},"ragBands":[{"band":"Critical","from":0,"to":1.5,"players":0},{"band":"Not Ready","from":1.51,"to":2,"players":0},{"band":"Improving","from":2.01,"to":2.5,"players":0},{"band":"Nearly Ready","from":2.51,"to":3,"players":0},{"band":"Not Ready for 90 min","from":3.01,"to":3.49,"players":0},{"band":"Match Ready","from":3.5,"to":5,"players":0}],"sessions":[],"fixtures":[],"players":[{"number":1,"name":"Aoife Kennan","position":"GK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2,"name":"Stella McEvoy","position":"LB / RB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3,"name":"Zara Power","position":"RB","availability":"No","unavailableReason":"Injured - Ankle injury out for 10 weeks (back 2 Oct)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4,"name":"Heidi Cerubini Dunne","position":"LB / RB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5,"name":"Roisin Offenhausen","position":"RW / ACM / ST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6,"name":"Naomi Adewoyin","position":"ACM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7,"name":"Amber Kilalee","position":"LW / ST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8,"name":"Shauna Kavanagh","position":"ST / RW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9,"name":"Tara Brannigan","position":"DM / CM","availability":"No","unavailableReason":"Absent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10,"name":"Semilore Adesanya","position":"CB / CM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11,"name":"Hannah Fleming","position":"LB / LW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12,"name":"Emma Kelly","position":"CB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13,"name":"Roma Memon","position":"DM / CM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14,"name":"Emma Dromgoole","position":"RW / ST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15,"name":"Elsie Morrison","position":"LW / ST / GK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16,"name":"Zara Freeman","position":"ST 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17,"name":"Marianna","position":"RB / CB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],"teamSelection":{"formation":"4-3-3","startingXI":[{"slot":1,"position":"GK","player":"Elsie Morrison","fitScore":9.91,"seasonScore":0,"overallGrade":9.67},{"slot":2,"position":"RB","player":"Marianna","fitScore":9.78,"seasonScore":0,"overallGrade":8.75},{"slot":3,"position":"CB","player":"Emma Kelly","fitScore":12.78,"seasonScore":0,"overallGrade":11.18},{"slot":4,"position":"CB","player":"Semilore Adesanya","fitScore":12.2,"seasonScore":0,"overallGrade":10.48},{"slot":5,"position":"LB","player":"Hannah Fleming","fitScore":10.49,"seasonScore":0,"overallGrade":10.1},{"slot":6,"position":"DM","player":"Roma Memon","fitScore":8.98,"seasonScore":0,"overallGrade":7.81},{"slot":8,"position":"ACM","player":"Roisin Offenhausen","fitScore":10.3,"seasonScore":0,"overallGrade":9.75},{"slot":9,"position":"RW","player":"Emma Dromgoole","fitScore":9.51,"seasonScore":0,"overallGrade":9.22},{"slot":10,"position":"ST","player":"Zara Freeman","fitScore":11.52,"seasonScore":0,"overallGrade":10.64},{"slot":11,"position":"LW","player":"Amber Kilalee","fitScore":9.22,"seasonScore":0,"overallGrade":8.78}],"notSelected":[{"player":"Aoife Kennan","position":"GK","overallGrade":4.91,"seasonScore":0,"status":"Available"},{"player":"Stella McEvoy","position":"LB / RB","overallGrade":8.61,"seasonScore":0,"status":"Available"},{"player":"Zara Power","position":"RB","overallGrade":8.65,"seasonScore":0,"status":"Unavailable — Injured - Ankle injury out for 10 weeks (back 2 Oct)"},{"player":"Heidi Cerubini Dunne","position":"LB / RB","overallGrade":4.19,"seasonScore":0,"status":"Available"},{"player":"Naomi Adewoyin","position":"ACM","overallGrade":9.55,"seasonScore":0,"status":"Available"},{"player":"Shauna Kavanagh","position":"ST / RW","overallGrade":7.93,"seasonScore":0,"status":"Available"},{"player":"Tara Brannigan","position":"DM / CM","overallGrade":10.67,"seasonScore":0,"status":"Unavailable — Absent"}],"unavailable":[{"player":"Zara Power","reason":"Injured - Ankle injury out for 10 weeks (back 2 Oct)"},{"player":"Tara Brannigan","reason":"Absent"}]},"matchReports":[]}</v>
      </c>
      <c r="G4" s="184" t="s">
        <v>245</v>
      </c>
      <c r="H4" t="str">
        <f ca="1">"""meta"":{""title"":""Lucan Utd Youths — Girls Youth 2026/2027 League Season"",""squad"":""Girls Youth"",""generated"":"""&amp;TEXT(NOW(),"yyyy-mm-dd hh:mm")&amp;""",""arrayKeys"":{""session"":[""att"",""wr""],""match"":[""att"",""mins"",""rating"",""motm""]},""weightings"":{""trainingAttendance"":"&amp;Attendance!$GA$2&amp;",""workRate"":"&amp;Attendance!$GB$2&amp;",""matchdayAttendance"":"&amp;Attendance!$GC$2&amp;",""matchRating"":"&amp;Attendance!$GD$2&amp;"}}"</f>
        <v>"meta":{"title":"Lucan Utd Youths — Girls Youth 2026/2027 League Season","squad":"Girls Youth","generated":"2026-08-14 15:06","arrayKeys":{"session":["att","wr"],"match":["att","mins","rating","motm"]},"weightings":{"trainingAttendance":0.25,"workRate":0.35,"matchdayAttendance":0.15,"matchRating":0.25}}</v>
      </c>
    </row>
    <row r="5" spans="1:8" x14ac:dyDescent="0.45">
      <c r="G5" s="184" t="s">
        <v>246</v>
      </c>
      <c r="H5" t="str" cm="1">
        <f t="array" ref="H5">"""squadSummary"":{""players"":"&amp;COUNTA(Attendance!$D$5:$D$24)&amp;",""sessionsHeld"":"&amp;SUMPRODUCT((Attendance!$E$4:$CN$4="Att")*(Attendance!$E$3:$CN$3&lt;&gt;""))&amp;",""matchesPlayed"":"&amp;SUMPRODUCT((Attendance!$CP$4:$FY$4="Att")*(Attendance!$CP$28:$FY$28&lt;&gt;""))&amp;",""record"":{""w"":"&amp;COUNTIF(Attendance!$CP$28:$FY$28,"W")&amp;",""d"":"&amp;COUNTIF(Attendance!$CP$28:$FY$28,"D")&amp;",""l"":"&amp;COUNTIF(Attendance!$CP$28:$FY$28,"L")&amp;"},""avgTrainingAttendance"":"&amp;ROUND(IFERROR(AVERAGE(Workings!$D$6:$D$25),0),4)&amp;",""avgWorkRate"":"&amp;ROUND(IFERROR(AVERAGE(Workings!$E$6:$E$25),0),2)&amp;",""avgMatchdayAttendance"":"&amp;ROUND(IFERROR(AVERAGE(Workings!$F$6:$F$25),0),4)&amp;",""avgMatchRating"":"&amp;ROUND(IFERROR(AVERAGE(Workings!$G$6:$G$25),0),2)&amp;",""seasonScore"":"&amp;ROUND(IFERROR(AVERAGE(Workings!$H$6:$H$25),0),4)&amp;"}"</f>
        <v>"squadSummary":{"players":17,"sessionsHeld":0,"matchesPlayed":0,"record":{"w":0,"d":0,"l":0},"avgTrainingAttendance":0,"avgWorkRate":0,"avgMatchdayAttendance":0,"avgMatchRating":0,"seasonScore":0}</v>
      </c>
    </row>
    <row r="6" spans="1:8" x14ac:dyDescent="0.45">
      <c r="A6" s="13" t="s">
        <v>257</v>
      </c>
      <c r="G6" s="184" t="s">
        <v>247</v>
      </c>
      <c r="H6" t="str">
        <f>"""ragBands"":["&amp;_xlfn.TEXTJOIN(",",TRUE,$P$20:$P$25)&amp;"]"</f>
        <v>"ragBands":[{"band":"Critical","from":0,"to":1.5,"players":0},{"band":"Not Ready","from":1.51,"to":2,"players":0},{"band":"Improving","from":2.01,"to":2.5,"players":0},{"band":"Nearly Ready","from":2.51,"to":3,"players":0},{"band":"Not Ready for 90 min","from":3.01,"to":3.49,"players":0},{"band":"Match Ready","from":3.5,"to":5,"players":0}]</v>
      </c>
    </row>
    <row r="7" spans="1:8" x14ac:dyDescent="0.45">
      <c r="A7" s="187" t="str">
        <f>"{"</f>
        <v>{</v>
      </c>
      <c r="G7" s="184" t="s">
        <v>248</v>
      </c>
      <c r="H7" t="str">
        <f>"""sessions"":["&amp;_xlfn.TEXTJOIN(",",TRUE,$N$20:$N$63)&amp;"]"</f>
        <v>"sessions":[]</v>
      </c>
    </row>
    <row r="8" spans="1:8" x14ac:dyDescent="0.45">
      <c r="A8" s="187" t="str">
        <f ca="1">"  "&amp;$H$4&amp;","</f>
        <v xml:space="preserve">  "meta":{"title":"Lucan Utd Youths — Girls Youth 2026/2027 League Season","squad":"Girls Youth","generated":"2026-08-14 15:06","arrayKeys":{"session":["att","wr"],"match":["att","mins","rating","motm"]},"weightings":{"trainingAttendance":0.25,"workRate":0.35,"matchdayAttendance":0.15,"matchRating":0.25}},</v>
      </c>
      <c r="G8" s="184" t="s">
        <v>249</v>
      </c>
      <c r="H8" t="str">
        <f>"""fixtures"":["&amp;_xlfn.TEXTJOIN(",",TRUE,$L$20:$L$41)&amp;"]"</f>
        <v>"fixtures":[]</v>
      </c>
    </row>
    <row r="9" spans="1:8" x14ac:dyDescent="0.45">
      <c r="A9" s="187" t="str">
        <f>"  "&amp;$H$5&amp;","</f>
        <v xml:space="preserve">  "squadSummary":{"players":17,"sessionsHeld":0,"matchesPlayed":0,"record":{"w":0,"d":0,"l":0},"avgTrainingAttendance":0,"avgWorkRate":0,"avgMatchdayAttendance":0,"avgMatchRating":0,"seasonScore":0},</v>
      </c>
      <c r="G9" s="184" t="s">
        <v>250</v>
      </c>
      <c r="H9" t="str">
        <f>"""players"":["&amp;_xlfn.TEXTJOIN(",",TRUE,$J$20:$J$39)&amp;"]"</f>
        <v>"players":[{"number":1,"name":"Aoife Kennan","position":"GK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2,"name":"Stella McEvoy","position":"LB / RB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3,"name":"Zara Power","position":"RB","availability":"No","unavailableReason":"Injured - Ankle injury out for 10 weeks (back 2 Oct)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4,"name":"Heidi Cerubini Dunne","position":"LB / RB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5,"name":"Roisin Offenhausen","position":"RW / ACM / ST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6,"name":"Naomi Adewoyin","position":"ACM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7,"name":"Amber Kilalee","position":"LW / ST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8,"name":"Shauna Kavanagh","position":"ST / RW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9,"name":"Tara Brannigan","position":"DM / CM","availability":"No","unavailableReason":"Absent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10,"name":"Semilore Adesanya","position":"CB / CM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11,"name":"Hannah Fleming","position":"LB / LW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12,"name":"Emma Kelly","position":"CB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13,"name":"Roma Memon","position":"DM / CM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14,"name":"Emma Dromgoole","position":"RW / ST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15,"name":"Elsie Morrison","position":"LW / ST / GK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16,"name":"Zara Freeman","position":"ST 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17,"name":"Marianna","position":"RB / CB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]</v>
      </c>
    </row>
    <row r="10" spans="1:8" x14ac:dyDescent="0.45">
      <c r="A10" s="187" t="str">
        <f>"  "&amp;$H$6&amp;","</f>
        <v xml:space="preserve">  "ragBands":[{"band":"Critical","from":0,"to":1.5,"players":0},{"band":"Not Ready","from":1.51,"to":2,"players":0},{"band":"Improving","from":2.01,"to":2.5,"players":0},{"band":"Nearly Ready","from":2.51,"to":3,"players":0},{"band":"Not Ready for 90 min","from":3.01,"to":3.49,"players":0},{"band":"Match Ready","from":3.5,"to":5,"players":0}],</v>
      </c>
      <c r="G10" s="184" t="s">
        <v>251</v>
      </c>
      <c r="H10" t="str">
        <f>"""teamSelection"":{""formation"":""4-3-3"",""startingXI"":["&amp;_xlfn.TEXTJOIN(",",TRUE,$R$20:$R$30)&amp;"],""notSelected"":["&amp;_xlfn.TEXTJOIN(",",TRUE,$T$20:$T$39)&amp;"],""unavailable"":["&amp;_xlfn.TEXTJOIN(",",TRUE,$V$20:$V$39)&amp;"]}"</f>
        <v>"teamSelection":{"formation":"4-3-3","startingXI":[{"slot":1,"position":"GK","player":"Elsie Morrison","fitScore":9.91,"seasonScore":0,"overallGrade":9.67},{"slot":2,"position":"RB","player":"Marianna","fitScore":9.78,"seasonScore":0,"overallGrade":8.75},{"slot":3,"position":"CB","player":"Emma Kelly","fitScore":12.78,"seasonScore":0,"overallGrade":11.18},{"slot":4,"position":"CB","player":"Semilore Adesanya","fitScore":12.2,"seasonScore":0,"overallGrade":10.48},{"slot":5,"position":"LB","player":"Hannah Fleming","fitScore":10.49,"seasonScore":0,"overallGrade":10.1},{"slot":6,"position":"DM","player":"Roma Memon","fitScore":8.98,"seasonScore":0,"overallGrade":7.81},{"slot":8,"position":"ACM","player":"Roisin Offenhausen","fitScore":10.3,"seasonScore":0,"overallGrade":9.75},{"slot":9,"position":"RW","player":"Emma Dromgoole","fitScore":9.51,"seasonScore":0,"overallGrade":9.22},{"slot":10,"position":"ST","player":"Zara Freeman","fitScore":11.52,"seasonScore":0,"overallGrade":10.64},{"slot":11,"position":"LW","player":"Amber Kilalee","fitScore":9.22,"seasonScore":0,"overallGrade":8.78}],"notSelected":[{"player":"Aoife Kennan","position":"GK","overallGrade":4.91,"seasonScore":0,"status":"Available"},{"player":"Stella McEvoy","position":"LB / RB","overallGrade":8.61,"seasonScore":0,"status":"Available"},{"player":"Zara Power","position":"RB","overallGrade":8.65,"seasonScore":0,"status":"Unavailable — Injured - Ankle injury out for 10 weeks (back 2 Oct)"},{"player":"Heidi Cerubini Dunne","position":"LB / RB","overallGrade":4.19,"seasonScore":0,"status":"Available"},{"player":"Naomi Adewoyin","position":"ACM","overallGrade":9.55,"seasonScore":0,"status":"Available"},{"player":"Shauna Kavanagh","position":"ST / RW","overallGrade":7.93,"seasonScore":0,"status":"Available"},{"player":"Tara Brannigan","position":"DM / CM","overallGrade":10.67,"seasonScore":0,"status":"Unavailable — Absent"}],"unavailable":[{"player":"Zara Power","reason":"Injured - Ankle injury out for 10 weeks (back 2 Oct)"},{"player":"Tara Brannigan","reason":"Absent"}]}</v>
      </c>
    </row>
    <row r="11" spans="1:8" x14ac:dyDescent="0.45">
      <c r="A11" s="187" t="str">
        <f>"  "&amp;$H$7&amp;","</f>
        <v xml:space="preserve">  "sessions":[],</v>
      </c>
      <c r="G11" s="184" t="s">
        <v>341</v>
      </c>
      <c r="H11" t="str">
        <f>"""matchReports"":["&amp;_xlfn.TEXTJOIN(",",TRUE,$AB$20:$AB$41)&amp;"]"</f>
        <v>"matchReports":[]</v>
      </c>
    </row>
    <row r="12" spans="1:8" x14ac:dyDescent="0.45">
      <c r="A12" s="187" t="str">
        <f>"  "&amp;$H$8&amp;","</f>
        <v xml:space="preserve">  "fixtures":[],</v>
      </c>
    </row>
    <row r="13" spans="1:8" x14ac:dyDescent="0.45">
      <c r="A13" s="187" t="str">
        <f>"  "&amp;$H$9&amp;","</f>
        <v xml:space="preserve">  "players":[{"number":1,"name":"Aoife Kennan","position":"GK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2,"name":"Stella McEvoy","position":"LB / RB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3,"name":"Zara Power","position":"RB","availability":"No","unavailableReason":"Injured - Ankle injury out for 10 weeks (back 2 Oct)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4,"name":"Heidi Cerubini Dunne","position":"LB / RB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5,"name":"Roisin Offenhausen","position":"RW / ACM / ST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6,"name":"Naomi Adewoyin","position":"ACM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7,"name":"Amber Kilalee","position":"LW / ST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8,"name":"Shauna Kavanagh","position":"ST / RW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9,"name":"Tara Brannigan","position":"DM / CM","availability":"No","unavailableReason":"Absent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10,"name":"Semilore Adesanya","position":"CB / CM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11,"name":"Hannah Fleming","position":"LB / LW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12,"name":"Emma Kelly","position":"CB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13,"name":"Roma Memon","position":"DM / CM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14,"name":"Emma Dromgoole","position":"RW / ST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15,"name":"Elsie Morrison","position":"LW / ST / GK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16,"name":"Zara Freeman","position":"ST 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,{"number":17,"name":"Marianna","position":"RB / CB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],</v>
      </c>
    </row>
    <row r="14" spans="1:8" x14ac:dyDescent="0.45">
      <c r="A14" s="187" t="str">
        <f>"  "&amp;$H$10&amp;","</f>
        <v xml:space="preserve">  "teamSelection":{"formation":"4-3-3","startingXI":[{"slot":1,"position":"GK","player":"Elsie Morrison","fitScore":9.91,"seasonScore":0,"overallGrade":9.67},{"slot":2,"position":"RB","player":"Marianna","fitScore":9.78,"seasonScore":0,"overallGrade":8.75},{"slot":3,"position":"CB","player":"Emma Kelly","fitScore":12.78,"seasonScore":0,"overallGrade":11.18},{"slot":4,"position":"CB","player":"Semilore Adesanya","fitScore":12.2,"seasonScore":0,"overallGrade":10.48},{"slot":5,"position":"LB","player":"Hannah Fleming","fitScore":10.49,"seasonScore":0,"overallGrade":10.1},{"slot":6,"position":"DM","player":"Roma Memon","fitScore":8.98,"seasonScore":0,"overallGrade":7.81},{"slot":8,"position":"ACM","player":"Roisin Offenhausen","fitScore":10.3,"seasonScore":0,"overallGrade":9.75},{"slot":9,"position":"RW","player":"Emma Dromgoole","fitScore":9.51,"seasonScore":0,"overallGrade":9.22},{"slot":10,"position":"ST","player":"Zara Freeman","fitScore":11.52,"seasonScore":0,"overallGrade":10.64},{"slot":11,"position":"LW","player":"Amber Kilalee","fitScore":9.22,"seasonScore":0,"overallGrade":8.78}],"notSelected":[{"player":"Aoife Kennan","position":"GK","overallGrade":4.91,"seasonScore":0,"status":"Available"},{"player":"Stella McEvoy","position":"LB / RB","overallGrade":8.61,"seasonScore":0,"status":"Available"},{"player":"Zara Power","position":"RB","overallGrade":8.65,"seasonScore":0,"status":"Unavailable — Injured - Ankle injury out for 10 weeks (back 2 Oct)"},{"player":"Heidi Cerubini Dunne","position":"LB / RB","overallGrade":4.19,"seasonScore":0,"status":"Available"},{"player":"Naomi Adewoyin","position":"ACM","overallGrade":9.55,"seasonScore":0,"status":"Available"},{"player":"Shauna Kavanagh","position":"ST / RW","overallGrade":7.93,"seasonScore":0,"status":"Available"},{"player":"Tara Brannigan","position":"DM / CM","overallGrade":10.67,"seasonScore":0,"status":"Unavailable — Absent"}],"unavailable":[{"player":"Zara Power","reason":"Injured - Ankle injury out for 10 weeks (back 2 Oct)"},{"player":"Tara Brannigan","reason":"Absent"}]},</v>
      </c>
    </row>
    <row r="15" spans="1:8" x14ac:dyDescent="0.45">
      <c r="A15" s="187" t="str">
        <f>"  "&amp;$H$11</f>
        <v xml:space="preserve">  "matchReports":[]</v>
      </c>
    </row>
    <row r="16" spans="1:8" x14ac:dyDescent="0.45">
      <c r="A16" t="str">
        <f>"}"</f>
        <v>}</v>
      </c>
    </row>
    <row r="19" spans="10:28" x14ac:dyDescent="0.45">
      <c r="J19" s="185" t="s">
        <v>250</v>
      </c>
      <c r="K19" s="185"/>
      <c r="L19" s="185" t="s">
        <v>249</v>
      </c>
      <c r="M19" s="185"/>
      <c r="N19" s="185" t="s">
        <v>248</v>
      </c>
      <c r="O19" s="185"/>
      <c r="P19" s="185" t="s">
        <v>247</v>
      </c>
      <c r="Q19" s="185"/>
      <c r="R19" s="185" t="s">
        <v>252</v>
      </c>
      <c r="S19" s="185"/>
      <c r="T19" s="185" t="s">
        <v>253</v>
      </c>
      <c r="U19" s="185"/>
      <c r="V19" s="185" t="s">
        <v>254</v>
      </c>
      <c r="W19" s="185"/>
      <c r="X19" s="185" t="s">
        <v>255</v>
      </c>
      <c r="Y19" s="185"/>
      <c r="Z19" s="185" t="s">
        <v>256</v>
      </c>
    </row>
    <row r="20" spans="10:28" x14ac:dyDescent="0.45">
      <c r="J20" t="str">
        <f>IF(Attendance!$D5="","","{""number"":"&amp;Attendance!$C5&amp;",""name"":"""&amp;Attendance!$D5&amp;""",""position"":"""&amp;'Player Grading'!$D6&amp;""",""availability"":"""&amp;'Team Selection'!$E64&amp;""",""unavailableReason"":"""&amp;'Team Selection'!$F64&amp;""",""trainingAttendancePct"":"&amp;ROUND(N(Attendance!$GC5),4)&amp;",""avgWorkRate"":"&amp;ROUND(N(Attendance!$GD5),2)&amp;",""matchdayAttendancePct"":"&amp;ROUND(N(Attendance!$GH5),4)&amp;",""minutes"":"&amp;N(Attendance!$GI5)&amp;",""avgMinutes"":"&amp;ROUND(N(Attendance!$GJ5),1)&amp;",""avgRating"":"&amp;ROUND(N(Attendance!$GK5),2)&amp;",""motm"":"&amp;N(Attendance!$GM5)&amp;",""seasonScore"":"&amp;ROUND(N(Attendance!$GN5),4)&amp;",""comment"":"""&amp;Attendance!$GR5&amp;""",""toWorkOn"":"""&amp;Attendance!$GS5&amp;""",""sessions"":["&amp;$X20&amp;"],""matches"":["&amp;$Z20&amp;"]}")</f>
        <v>{"number":1,"name":"Aoife Kennan","position":"GK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</v>
      </c>
      <c r="L20" t="str">
        <f>IF(Workings!$AE6="","","{""gw"":"&amp;Workings!$AD6&amp;",""date"":"""&amp;TEXT(Workings!$AE6,"yyyy-mm-dd")&amp;""",""opponent"":"""&amp;Workings!$AF6&amp;""",""venue"":"""&amp;Workings!$AG6&amp;""",""gf"":"&amp;N(Workings!$AH6)&amp;",""ga"":"&amp;N(Workings!$AI6)&amp;",""result"":"""&amp;Workings!$AJ6&amp;"""}")</f>
        <v/>
      </c>
      <c r="N20" t="str" cm="1">
        <f t="array" ref="N20">IF(LEN(INDEX(Attendance!$E$3:$CN$3,1,(1-1)*2+1))=0,"","{""index"":1,""gw"":1,""date"":"""&amp;TEXT(INDEX(Attendance!$E$3:$CN$3,1,(1-1)*2+1),"yyyy-mm-dd")&amp;"""}")</f>
        <v/>
      </c>
      <c r="P20" t="str">
        <f>"{""band"":"""&amp;Workings!$S6&amp;""",""from"":"&amp;Workings!$T6&amp;",""to"":"&amp;Workings!$U6&amp;",""players"":"&amp;Workings!$V6&amp;"}"</f>
        <v>{"band":"Critical","from":0,"to":1.5,"players":0}</v>
      </c>
      <c r="R20" t="str">
        <f>IF('Team Selection'!$D25="","","{""slot"":"&amp;'Team Selection'!$B25&amp;",""position"":"""&amp;'Team Selection'!$C25&amp;""",""player"":"""&amp;'Team Selection'!$D25&amp;""",""fitScore"":"&amp;ROUND(N('Team Selection'!$E25),2)&amp;",""seasonScore"":"&amp;ROUND(N('Team Selection'!$F25),4)&amp;",""overallGrade"":"&amp;ROUND(N('Team Selection'!$G25),2)&amp;"}")</f>
        <v>{"slot":1,"position":"GK","player":"Elsie Morrison","fitScore":9.91,"seasonScore":0,"overallGrade":9.67}</v>
      </c>
      <c r="T20" t="str">
        <f>IF('Team Selection'!$C40="","","{""player"":"""&amp;'Team Selection'!$C40&amp;""",""position"":"""&amp;'Team Selection'!$D40&amp;""",""overallGrade"":"&amp;ROUND(N('Team Selection'!$E40),2)&amp;",""seasonScore"":"&amp;ROUND(N('Team Selection'!$F40),4)&amp;",""status"":"""&amp;'Team Selection'!$G40&amp;"""}")</f>
        <v>{"player":"Aoife Kennan","position":"GK","overallGrade":4.91,"seasonScore":0,"status":"Available"}</v>
      </c>
      <c r="V20" t="str">
        <f>IF(OR('Team Selection'!$C64="",'Team Selection'!$E64="Yes"),"","{""player"":"""&amp;'Team Selection'!$C64&amp;""",""reason"":"""&amp;'Team Selection'!$F64&amp;"""}")</f>
        <v/>
      </c>
      <c r="X20" t="str" cm="1">
        <f t="array" ref="X20">IF(Attendance!$D5="","",_xlfn.TEXTJOIN(",",TRUE,IF(Attendance!$E$4:$CN$4="Att","["&amp;IF(Attendance!$E5:$CN5="Yes",1,0)&amp;","&amp;IF(Attendance!$F5:$CO5="",0,Attendance!$F5:$CO5)&amp;"]","")))</f>
        <v>[0,0],[0,0],[0,0],[0,0],[0,0],[0,0],[0,0],[0,0],[0,0],[0,0],[0,0],[0,0],[0,0],[0,0],[0,0],[0,0],[0,0],[0,0],[0,0],[0,0],[0,0],[0,0],[0,0],[0,0],[0,0],[0,0],[0,0],[0,0],[0,0],[0,0],[0,0],[0,0],[0,0],[0,0],[0,0],[0,0],[0,0],[0,0],[0,0],[0,0],[0,0],[0,0],[0,0],[0,0]</v>
      </c>
      <c r="Z20" t="str" cm="1">
        <f t="array" ref="Z20">IF(Attendance!$D5="","",_xlfn.TEXTJOIN(",",TRUE,IF(Attendance!$CP$4:$FY$4="Att","["&amp;IF(Attendance!$CP5:$FY5="Yes",1,IF(Attendance!$CP5:$FY5="No",0,-1))&amp;","&amp;IF(Attendance!$CQ5:$FZ5="",0,Attendance!$CQ5:$FZ5)&amp;","&amp;IF(Attendance!$CR5:$GA5="",0,Attendance!$CR5:$GA5)&amp;","&amp;IF(Attendance!$CS5:$GB5="Yes",1,0)&amp;"]","")))</f>
        <v>[-1,0,0,0],[-1,0,0,0],[-1,0,0,0],[-1,0,0,0],[-1,0,0,0],[-1,0,0,0],[-1,0,0,0],[-1,0,0,0],[-1,0,0,0],[-1,0,0,0],[-1,0,0,0],[-1,0,0,0],[-1,0,0,0],[-1,0,0,0],[-1,0,0,0],[-1,0,0,0],[-1,0,0,0],[-1,0,0,0],[-1,0,0,0],[-1,0,0,0],[-1,0,0,0],[-1,0,0,0]</v>
      </c>
      <c r="AB20" t="str" cm="1">
        <f t="array" ref="AB20">IF(AND('Match Day Reports'!$L45="",COUNTIF('Match Day Reports'!$K9:$AD9,"?*")=0),"","{""gw"":"&amp;'Match Day Reports'!$J9&amp;",""xi"":["&amp;_xlfn.TEXTJOIN(",",TRUE,IF('Match Day Reports'!$K9:$U9="","",""""&amp;'Match Day Reports'!$K9:$U9&amp;""""))&amp;"],""subs"":["&amp;_xlfn.TEXTJOIN(",",TRUE,IF('Match Day Reports'!$V9:$AB9="","",""""&amp;'Match Day Reports'!$V9:$AB9&amp;""""))&amp;"],""motm"":"""&amp;IFERROR(INDEX(Attendance!$D$5:$D$24,MATCH("Yes",INDEX(Attendance!$CP$5:$FY$24,0,('Match Day Reports'!$J9-1)*4+4),0)),"")&amp;""",""matchNotes"":"""&amp;SUBSTITUTE(SUBSTITUTE('Match Day Reports'!$AC9,"""","'"),CHAR(10)," ")&amp;""",""keyNotes"":"""&amp;SUBSTITUTE(SUBSTITUTE('Match Day Reports'!$AD9,"""","'"),CHAR(10)," ")&amp;"""}")</f>
        <v/>
      </c>
    </row>
    <row r="21" spans="10:28" x14ac:dyDescent="0.45">
      <c r="J21" t="str">
        <f>IF(Attendance!$D6="","","{""number"":"&amp;Attendance!$C6&amp;",""name"":"""&amp;Attendance!$D6&amp;""",""position"":"""&amp;'Player Grading'!$D7&amp;""",""availability"":"""&amp;'Team Selection'!$E65&amp;""",""unavailableReason"":"""&amp;'Team Selection'!$F65&amp;""",""trainingAttendancePct"":"&amp;ROUND(N(Attendance!$GC6),4)&amp;",""avgWorkRate"":"&amp;ROUND(N(Attendance!$GD6),2)&amp;",""matchdayAttendancePct"":"&amp;ROUND(N(Attendance!$GH6),4)&amp;",""minutes"":"&amp;N(Attendance!$GI6)&amp;",""avgMinutes"":"&amp;ROUND(N(Attendance!$GJ6),1)&amp;",""avgRating"":"&amp;ROUND(N(Attendance!$GK6),2)&amp;",""motm"":"&amp;N(Attendance!$GM6)&amp;",""seasonScore"":"&amp;ROUND(N(Attendance!$GN6),4)&amp;",""comment"":"""&amp;Attendance!$GR6&amp;""",""toWorkOn"":"""&amp;Attendance!$GS6&amp;""",""sessions"":["&amp;$X21&amp;"],""matches"":["&amp;$Z21&amp;"]}")</f>
        <v>{"number":2,"name":"Stella McEvoy","position":"LB / RB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</v>
      </c>
      <c r="L21" t="str">
        <f>IF(Workings!$AE7="","","{""gw"":"&amp;Workings!$AD7&amp;",""date"":"""&amp;TEXT(Workings!$AE7,"yyyy-mm-dd")&amp;""",""opponent"":"""&amp;Workings!$AF7&amp;""",""venue"":"""&amp;Workings!$AG7&amp;""",""gf"":"&amp;N(Workings!$AH7)&amp;",""ga"":"&amp;N(Workings!$AI7)&amp;",""result"":"""&amp;Workings!$AJ7&amp;"""}")</f>
        <v/>
      </c>
      <c r="N21" t="str" cm="1">
        <f t="array" ref="N21">IF(LEN(INDEX(Attendance!$E$3:$CN$3,1,(2-1)*2+1))=0,"","{""index"":2,""gw"":1,""date"":"""&amp;TEXT(INDEX(Attendance!$E$3:$CN$3,1,(2-1)*2+1),"yyyy-mm-dd")&amp;"""}")</f>
        <v/>
      </c>
      <c r="P21" t="str">
        <f>"{""band"":"""&amp;Workings!$S7&amp;""",""from"":"&amp;Workings!$T7&amp;",""to"":"&amp;Workings!$U7&amp;",""players"":"&amp;Workings!$V7&amp;"}"</f>
        <v>{"band":"Not Ready","from":1.51,"to":2,"players":0}</v>
      </c>
      <c r="R21" t="str">
        <f>IF('Team Selection'!$D26="","","{""slot"":"&amp;'Team Selection'!$B26&amp;",""position"":"""&amp;'Team Selection'!$C26&amp;""",""player"":"""&amp;'Team Selection'!$D26&amp;""",""fitScore"":"&amp;ROUND(N('Team Selection'!$E26),2)&amp;",""seasonScore"":"&amp;ROUND(N('Team Selection'!$F26),4)&amp;",""overallGrade"":"&amp;ROUND(N('Team Selection'!$G26),2)&amp;"}")</f>
        <v>{"slot":2,"position":"RB","player":"Marianna","fitScore":9.78,"seasonScore":0,"overallGrade":8.75}</v>
      </c>
      <c r="T21" t="str">
        <f>IF('Team Selection'!$C41="","","{""player"":"""&amp;'Team Selection'!$C41&amp;""",""position"":"""&amp;'Team Selection'!$D41&amp;""",""overallGrade"":"&amp;ROUND(N('Team Selection'!$E41),2)&amp;",""seasonScore"":"&amp;ROUND(N('Team Selection'!$F41),4)&amp;",""status"":"""&amp;'Team Selection'!$G41&amp;"""}")</f>
        <v>{"player":"Stella McEvoy","position":"LB / RB","overallGrade":8.61,"seasonScore":0,"status":"Available"}</v>
      </c>
      <c r="V21" t="str">
        <f>IF(OR('Team Selection'!$C65="",'Team Selection'!$E65="Yes"),"","{""player"":"""&amp;'Team Selection'!$C65&amp;""",""reason"":"""&amp;'Team Selection'!$F65&amp;"""}")</f>
        <v/>
      </c>
      <c r="X21" t="str" cm="1">
        <f t="array" ref="X21">IF(Attendance!$D6="","",_xlfn.TEXTJOIN(",",TRUE,IF(Attendance!$E$4:$CN$4="Att","["&amp;IF(Attendance!$E6:$CN6="Yes",1,0)&amp;","&amp;IF(Attendance!$F6:$CO6="",0,Attendance!$F6:$CO6)&amp;"]","")))</f>
        <v>[0,0],[0,0],[0,0],[0,0],[0,0],[0,0],[0,0],[0,0],[0,0],[0,0],[0,0],[0,0],[0,0],[0,0],[0,0],[0,0],[0,0],[0,0],[0,0],[0,0],[0,0],[0,0],[0,0],[0,0],[0,0],[0,0],[0,0],[0,0],[0,0],[0,0],[0,0],[0,0],[0,0],[0,0],[0,0],[0,0],[0,0],[0,0],[0,0],[0,0],[0,0],[0,0],[0,0],[0,0]</v>
      </c>
      <c r="Z21" t="str" cm="1">
        <f t="array" ref="Z21">IF(Attendance!$D6="","",_xlfn.TEXTJOIN(",",TRUE,IF(Attendance!$CP$4:$FY$4="Att","["&amp;IF(Attendance!$CP6:$FY6="Yes",1,IF(Attendance!$CP6:$FY6="No",0,-1))&amp;","&amp;IF(Attendance!$CQ6:$FZ6="",0,Attendance!$CQ6:$FZ6)&amp;","&amp;IF(Attendance!$CR6:$GA6="",0,Attendance!$CR6:$GA6)&amp;","&amp;IF(Attendance!$CS6:$GB6="Yes",1,0)&amp;"]","")))</f>
        <v>[-1,0,0,0],[-1,0,0,0],[-1,0,0,0],[-1,0,0,0],[-1,0,0,0],[-1,0,0,0],[-1,0,0,0],[-1,0,0,0],[-1,0,0,0],[-1,0,0,0],[-1,0,0,0],[-1,0,0,0],[-1,0,0,0],[-1,0,0,0],[-1,0,0,0],[-1,0,0,0],[-1,0,0,0],[-1,0,0,0],[-1,0,0,0],[-1,0,0,0],[-1,0,0,0],[-1,0,0,0]</v>
      </c>
      <c r="AB21" t="str" cm="1">
        <f t="array" ref="AB21">IF(AND('Match Day Reports'!$L46="",COUNTIF('Match Day Reports'!$K10:$AD10,"?*")=0),"","{""gw"":"&amp;'Match Day Reports'!$J10&amp;",""xi"":["&amp;_xlfn.TEXTJOIN(",",TRUE,IF('Match Day Reports'!$K10:$U10="","",""""&amp;'Match Day Reports'!$K10:$U10&amp;""""))&amp;"],""subs"":["&amp;_xlfn.TEXTJOIN(",",TRUE,IF('Match Day Reports'!$V10:$AB10="","",""""&amp;'Match Day Reports'!$V10:$AB10&amp;""""))&amp;"],""motm"":"""&amp;IFERROR(INDEX(Attendance!$D$5:$D$24,MATCH("Yes",INDEX(Attendance!$CP$5:$FY$24,0,('Match Day Reports'!$J10-1)*4+4),0)),"")&amp;""",""matchNotes"":"""&amp;SUBSTITUTE(SUBSTITUTE('Match Day Reports'!$AC10,"""","'"),CHAR(10)," ")&amp;""",""keyNotes"":"""&amp;SUBSTITUTE(SUBSTITUTE('Match Day Reports'!$AD10,"""","'"),CHAR(10)," ")&amp;"""}")</f>
        <v/>
      </c>
    </row>
    <row r="22" spans="10:28" x14ac:dyDescent="0.45">
      <c r="J22" t="str">
        <f>IF(Attendance!$D7="","","{""number"":"&amp;Attendance!$C7&amp;",""name"":"""&amp;Attendance!$D7&amp;""",""position"":"""&amp;'Player Grading'!$D8&amp;""",""availability"":"""&amp;'Team Selection'!$E66&amp;""",""unavailableReason"":"""&amp;'Team Selection'!$F66&amp;""",""trainingAttendancePct"":"&amp;ROUND(N(Attendance!$GC7),4)&amp;",""avgWorkRate"":"&amp;ROUND(N(Attendance!$GD7),2)&amp;",""matchdayAttendancePct"":"&amp;ROUND(N(Attendance!$GH7),4)&amp;",""minutes"":"&amp;N(Attendance!$GI7)&amp;",""avgMinutes"":"&amp;ROUND(N(Attendance!$GJ7),1)&amp;",""avgRating"":"&amp;ROUND(N(Attendance!$GK7),2)&amp;",""motm"":"&amp;N(Attendance!$GM7)&amp;",""seasonScore"":"&amp;ROUND(N(Attendance!$GN7),4)&amp;",""comment"":"""&amp;Attendance!$GR7&amp;""",""toWorkOn"":"""&amp;Attendance!$GS7&amp;""",""sessions"":["&amp;$X22&amp;"],""matches"":["&amp;$Z22&amp;"]}")</f>
        <v>{"number":3,"name":"Zara Power","position":"RB","availability":"No","unavailableReason":"Injured - Ankle injury out for 10 weeks (back 2 Oct)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</v>
      </c>
      <c r="L22" t="str">
        <f>IF(Workings!$AE8="","","{""gw"":"&amp;Workings!$AD8&amp;",""date"":"""&amp;TEXT(Workings!$AE8,"yyyy-mm-dd")&amp;""",""opponent"":"""&amp;Workings!$AF8&amp;""",""venue"":"""&amp;Workings!$AG8&amp;""",""gf"":"&amp;N(Workings!$AH8)&amp;",""ga"":"&amp;N(Workings!$AI8)&amp;",""result"":"""&amp;Workings!$AJ8&amp;"""}")</f>
        <v/>
      </c>
      <c r="N22" t="str" cm="1">
        <f t="array" ref="N22">IF(LEN(INDEX(Attendance!$E$3:$CN$3,1,(3-1)*2+1))=0,"","{""index"":3,""gw"":2,""date"":"""&amp;TEXT(INDEX(Attendance!$E$3:$CN$3,1,(3-1)*2+1),"yyyy-mm-dd")&amp;"""}")</f>
        <v/>
      </c>
      <c r="P22" t="str">
        <f>"{""band"":"""&amp;Workings!$S8&amp;""",""from"":"&amp;Workings!$T8&amp;",""to"":"&amp;Workings!$U8&amp;",""players"":"&amp;Workings!$V8&amp;"}"</f>
        <v>{"band":"Improving","from":2.01,"to":2.5,"players":0}</v>
      </c>
      <c r="R22" t="str">
        <f>IF('Team Selection'!$D27="","","{""slot"":"&amp;'Team Selection'!$B27&amp;",""position"":"""&amp;'Team Selection'!$C27&amp;""",""player"":"""&amp;'Team Selection'!$D27&amp;""",""fitScore"":"&amp;ROUND(N('Team Selection'!$E27),2)&amp;",""seasonScore"":"&amp;ROUND(N('Team Selection'!$F27),4)&amp;",""overallGrade"":"&amp;ROUND(N('Team Selection'!$G27),2)&amp;"}")</f>
        <v>{"slot":3,"position":"CB","player":"Emma Kelly","fitScore":12.78,"seasonScore":0,"overallGrade":11.18}</v>
      </c>
      <c r="T22" t="str">
        <f>IF('Team Selection'!$C42="","","{""player"":"""&amp;'Team Selection'!$C42&amp;""",""position"":"""&amp;'Team Selection'!$D42&amp;""",""overallGrade"":"&amp;ROUND(N('Team Selection'!$E42),2)&amp;",""seasonScore"":"&amp;ROUND(N('Team Selection'!$F42),4)&amp;",""status"":"""&amp;'Team Selection'!$G42&amp;"""}")</f>
        <v>{"player":"Zara Power","position":"RB","overallGrade":8.65,"seasonScore":0,"status":"Unavailable — Injured - Ankle injury out for 10 weeks (back 2 Oct)"}</v>
      </c>
      <c r="V22" t="str">
        <f>IF(OR('Team Selection'!$C66="",'Team Selection'!$E66="Yes"),"","{""player"":"""&amp;'Team Selection'!$C66&amp;""",""reason"":"""&amp;'Team Selection'!$F66&amp;"""}")</f>
        <v>{"player":"Zara Power","reason":"Injured - Ankle injury out for 10 weeks (back 2 Oct)"}</v>
      </c>
      <c r="X22" t="str" cm="1">
        <f t="array" ref="X22">IF(Attendance!$D7="","",_xlfn.TEXTJOIN(",",TRUE,IF(Attendance!$E$4:$CN$4="Att","["&amp;IF(Attendance!$E7:$CN7="Yes",1,0)&amp;","&amp;IF(Attendance!$F7:$CO7="",0,Attendance!$F7:$CO7)&amp;"]","")))</f>
        <v>[0,0],[0,0],[0,0],[0,0],[0,0],[0,0],[0,0],[0,0],[0,0],[0,0],[0,0],[0,0],[0,0],[0,0],[0,0],[0,0],[0,0],[0,0],[0,0],[0,0],[0,0],[0,0],[0,0],[0,0],[0,0],[0,0],[0,0],[0,0],[0,0],[0,0],[0,0],[0,0],[0,0],[0,0],[0,0],[0,0],[0,0],[0,0],[0,0],[0,0],[0,0],[0,0],[0,0],[0,0]</v>
      </c>
      <c r="Z22" t="str" cm="1">
        <f t="array" ref="Z22">IF(Attendance!$D7="","",_xlfn.TEXTJOIN(",",TRUE,IF(Attendance!$CP$4:$FY$4="Att","["&amp;IF(Attendance!$CP7:$FY7="Yes",1,IF(Attendance!$CP7:$FY7="No",0,-1))&amp;","&amp;IF(Attendance!$CQ7:$FZ7="",0,Attendance!$CQ7:$FZ7)&amp;","&amp;IF(Attendance!$CR7:$GA7="",0,Attendance!$CR7:$GA7)&amp;","&amp;IF(Attendance!$CS7:$GB7="Yes",1,0)&amp;"]","")))</f>
        <v>[-1,0,0,0],[-1,0,0,0],[-1,0,0,0],[-1,0,0,0],[-1,0,0,0],[-1,0,0,0],[-1,0,0,0],[-1,0,0,0],[-1,0,0,0],[-1,0,0,0],[-1,0,0,0],[-1,0,0,0],[-1,0,0,0],[-1,0,0,0],[-1,0,0,0],[-1,0,0,0],[-1,0,0,0],[-1,0,0,0],[-1,0,0,0],[-1,0,0,0],[-1,0,0,0],[-1,0,0,0]</v>
      </c>
      <c r="AB22" t="str" cm="1">
        <f t="array" ref="AB22">IF(AND('Match Day Reports'!$L47="",COUNTIF('Match Day Reports'!$K11:$AD11,"?*")=0),"","{""gw"":"&amp;'Match Day Reports'!$J11&amp;",""xi"":["&amp;_xlfn.TEXTJOIN(",",TRUE,IF('Match Day Reports'!$K11:$U11="","",""""&amp;'Match Day Reports'!$K11:$U11&amp;""""))&amp;"],""subs"":["&amp;_xlfn.TEXTJOIN(",",TRUE,IF('Match Day Reports'!$V11:$AB11="","",""""&amp;'Match Day Reports'!$V11:$AB11&amp;""""))&amp;"],""motm"":"""&amp;IFERROR(INDEX(Attendance!$D$5:$D$24,MATCH("Yes",INDEX(Attendance!$CP$5:$FY$24,0,('Match Day Reports'!$J11-1)*4+4),0)),"")&amp;""",""matchNotes"":"""&amp;SUBSTITUTE(SUBSTITUTE('Match Day Reports'!$AC11,"""","'"),CHAR(10)," ")&amp;""",""keyNotes"":"""&amp;SUBSTITUTE(SUBSTITUTE('Match Day Reports'!$AD11,"""","'"),CHAR(10)," ")&amp;"""}")</f>
        <v/>
      </c>
    </row>
    <row r="23" spans="10:28" x14ac:dyDescent="0.45">
      <c r="J23" t="str">
        <f>IF(Attendance!$D8="","","{""number"":"&amp;Attendance!$C8&amp;",""name"":"""&amp;Attendance!$D8&amp;""",""position"":"""&amp;'Player Grading'!$D9&amp;""",""availability"":"""&amp;'Team Selection'!$E67&amp;""",""unavailableReason"":"""&amp;'Team Selection'!$F67&amp;""",""trainingAttendancePct"":"&amp;ROUND(N(Attendance!$GC8),4)&amp;",""avgWorkRate"":"&amp;ROUND(N(Attendance!$GD8),2)&amp;",""matchdayAttendancePct"":"&amp;ROUND(N(Attendance!$GH8),4)&amp;",""minutes"":"&amp;N(Attendance!$GI8)&amp;",""avgMinutes"":"&amp;ROUND(N(Attendance!$GJ8),1)&amp;",""avgRating"":"&amp;ROUND(N(Attendance!$GK8),2)&amp;",""motm"":"&amp;N(Attendance!$GM8)&amp;",""seasonScore"":"&amp;ROUND(N(Attendance!$GN8),4)&amp;",""comment"":"""&amp;Attendance!$GR8&amp;""",""toWorkOn"":"""&amp;Attendance!$GS8&amp;""",""sessions"":["&amp;$X23&amp;"],""matches"":["&amp;$Z23&amp;"]}")</f>
        <v>{"number":4,"name":"Heidi Cerubini Dunne","position":"LB / RB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</v>
      </c>
      <c r="L23" t="str">
        <f>IF(Workings!$AE9="","","{""gw"":"&amp;Workings!$AD9&amp;",""date"":"""&amp;TEXT(Workings!$AE9,"yyyy-mm-dd")&amp;""",""opponent"":"""&amp;Workings!$AF9&amp;""",""venue"":"""&amp;Workings!$AG9&amp;""",""gf"":"&amp;N(Workings!$AH9)&amp;",""ga"":"&amp;N(Workings!$AI9)&amp;",""result"":"""&amp;Workings!$AJ9&amp;"""}")</f>
        <v/>
      </c>
      <c r="N23" t="str" cm="1">
        <f t="array" ref="N23">IF(LEN(INDEX(Attendance!$E$3:$CN$3,1,(4-1)*2+1))=0,"","{""index"":4,""gw"":2,""date"":"""&amp;TEXT(INDEX(Attendance!$E$3:$CN$3,1,(4-1)*2+1),"yyyy-mm-dd")&amp;"""}")</f>
        <v/>
      </c>
      <c r="P23" t="str">
        <f>"{""band"":"""&amp;Workings!$S9&amp;""",""from"":"&amp;Workings!$T9&amp;",""to"":"&amp;Workings!$U9&amp;",""players"":"&amp;Workings!$V9&amp;"}"</f>
        <v>{"band":"Nearly Ready","from":2.51,"to":3,"players":0}</v>
      </c>
      <c r="R23" t="str">
        <f>IF('Team Selection'!$D28="","","{""slot"":"&amp;'Team Selection'!$B28&amp;",""position"":"""&amp;'Team Selection'!$C28&amp;""",""player"":"""&amp;'Team Selection'!$D28&amp;""",""fitScore"":"&amp;ROUND(N('Team Selection'!$E28),2)&amp;",""seasonScore"":"&amp;ROUND(N('Team Selection'!$F28),4)&amp;",""overallGrade"":"&amp;ROUND(N('Team Selection'!$G28),2)&amp;"}")</f>
        <v>{"slot":4,"position":"CB","player":"Semilore Adesanya","fitScore":12.2,"seasonScore":0,"overallGrade":10.48}</v>
      </c>
      <c r="T23" t="str">
        <f>IF('Team Selection'!$C43="","","{""player"":"""&amp;'Team Selection'!$C43&amp;""",""position"":"""&amp;'Team Selection'!$D43&amp;""",""overallGrade"":"&amp;ROUND(N('Team Selection'!$E43),2)&amp;",""seasonScore"":"&amp;ROUND(N('Team Selection'!$F43),4)&amp;",""status"":"""&amp;'Team Selection'!$G43&amp;"""}")</f>
        <v>{"player":"Heidi Cerubini Dunne","position":"LB / RB","overallGrade":4.19,"seasonScore":0,"status":"Available"}</v>
      </c>
      <c r="V23" t="str">
        <f>IF(OR('Team Selection'!$C67="",'Team Selection'!$E67="Yes"),"","{""player"":"""&amp;'Team Selection'!$C67&amp;""",""reason"":"""&amp;'Team Selection'!$F67&amp;"""}")</f>
        <v/>
      </c>
      <c r="X23" t="str" cm="1">
        <f t="array" ref="X23">IF(Attendance!$D8="","",_xlfn.TEXTJOIN(",",TRUE,IF(Attendance!$E$4:$CN$4="Att","["&amp;IF(Attendance!$E8:$CN8="Yes",1,0)&amp;","&amp;IF(Attendance!$F8:$CO8="",0,Attendance!$F8:$CO8)&amp;"]","")))</f>
        <v>[0,0],[0,0],[0,0],[0,0],[0,0],[0,0],[0,0],[0,0],[0,0],[0,0],[0,0],[0,0],[0,0],[0,0],[0,0],[0,0],[0,0],[0,0],[0,0],[0,0],[0,0],[0,0],[0,0],[0,0],[0,0],[0,0],[0,0],[0,0],[0,0],[0,0],[0,0],[0,0],[0,0],[0,0],[0,0],[0,0],[0,0],[0,0],[0,0],[0,0],[0,0],[0,0],[0,0],[0,0]</v>
      </c>
      <c r="Z23" t="str" cm="1">
        <f t="array" ref="Z23">IF(Attendance!$D8="","",_xlfn.TEXTJOIN(",",TRUE,IF(Attendance!$CP$4:$FY$4="Att","["&amp;IF(Attendance!$CP8:$FY8="Yes",1,IF(Attendance!$CP8:$FY8="No",0,-1))&amp;","&amp;IF(Attendance!$CQ8:$FZ8="",0,Attendance!$CQ8:$FZ8)&amp;","&amp;IF(Attendance!$CR8:$GA8="",0,Attendance!$CR8:$GA8)&amp;","&amp;IF(Attendance!$CS8:$GB8="Yes",1,0)&amp;"]","")))</f>
        <v>[-1,0,0,0],[-1,0,0,0],[-1,0,0,0],[-1,0,0,0],[-1,0,0,0],[-1,0,0,0],[-1,0,0,0],[-1,0,0,0],[-1,0,0,0],[-1,0,0,0],[-1,0,0,0],[-1,0,0,0],[-1,0,0,0],[-1,0,0,0],[-1,0,0,0],[-1,0,0,0],[-1,0,0,0],[-1,0,0,0],[-1,0,0,0],[-1,0,0,0],[-1,0,0,0],[-1,0,0,0]</v>
      </c>
      <c r="AB23" t="str" cm="1">
        <f t="array" ref="AB23">IF(AND('Match Day Reports'!$L48="",COUNTIF('Match Day Reports'!$K12:$AD12,"?*")=0),"","{""gw"":"&amp;'Match Day Reports'!$J12&amp;",""xi"":["&amp;_xlfn.TEXTJOIN(",",TRUE,IF('Match Day Reports'!$K12:$U12="","",""""&amp;'Match Day Reports'!$K12:$U12&amp;""""))&amp;"],""subs"":["&amp;_xlfn.TEXTJOIN(",",TRUE,IF('Match Day Reports'!$V12:$AB12="","",""""&amp;'Match Day Reports'!$V12:$AB12&amp;""""))&amp;"],""motm"":"""&amp;IFERROR(INDEX(Attendance!$D$5:$D$24,MATCH("Yes",INDEX(Attendance!$CP$5:$FY$24,0,('Match Day Reports'!$J12-1)*4+4),0)),"")&amp;""",""matchNotes"":"""&amp;SUBSTITUTE(SUBSTITUTE('Match Day Reports'!$AC12,"""","'"),CHAR(10)," ")&amp;""",""keyNotes"":"""&amp;SUBSTITUTE(SUBSTITUTE('Match Day Reports'!$AD12,"""","'"),CHAR(10)," ")&amp;"""}")</f>
        <v/>
      </c>
    </row>
    <row r="24" spans="10:28" x14ac:dyDescent="0.45">
      <c r="J24" t="str">
        <f>IF(Attendance!$D9="","","{""number"":"&amp;Attendance!$C9&amp;",""name"":"""&amp;Attendance!$D9&amp;""",""position"":"""&amp;'Player Grading'!$D10&amp;""",""availability"":"""&amp;'Team Selection'!$E68&amp;""",""unavailableReason"":"""&amp;'Team Selection'!$F68&amp;""",""trainingAttendancePct"":"&amp;ROUND(N(Attendance!$GC9),4)&amp;",""avgWorkRate"":"&amp;ROUND(N(Attendance!$GD9),2)&amp;",""matchdayAttendancePct"":"&amp;ROUND(N(Attendance!$GH9),4)&amp;",""minutes"":"&amp;N(Attendance!$GI9)&amp;",""avgMinutes"":"&amp;ROUND(N(Attendance!$GJ9),1)&amp;",""avgRating"":"&amp;ROUND(N(Attendance!$GK9),2)&amp;",""motm"":"&amp;N(Attendance!$GM9)&amp;",""seasonScore"":"&amp;ROUND(N(Attendance!$GN9),4)&amp;",""comment"":"""&amp;Attendance!$GR9&amp;""",""toWorkOn"":"""&amp;Attendance!$GS9&amp;""",""sessions"":["&amp;$X24&amp;"],""matches"":["&amp;$Z24&amp;"]}")</f>
        <v>{"number":5,"name":"Roisin Offenhausen","position":"RW / ACM / ST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</v>
      </c>
      <c r="L24" t="str">
        <f>IF(Workings!$AE10="","","{""gw"":"&amp;Workings!$AD10&amp;",""date"":"""&amp;TEXT(Workings!$AE10,"yyyy-mm-dd")&amp;""",""opponent"":"""&amp;Workings!$AF10&amp;""",""venue"":"""&amp;Workings!$AG10&amp;""",""gf"":"&amp;N(Workings!$AH10)&amp;",""ga"":"&amp;N(Workings!$AI10)&amp;",""result"":"""&amp;Workings!$AJ10&amp;"""}")</f>
        <v/>
      </c>
      <c r="N24" t="str" cm="1">
        <f t="array" ref="N24">IF(LEN(INDEX(Attendance!$E$3:$CN$3,1,(5-1)*2+1))=0,"","{""index"":5,""gw"":3,""date"":"""&amp;TEXT(INDEX(Attendance!$E$3:$CN$3,1,(5-1)*2+1),"yyyy-mm-dd")&amp;"""}")</f>
        <v/>
      </c>
      <c r="P24" t="str">
        <f>"{""band"":"""&amp;Workings!$S10&amp;""",""from"":"&amp;Workings!$T10&amp;",""to"":"&amp;Workings!$U10&amp;",""players"":"&amp;Workings!$V10&amp;"}"</f>
        <v>{"band":"Not Ready for 90 min","from":3.01,"to":3.49,"players":0}</v>
      </c>
      <c r="R24" t="str">
        <f>IF('Team Selection'!$D29="","","{""slot"":"&amp;'Team Selection'!$B29&amp;",""position"":"""&amp;'Team Selection'!$C29&amp;""",""player"":"""&amp;'Team Selection'!$D29&amp;""",""fitScore"":"&amp;ROUND(N('Team Selection'!$E29),2)&amp;",""seasonScore"":"&amp;ROUND(N('Team Selection'!$F29),4)&amp;",""overallGrade"":"&amp;ROUND(N('Team Selection'!$G29),2)&amp;"}")</f>
        <v>{"slot":5,"position":"LB","player":"Hannah Fleming","fitScore":10.49,"seasonScore":0,"overallGrade":10.1}</v>
      </c>
      <c r="T24" t="str">
        <f>IF('Team Selection'!$C44="","","{""player"":"""&amp;'Team Selection'!$C44&amp;""",""position"":"""&amp;'Team Selection'!$D44&amp;""",""overallGrade"":"&amp;ROUND(N('Team Selection'!$E44),2)&amp;",""seasonScore"":"&amp;ROUND(N('Team Selection'!$F44),4)&amp;",""status"":"""&amp;'Team Selection'!$G44&amp;"""}")</f>
        <v>{"player":"Naomi Adewoyin","position":"ACM","overallGrade":9.55,"seasonScore":0,"status":"Available"}</v>
      </c>
      <c r="V24" t="str">
        <f>IF(OR('Team Selection'!$C68="",'Team Selection'!$E68="Yes"),"","{""player"":"""&amp;'Team Selection'!$C68&amp;""",""reason"":"""&amp;'Team Selection'!$F68&amp;"""}")</f>
        <v/>
      </c>
      <c r="X24" t="str" cm="1">
        <f t="array" ref="X24">IF(Attendance!$D9="","",_xlfn.TEXTJOIN(",",TRUE,IF(Attendance!$E$4:$CN$4="Att","["&amp;IF(Attendance!$E9:$CN9="Yes",1,0)&amp;","&amp;IF(Attendance!$F9:$CO9="",0,Attendance!$F9:$CO9)&amp;"]","")))</f>
        <v>[0,0],[0,0],[0,0],[0,0],[0,0],[0,0],[0,0],[0,0],[0,0],[0,0],[0,0],[0,0],[0,0],[0,0],[0,0],[0,0],[0,0],[0,0],[0,0],[0,0],[0,0],[0,0],[0,0],[0,0],[0,0],[0,0],[0,0],[0,0],[0,0],[0,0],[0,0],[0,0],[0,0],[0,0],[0,0],[0,0],[0,0],[0,0],[0,0],[0,0],[0,0],[0,0],[0,0],[0,0]</v>
      </c>
      <c r="Z24" t="str" cm="1">
        <f t="array" ref="Z24">IF(Attendance!$D9="","",_xlfn.TEXTJOIN(",",TRUE,IF(Attendance!$CP$4:$FY$4="Att","["&amp;IF(Attendance!$CP9:$FY9="Yes",1,IF(Attendance!$CP9:$FY9="No",0,-1))&amp;","&amp;IF(Attendance!$CQ9:$FZ9="",0,Attendance!$CQ9:$FZ9)&amp;","&amp;IF(Attendance!$CR9:$GA9="",0,Attendance!$CR9:$GA9)&amp;","&amp;IF(Attendance!$CS9:$GB9="Yes",1,0)&amp;"]","")))</f>
        <v>[-1,0,0,0],[-1,0,0,0],[-1,0,0,0],[-1,0,0,0],[-1,0,0,0],[-1,0,0,0],[-1,0,0,0],[-1,0,0,0],[-1,0,0,0],[-1,0,0,0],[-1,0,0,0],[-1,0,0,0],[-1,0,0,0],[-1,0,0,0],[-1,0,0,0],[-1,0,0,0],[-1,0,0,0],[-1,0,0,0],[-1,0,0,0],[-1,0,0,0],[-1,0,0,0],[-1,0,0,0]</v>
      </c>
      <c r="AB24" t="str" cm="1">
        <f t="array" ref="AB24">IF(AND('Match Day Reports'!$L49="",COUNTIF('Match Day Reports'!$K13:$AD13,"?*")=0),"","{""gw"":"&amp;'Match Day Reports'!$J13&amp;",""xi"":["&amp;_xlfn.TEXTJOIN(",",TRUE,IF('Match Day Reports'!$K13:$U13="","",""""&amp;'Match Day Reports'!$K13:$U13&amp;""""))&amp;"],""subs"":["&amp;_xlfn.TEXTJOIN(",",TRUE,IF('Match Day Reports'!$V13:$AB13="","",""""&amp;'Match Day Reports'!$V13:$AB13&amp;""""))&amp;"],""motm"":"""&amp;IFERROR(INDEX(Attendance!$D$5:$D$24,MATCH("Yes",INDEX(Attendance!$CP$5:$FY$24,0,('Match Day Reports'!$J13-1)*4+4),0)),"")&amp;""",""matchNotes"":"""&amp;SUBSTITUTE(SUBSTITUTE('Match Day Reports'!$AC13,"""","'"),CHAR(10)," ")&amp;""",""keyNotes"":"""&amp;SUBSTITUTE(SUBSTITUTE('Match Day Reports'!$AD13,"""","'"),CHAR(10)," ")&amp;"""}")</f>
        <v/>
      </c>
    </row>
    <row r="25" spans="10:28" x14ac:dyDescent="0.45">
      <c r="J25" t="str">
        <f>IF(Attendance!$D10="","","{""number"":"&amp;Attendance!$C10&amp;",""name"":"""&amp;Attendance!$D10&amp;""",""position"":"""&amp;'Player Grading'!$D11&amp;""",""availability"":"""&amp;'Team Selection'!$E69&amp;""",""unavailableReason"":"""&amp;'Team Selection'!$F69&amp;""",""trainingAttendancePct"":"&amp;ROUND(N(Attendance!$GC10),4)&amp;",""avgWorkRate"":"&amp;ROUND(N(Attendance!$GD10),2)&amp;",""matchdayAttendancePct"":"&amp;ROUND(N(Attendance!$GH10),4)&amp;",""minutes"":"&amp;N(Attendance!$GI10)&amp;",""avgMinutes"":"&amp;ROUND(N(Attendance!$GJ10),1)&amp;",""avgRating"":"&amp;ROUND(N(Attendance!$GK10),2)&amp;",""motm"":"&amp;N(Attendance!$GM10)&amp;",""seasonScore"":"&amp;ROUND(N(Attendance!$GN10),4)&amp;",""comment"":"""&amp;Attendance!$GR10&amp;""",""toWorkOn"":"""&amp;Attendance!$GS10&amp;""",""sessions"":["&amp;$X25&amp;"],""matches"":["&amp;$Z25&amp;"]}")</f>
        <v>{"number":6,"name":"Naomi Adewoyin","position":"ACM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</v>
      </c>
      <c r="L25" t="str">
        <f>IF(Workings!$AE11="","","{""gw"":"&amp;Workings!$AD11&amp;",""date"":"""&amp;TEXT(Workings!$AE11,"yyyy-mm-dd")&amp;""",""opponent"":"""&amp;Workings!$AF11&amp;""",""venue"":"""&amp;Workings!$AG11&amp;""",""gf"":"&amp;N(Workings!$AH11)&amp;",""ga"":"&amp;N(Workings!$AI11)&amp;",""result"":"""&amp;Workings!$AJ11&amp;"""}")</f>
        <v/>
      </c>
      <c r="N25" t="str" cm="1">
        <f t="array" ref="N25">IF(LEN(INDEX(Attendance!$E$3:$CN$3,1,(6-1)*2+1))=0,"","{""index"":6,""gw"":3,""date"":"""&amp;TEXT(INDEX(Attendance!$E$3:$CN$3,1,(6-1)*2+1),"yyyy-mm-dd")&amp;"""}")</f>
        <v/>
      </c>
      <c r="P25" t="str">
        <f>"{""band"":"""&amp;Workings!$S11&amp;""",""from"":"&amp;Workings!$T11&amp;",""to"":"&amp;Workings!$U11&amp;",""players"":"&amp;Workings!$V11&amp;"}"</f>
        <v>{"band":"Match Ready","from":3.5,"to":5,"players":0}</v>
      </c>
      <c r="R25" t="str">
        <f>IF('Team Selection'!$D30="","","{""slot"":"&amp;'Team Selection'!$B30&amp;",""position"":"""&amp;'Team Selection'!$C30&amp;""",""player"":"""&amp;'Team Selection'!$D30&amp;""",""fitScore"":"&amp;ROUND(N('Team Selection'!$E30),2)&amp;",""seasonScore"":"&amp;ROUND(N('Team Selection'!$F30),4)&amp;",""overallGrade"":"&amp;ROUND(N('Team Selection'!$G30),2)&amp;"}")</f>
        <v>{"slot":6,"position":"DM","player":"Roma Memon","fitScore":8.98,"seasonScore":0,"overallGrade":7.81}</v>
      </c>
      <c r="T25" t="str">
        <f>IF('Team Selection'!$C45="","","{""player"":"""&amp;'Team Selection'!$C45&amp;""",""position"":"""&amp;'Team Selection'!$D45&amp;""",""overallGrade"":"&amp;ROUND(N('Team Selection'!$E45),2)&amp;",""seasonScore"":"&amp;ROUND(N('Team Selection'!$F45),4)&amp;",""status"":"""&amp;'Team Selection'!$G45&amp;"""}")</f>
        <v>{"player":"Shauna Kavanagh","position":"ST / RW","overallGrade":7.93,"seasonScore":0,"status":"Available"}</v>
      </c>
      <c r="V25" t="str">
        <f>IF(OR('Team Selection'!$C69="",'Team Selection'!$E69="Yes"),"","{""player"":"""&amp;'Team Selection'!$C69&amp;""",""reason"":"""&amp;'Team Selection'!$F69&amp;"""}")</f>
        <v/>
      </c>
      <c r="X25" t="str" cm="1">
        <f t="array" ref="X25">IF(Attendance!$D10="","",_xlfn.TEXTJOIN(",",TRUE,IF(Attendance!$E$4:$CN$4="Att","["&amp;IF(Attendance!$E10:$CN10="Yes",1,0)&amp;","&amp;IF(Attendance!$F10:$CO10="",0,Attendance!$F10:$CO10)&amp;"]","")))</f>
        <v>[0,0],[0,0],[0,0],[0,0],[0,0],[0,0],[0,0],[0,0],[0,0],[0,0],[0,0],[0,0],[0,0],[0,0],[0,0],[0,0],[0,0],[0,0],[0,0],[0,0],[0,0],[0,0],[0,0],[0,0],[0,0],[0,0],[0,0],[0,0],[0,0],[0,0],[0,0],[0,0],[0,0],[0,0],[0,0],[0,0],[0,0],[0,0],[0,0],[0,0],[0,0],[0,0],[0,0],[0,0]</v>
      </c>
      <c r="Z25" t="str" cm="1">
        <f t="array" ref="Z25">IF(Attendance!$D10="","",_xlfn.TEXTJOIN(",",TRUE,IF(Attendance!$CP$4:$FY$4="Att","["&amp;IF(Attendance!$CP10:$FY10="Yes",1,IF(Attendance!$CP10:$FY10="No",0,-1))&amp;","&amp;IF(Attendance!$CQ10:$FZ10="",0,Attendance!$CQ10:$FZ10)&amp;","&amp;IF(Attendance!$CR10:$GA10="",0,Attendance!$CR10:$GA10)&amp;","&amp;IF(Attendance!$CS10:$GB10="Yes",1,0)&amp;"]","")))</f>
        <v>[-1,0,0,0],[-1,0,0,0],[-1,0,0,0],[-1,0,0,0],[-1,0,0,0],[-1,0,0,0],[-1,0,0,0],[-1,0,0,0],[-1,0,0,0],[-1,0,0,0],[-1,0,0,0],[-1,0,0,0],[-1,0,0,0],[-1,0,0,0],[-1,0,0,0],[-1,0,0,0],[-1,0,0,0],[-1,0,0,0],[-1,0,0,0],[-1,0,0,0],[-1,0,0,0],[-1,0,0,0]</v>
      </c>
      <c r="AB25" t="str" cm="1">
        <f t="array" ref="AB25">IF(AND('Match Day Reports'!$L50="",COUNTIF('Match Day Reports'!$K14:$AD14,"?*")=0),"","{""gw"":"&amp;'Match Day Reports'!$J14&amp;",""xi"":["&amp;_xlfn.TEXTJOIN(",",TRUE,IF('Match Day Reports'!$K14:$U14="","",""""&amp;'Match Day Reports'!$K14:$U14&amp;""""))&amp;"],""subs"":["&amp;_xlfn.TEXTJOIN(",",TRUE,IF('Match Day Reports'!$V14:$AB14="","",""""&amp;'Match Day Reports'!$V14:$AB14&amp;""""))&amp;"],""motm"":"""&amp;IFERROR(INDEX(Attendance!$D$5:$D$24,MATCH("Yes",INDEX(Attendance!$CP$5:$FY$24,0,('Match Day Reports'!$J14-1)*4+4),0)),"")&amp;""",""matchNotes"":"""&amp;SUBSTITUTE(SUBSTITUTE('Match Day Reports'!$AC14,"""","'"),CHAR(10)," ")&amp;""",""keyNotes"":"""&amp;SUBSTITUTE(SUBSTITUTE('Match Day Reports'!$AD14,"""","'"),CHAR(10)," ")&amp;"""}")</f>
        <v/>
      </c>
    </row>
    <row r="26" spans="10:28" x14ac:dyDescent="0.45">
      <c r="J26" t="str">
        <f>IF(Attendance!$D11="","","{""number"":"&amp;Attendance!$C11&amp;",""name"":"""&amp;Attendance!$D11&amp;""",""position"":"""&amp;'Player Grading'!$D12&amp;""",""availability"":"""&amp;'Team Selection'!$E70&amp;""",""unavailableReason"":"""&amp;'Team Selection'!$F70&amp;""",""trainingAttendancePct"":"&amp;ROUND(N(Attendance!$GC11),4)&amp;",""avgWorkRate"":"&amp;ROUND(N(Attendance!$GD11),2)&amp;",""matchdayAttendancePct"":"&amp;ROUND(N(Attendance!$GH11),4)&amp;",""minutes"":"&amp;N(Attendance!$GI11)&amp;",""avgMinutes"":"&amp;ROUND(N(Attendance!$GJ11),1)&amp;",""avgRating"":"&amp;ROUND(N(Attendance!$GK11),2)&amp;",""motm"":"&amp;N(Attendance!$GM11)&amp;",""seasonScore"":"&amp;ROUND(N(Attendance!$GN11),4)&amp;",""comment"":"""&amp;Attendance!$GR11&amp;""",""toWorkOn"":"""&amp;Attendance!$GS11&amp;""",""sessions"":["&amp;$X26&amp;"],""matches"":["&amp;$Z26&amp;"]}")</f>
        <v>{"number":7,"name":"Amber Kilalee","position":"LW / ST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</v>
      </c>
      <c r="L26" t="str">
        <f>IF(Workings!$AE12="","","{""gw"":"&amp;Workings!$AD12&amp;",""date"":"""&amp;TEXT(Workings!$AE12,"yyyy-mm-dd")&amp;""",""opponent"":"""&amp;Workings!$AF12&amp;""",""venue"":"""&amp;Workings!$AG12&amp;""",""gf"":"&amp;N(Workings!$AH12)&amp;",""ga"":"&amp;N(Workings!$AI12)&amp;",""result"":"""&amp;Workings!$AJ12&amp;"""}")</f>
        <v/>
      </c>
      <c r="N26" t="str" cm="1">
        <f t="array" ref="N26">IF(LEN(INDEX(Attendance!$E$3:$CN$3,1,(7-1)*2+1))=0,"","{""index"":7,""gw"":4,""date"":"""&amp;TEXT(INDEX(Attendance!$E$3:$CN$3,1,(7-1)*2+1),"yyyy-mm-dd")&amp;"""}")</f>
        <v/>
      </c>
      <c r="R26" t="str">
        <f>IF('Team Selection'!$D31="","","{""slot"":"&amp;'Team Selection'!$B31&amp;",""position"":"""&amp;'Team Selection'!$C31&amp;""",""player"":"""&amp;'Team Selection'!$D31&amp;""",""fitScore"":"&amp;ROUND(N('Team Selection'!$E31),2)&amp;",""seasonScore"":"&amp;ROUND(N('Team Selection'!$F31),4)&amp;",""overallGrade"":"&amp;ROUND(N('Team Selection'!$G31),2)&amp;"}")</f>
        <v/>
      </c>
      <c r="T26" t="str">
        <f>IF('Team Selection'!$C46="","","{""player"":"""&amp;'Team Selection'!$C46&amp;""",""position"":"""&amp;'Team Selection'!$D46&amp;""",""overallGrade"":"&amp;ROUND(N('Team Selection'!$E46),2)&amp;",""seasonScore"":"&amp;ROUND(N('Team Selection'!$F46),4)&amp;",""status"":"""&amp;'Team Selection'!$G46&amp;"""}")</f>
        <v>{"player":"Tara Brannigan","position":"DM / CM","overallGrade":10.67,"seasonScore":0,"status":"Unavailable — Absent"}</v>
      </c>
      <c r="V26" t="str">
        <f>IF(OR('Team Selection'!$C70="",'Team Selection'!$E70="Yes"),"","{""player"":"""&amp;'Team Selection'!$C70&amp;""",""reason"":"""&amp;'Team Selection'!$F70&amp;"""}")</f>
        <v/>
      </c>
      <c r="X26" t="str" cm="1">
        <f t="array" ref="X26">IF(Attendance!$D11="","",_xlfn.TEXTJOIN(",",TRUE,IF(Attendance!$E$4:$CN$4="Att","["&amp;IF(Attendance!$E11:$CN11="Yes",1,0)&amp;","&amp;IF(Attendance!$F11:$CO11="",0,Attendance!$F11:$CO11)&amp;"]","")))</f>
        <v>[0,0],[0,0],[0,0],[0,0],[0,0],[0,0],[0,0],[0,0],[0,0],[0,0],[0,0],[0,0],[0,0],[0,0],[0,0],[0,0],[0,0],[0,0],[0,0],[0,0],[0,0],[0,0],[0,0],[0,0],[0,0],[0,0],[0,0],[0,0],[0,0],[0,0],[0,0],[0,0],[0,0],[0,0],[0,0],[0,0],[0,0],[0,0],[0,0],[0,0],[0,0],[0,0],[0,0],[0,0]</v>
      </c>
      <c r="Z26" t="str" cm="1">
        <f t="array" ref="Z26">IF(Attendance!$D11="","",_xlfn.TEXTJOIN(",",TRUE,IF(Attendance!$CP$4:$FY$4="Att","["&amp;IF(Attendance!$CP11:$FY11="Yes",1,IF(Attendance!$CP11:$FY11="No",0,-1))&amp;","&amp;IF(Attendance!$CQ11:$FZ11="",0,Attendance!$CQ11:$FZ11)&amp;","&amp;IF(Attendance!$CR11:$GA11="",0,Attendance!$CR11:$GA11)&amp;","&amp;IF(Attendance!$CS11:$GB11="Yes",1,0)&amp;"]","")))</f>
        <v>[-1,0,0,0],[-1,0,0,0],[-1,0,0,0],[-1,0,0,0],[-1,0,0,0],[-1,0,0,0],[-1,0,0,0],[-1,0,0,0],[-1,0,0,0],[-1,0,0,0],[-1,0,0,0],[-1,0,0,0],[-1,0,0,0],[-1,0,0,0],[-1,0,0,0],[-1,0,0,0],[-1,0,0,0],[-1,0,0,0],[-1,0,0,0],[-1,0,0,0],[-1,0,0,0],[-1,0,0,0]</v>
      </c>
      <c r="AB26" t="str" cm="1">
        <f t="array" ref="AB26">IF(AND('Match Day Reports'!$L51="",COUNTIF('Match Day Reports'!$K15:$AD15,"?*")=0),"","{""gw"":"&amp;'Match Day Reports'!$J15&amp;",""xi"":["&amp;_xlfn.TEXTJOIN(",",TRUE,IF('Match Day Reports'!$K15:$U15="","",""""&amp;'Match Day Reports'!$K15:$U15&amp;""""))&amp;"],""subs"":["&amp;_xlfn.TEXTJOIN(",",TRUE,IF('Match Day Reports'!$V15:$AB15="","",""""&amp;'Match Day Reports'!$V15:$AB15&amp;""""))&amp;"],""motm"":"""&amp;IFERROR(INDEX(Attendance!$D$5:$D$24,MATCH("Yes",INDEX(Attendance!$CP$5:$FY$24,0,('Match Day Reports'!$J15-1)*4+4),0)),"")&amp;""",""matchNotes"":"""&amp;SUBSTITUTE(SUBSTITUTE('Match Day Reports'!$AC15,"""","'"),CHAR(10)," ")&amp;""",""keyNotes"":"""&amp;SUBSTITUTE(SUBSTITUTE('Match Day Reports'!$AD15,"""","'"),CHAR(10)," ")&amp;"""}")</f>
        <v/>
      </c>
    </row>
    <row r="27" spans="10:28" x14ac:dyDescent="0.45">
      <c r="J27" t="str">
        <f>IF(Attendance!$D12="","","{""number"":"&amp;Attendance!$C12&amp;",""name"":"""&amp;Attendance!$D12&amp;""",""position"":"""&amp;'Player Grading'!$D13&amp;""",""availability"":"""&amp;'Team Selection'!$E71&amp;""",""unavailableReason"":"""&amp;'Team Selection'!$F71&amp;""",""trainingAttendancePct"":"&amp;ROUND(N(Attendance!$GC12),4)&amp;",""avgWorkRate"":"&amp;ROUND(N(Attendance!$GD12),2)&amp;",""matchdayAttendancePct"":"&amp;ROUND(N(Attendance!$GH12),4)&amp;",""minutes"":"&amp;N(Attendance!$GI12)&amp;",""avgMinutes"":"&amp;ROUND(N(Attendance!$GJ12),1)&amp;",""avgRating"":"&amp;ROUND(N(Attendance!$GK12),2)&amp;",""motm"":"&amp;N(Attendance!$GM12)&amp;",""seasonScore"":"&amp;ROUND(N(Attendance!$GN12),4)&amp;",""comment"":"""&amp;Attendance!$GR12&amp;""",""toWorkOn"":"""&amp;Attendance!$GS12&amp;""",""sessions"":["&amp;$X27&amp;"],""matches"":["&amp;$Z27&amp;"]}")</f>
        <v>{"number":8,"name":"Shauna Kavanagh","position":"ST / RW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</v>
      </c>
      <c r="L27" t="str">
        <f>IF(Workings!$AE13="","","{""gw"":"&amp;Workings!$AD13&amp;",""date"":"""&amp;TEXT(Workings!$AE13,"yyyy-mm-dd")&amp;""",""opponent"":"""&amp;Workings!$AF13&amp;""",""venue"":"""&amp;Workings!$AG13&amp;""",""gf"":"&amp;N(Workings!$AH13)&amp;",""ga"":"&amp;N(Workings!$AI13)&amp;",""result"":"""&amp;Workings!$AJ13&amp;"""}")</f>
        <v/>
      </c>
      <c r="N27" t="str" cm="1">
        <f t="array" ref="N27">IF(LEN(INDEX(Attendance!$E$3:$CN$3,1,(8-1)*2+1))=0,"","{""index"":8,""gw"":4,""date"":"""&amp;TEXT(INDEX(Attendance!$E$3:$CN$3,1,(8-1)*2+1),"yyyy-mm-dd")&amp;"""}")</f>
        <v/>
      </c>
      <c r="R27" t="str">
        <f>IF('Team Selection'!$D32="","","{""slot"":"&amp;'Team Selection'!$B32&amp;",""position"":"""&amp;'Team Selection'!$C32&amp;""",""player"":"""&amp;'Team Selection'!$D32&amp;""",""fitScore"":"&amp;ROUND(N('Team Selection'!$E32),2)&amp;",""seasonScore"":"&amp;ROUND(N('Team Selection'!$F32),4)&amp;",""overallGrade"":"&amp;ROUND(N('Team Selection'!$G32),2)&amp;"}")</f>
        <v>{"slot":8,"position":"ACM","player":"Roisin Offenhausen","fitScore":10.3,"seasonScore":0,"overallGrade":9.75}</v>
      </c>
      <c r="T27" t="str">
        <f>IF('Team Selection'!$C47="","","{""player"":"""&amp;'Team Selection'!$C47&amp;""",""position"":"""&amp;'Team Selection'!$D47&amp;""",""overallGrade"":"&amp;ROUND(N('Team Selection'!$E47),2)&amp;",""seasonScore"":"&amp;ROUND(N('Team Selection'!$F47),4)&amp;",""status"":"""&amp;'Team Selection'!$G47&amp;"""}")</f>
        <v/>
      </c>
      <c r="V27" t="str">
        <f>IF(OR('Team Selection'!$C71="",'Team Selection'!$E71="Yes"),"","{""player"":"""&amp;'Team Selection'!$C71&amp;""",""reason"":"""&amp;'Team Selection'!$F71&amp;"""}")</f>
        <v/>
      </c>
      <c r="X27" t="str" cm="1">
        <f t="array" ref="X27">IF(Attendance!$D12="","",_xlfn.TEXTJOIN(",",TRUE,IF(Attendance!$E$4:$CN$4="Att","["&amp;IF(Attendance!$E12:$CN12="Yes",1,0)&amp;","&amp;IF(Attendance!$F12:$CO12="",0,Attendance!$F12:$CO12)&amp;"]","")))</f>
        <v>[0,0],[0,0],[0,0],[0,0],[0,0],[0,0],[0,0],[0,0],[0,0],[0,0],[0,0],[0,0],[0,0],[0,0],[0,0],[0,0],[0,0],[0,0],[0,0],[0,0],[0,0],[0,0],[0,0],[0,0],[0,0],[0,0],[0,0],[0,0],[0,0],[0,0],[0,0],[0,0],[0,0],[0,0],[0,0],[0,0],[0,0],[0,0],[0,0],[0,0],[0,0],[0,0],[0,0],[0,0]</v>
      </c>
      <c r="Z27" t="str" cm="1">
        <f t="array" ref="Z27">IF(Attendance!$D12="","",_xlfn.TEXTJOIN(",",TRUE,IF(Attendance!$CP$4:$FY$4="Att","["&amp;IF(Attendance!$CP12:$FY12="Yes",1,IF(Attendance!$CP12:$FY12="No",0,-1))&amp;","&amp;IF(Attendance!$CQ12:$FZ12="",0,Attendance!$CQ12:$FZ12)&amp;","&amp;IF(Attendance!$CR12:$GA12="",0,Attendance!$CR12:$GA12)&amp;","&amp;IF(Attendance!$CS12:$GB12="Yes",1,0)&amp;"]","")))</f>
        <v>[-1,0,0,0],[-1,0,0,0],[-1,0,0,0],[-1,0,0,0],[-1,0,0,0],[-1,0,0,0],[-1,0,0,0],[-1,0,0,0],[-1,0,0,0],[-1,0,0,0],[-1,0,0,0],[-1,0,0,0],[-1,0,0,0],[-1,0,0,0],[-1,0,0,0],[-1,0,0,0],[-1,0,0,0],[-1,0,0,0],[-1,0,0,0],[-1,0,0,0],[-1,0,0,0],[-1,0,0,0]</v>
      </c>
      <c r="AB27" t="str" cm="1">
        <f t="array" ref="AB27">IF(AND('Match Day Reports'!$L52="",COUNTIF('Match Day Reports'!$K16:$AD16,"?*")=0),"","{""gw"":"&amp;'Match Day Reports'!$J16&amp;",""xi"":["&amp;_xlfn.TEXTJOIN(",",TRUE,IF('Match Day Reports'!$K16:$U16="","",""""&amp;'Match Day Reports'!$K16:$U16&amp;""""))&amp;"],""subs"":["&amp;_xlfn.TEXTJOIN(",",TRUE,IF('Match Day Reports'!$V16:$AB16="","",""""&amp;'Match Day Reports'!$V16:$AB16&amp;""""))&amp;"],""motm"":"""&amp;IFERROR(INDEX(Attendance!$D$5:$D$24,MATCH("Yes",INDEX(Attendance!$CP$5:$FY$24,0,('Match Day Reports'!$J16-1)*4+4),0)),"")&amp;""",""matchNotes"":"""&amp;SUBSTITUTE(SUBSTITUTE('Match Day Reports'!$AC16,"""","'"),CHAR(10)," ")&amp;""",""keyNotes"":"""&amp;SUBSTITUTE(SUBSTITUTE('Match Day Reports'!$AD16,"""","'"),CHAR(10)," ")&amp;"""}")</f>
        <v/>
      </c>
    </row>
    <row r="28" spans="10:28" x14ac:dyDescent="0.45">
      <c r="J28" t="str">
        <f>IF(Attendance!$D13="","","{""number"":"&amp;Attendance!$C13&amp;",""name"":"""&amp;Attendance!$D13&amp;""",""position"":"""&amp;'Player Grading'!$D14&amp;""",""availability"":"""&amp;'Team Selection'!$E72&amp;""",""unavailableReason"":"""&amp;'Team Selection'!$F72&amp;""",""trainingAttendancePct"":"&amp;ROUND(N(Attendance!$GC13),4)&amp;",""avgWorkRate"":"&amp;ROUND(N(Attendance!$GD13),2)&amp;",""matchdayAttendancePct"":"&amp;ROUND(N(Attendance!$GH13),4)&amp;",""minutes"":"&amp;N(Attendance!$GI13)&amp;",""avgMinutes"":"&amp;ROUND(N(Attendance!$GJ13),1)&amp;",""avgRating"":"&amp;ROUND(N(Attendance!$GK13),2)&amp;",""motm"":"&amp;N(Attendance!$GM13)&amp;",""seasonScore"":"&amp;ROUND(N(Attendance!$GN13),4)&amp;",""comment"":"""&amp;Attendance!$GR13&amp;""",""toWorkOn"":"""&amp;Attendance!$GS13&amp;""",""sessions"":["&amp;$X28&amp;"],""matches"":["&amp;$Z28&amp;"]}")</f>
        <v>{"number":9,"name":"Tara Brannigan","position":"DM / CM","availability":"No","unavailableReason":"Absent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</v>
      </c>
      <c r="L28" t="str">
        <f>IF(Workings!$AE14="","","{""gw"":"&amp;Workings!$AD14&amp;",""date"":"""&amp;TEXT(Workings!$AE14,"yyyy-mm-dd")&amp;""",""opponent"":"""&amp;Workings!$AF14&amp;""",""venue"":"""&amp;Workings!$AG14&amp;""",""gf"":"&amp;N(Workings!$AH14)&amp;",""ga"":"&amp;N(Workings!$AI14)&amp;",""result"":"""&amp;Workings!$AJ14&amp;"""}")</f>
        <v/>
      </c>
      <c r="N28" t="str" cm="1">
        <f t="array" ref="N28">IF(LEN(INDEX(Attendance!$E$3:$CN$3,1,(9-1)*2+1))=0,"","{""index"":9,""gw"":5,""date"":"""&amp;TEXT(INDEX(Attendance!$E$3:$CN$3,1,(9-1)*2+1),"yyyy-mm-dd")&amp;"""}")</f>
        <v/>
      </c>
      <c r="R28" t="str">
        <f>IF('Team Selection'!$D33="","","{""slot"":"&amp;'Team Selection'!$B33&amp;",""position"":"""&amp;'Team Selection'!$C33&amp;""",""player"":"""&amp;'Team Selection'!$D33&amp;""",""fitScore"":"&amp;ROUND(N('Team Selection'!$E33),2)&amp;",""seasonScore"":"&amp;ROUND(N('Team Selection'!$F33),4)&amp;",""overallGrade"":"&amp;ROUND(N('Team Selection'!$G33),2)&amp;"}")</f>
        <v>{"slot":9,"position":"RW","player":"Emma Dromgoole","fitScore":9.51,"seasonScore":0,"overallGrade":9.22}</v>
      </c>
      <c r="T28" t="str">
        <f>IF('Team Selection'!$C48="","","{""player"":"""&amp;'Team Selection'!$C48&amp;""",""position"":"""&amp;'Team Selection'!$D48&amp;""",""overallGrade"":"&amp;ROUND(N('Team Selection'!$E48),2)&amp;",""seasonScore"":"&amp;ROUND(N('Team Selection'!$F48),4)&amp;",""status"":"""&amp;'Team Selection'!$G48&amp;"""}")</f>
        <v/>
      </c>
      <c r="V28" t="str">
        <f>IF(OR('Team Selection'!$C72="",'Team Selection'!$E72="Yes"),"","{""player"":"""&amp;'Team Selection'!$C72&amp;""",""reason"":"""&amp;'Team Selection'!$F72&amp;"""}")</f>
        <v>{"player":"Tara Brannigan","reason":"Absent"}</v>
      </c>
      <c r="X28" t="str" cm="1">
        <f t="array" ref="X28">IF(Attendance!$D13="","",_xlfn.TEXTJOIN(",",TRUE,IF(Attendance!$E$4:$CN$4="Att","["&amp;IF(Attendance!$E13:$CN13="Yes",1,0)&amp;","&amp;IF(Attendance!$F13:$CO13="",0,Attendance!$F13:$CO13)&amp;"]","")))</f>
        <v>[0,0],[0,0],[0,0],[0,0],[0,0],[0,0],[0,0],[0,0],[0,0],[0,0],[0,0],[0,0],[0,0],[0,0],[0,0],[0,0],[0,0],[0,0],[0,0],[0,0],[0,0],[0,0],[0,0],[0,0],[0,0],[0,0],[0,0],[0,0],[0,0],[0,0],[0,0],[0,0],[0,0],[0,0],[0,0],[0,0],[0,0],[0,0],[0,0],[0,0],[0,0],[0,0],[0,0],[0,0]</v>
      </c>
      <c r="Z28" t="str" cm="1">
        <f t="array" ref="Z28">IF(Attendance!$D13="","",_xlfn.TEXTJOIN(",",TRUE,IF(Attendance!$CP$4:$FY$4="Att","["&amp;IF(Attendance!$CP13:$FY13="Yes",1,IF(Attendance!$CP13:$FY13="No",0,-1))&amp;","&amp;IF(Attendance!$CQ13:$FZ13="",0,Attendance!$CQ13:$FZ13)&amp;","&amp;IF(Attendance!$CR13:$GA13="",0,Attendance!$CR13:$GA13)&amp;","&amp;IF(Attendance!$CS13:$GB13="Yes",1,0)&amp;"]","")))</f>
        <v>[-1,0,0,0],[-1,0,0,0],[-1,0,0,0],[-1,0,0,0],[-1,0,0,0],[-1,0,0,0],[-1,0,0,0],[-1,0,0,0],[-1,0,0,0],[-1,0,0,0],[-1,0,0,0],[-1,0,0,0],[-1,0,0,0],[-1,0,0,0],[-1,0,0,0],[-1,0,0,0],[-1,0,0,0],[-1,0,0,0],[-1,0,0,0],[-1,0,0,0],[-1,0,0,0],[-1,0,0,0]</v>
      </c>
      <c r="AB28" t="str" cm="1">
        <f t="array" ref="AB28">IF(AND('Match Day Reports'!$L53="",COUNTIF('Match Day Reports'!$K17:$AD17,"?*")=0),"","{""gw"":"&amp;'Match Day Reports'!$J17&amp;",""xi"":["&amp;_xlfn.TEXTJOIN(",",TRUE,IF('Match Day Reports'!$K17:$U17="","",""""&amp;'Match Day Reports'!$K17:$U17&amp;""""))&amp;"],""subs"":["&amp;_xlfn.TEXTJOIN(",",TRUE,IF('Match Day Reports'!$V17:$AB17="","",""""&amp;'Match Day Reports'!$V17:$AB17&amp;""""))&amp;"],""motm"":"""&amp;IFERROR(INDEX(Attendance!$D$5:$D$24,MATCH("Yes",INDEX(Attendance!$CP$5:$FY$24,0,('Match Day Reports'!$J17-1)*4+4),0)),"")&amp;""",""matchNotes"":"""&amp;SUBSTITUTE(SUBSTITUTE('Match Day Reports'!$AC17,"""","'"),CHAR(10)," ")&amp;""",""keyNotes"":"""&amp;SUBSTITUTE(SUBSTITUTE('Match Day Reports'!$AD17,"""","'"),CHAR(10)," ")&amp;"""}")</f>
        <v/>
      </c>
    </row>
    <row r="29" spans="10:28" x14ac:dyDescent="0.45">
      <c r="J29" t="str">
        <f>IF(Attendance!$D14="","","{""number"":"&amp;Attendance!$C14&amp;",""name"":"""&amp;Attendance!$D14&amp;""",""position"":"""&amp;'Player Grading'!$D15&amp;""",""availability"":"""&amp;'Team Selection'!$E73&amp;""",""unavailableReason"":"""&amp;'Team Selection'!$F73&amp;""",""trainingAttendancePct"":"&amp;ROUND(N(Attendance!$GC14),4)&amp;",""avgWorkRate"":"&amp;ROUND(N(Attendance!$GD14),2)&amp;",""matchdayAttendancePct"":"&amp;ROUND(N(Attendance!$GH14),4)&amp;",""minutes"":"&amp;N(Attendance!$GI14)&amp;",""avgMinutes"":"&amp;ROUND(N(Attendance!$GJ14),1)&amp;",""avgRating"":"&amp;ROUND(N(Attendance!$GK14),2)&amp;",""motm"":"&amp;N(Attendance!$GM14)&amp;",""seasonScore"":"&amp;ROUND(N(Attendance!$GN14),4)&amp;",""comment"":"""&amp;Attendance!$GR14&amp;""",""toWorkOn"":"""&amp;Attendance!$GS14&amp;""",""sessions"":["&amp;$X29&amp;"],""matches"":["&amp;$Z29&amp;"]}")</f>
        <v>{"number":10,"name":"Semilore Adesanya","position":"CB / CM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</v>
      </c>
      <c r="L29" t="str">
        <f>IF(Workings!$AE15="","","{""gw"":"&amp;Workings!$AD15&amp;",""date"":"""&amp;TEXT(Workings!$AE15,"yyyy-mm-dd")&amp;""",""opponent"":"""&amp;Workings!$AF15&amp;""",""venue"":"""&amp;Workings!$AG15&amp;""",""gf"":"&amp;N(Workings!$AH15)&amp;",""ga"":"&amp;N(Workings!$AI15)&amp;",""result"":"""&amp;Workings!$AJ15&amp;"""}")</f>
        <v/>
      </c>
      <c r="N29" t="str" cm="1">
        <f t="array" ref="N29">IF(LEN(INDEX(Attendance!$E$3:$CN$3,1,(10-1)*2+1))=0,"","{""index"":10,""gw"":5,""date"":"""&amp;TEXT(INDEX(Attendance!$E$3:$CN$3,1,(10-1)*2+1),"yyyy-mm-dd")&amp;"""}")</f>
        <v/>
      </c>
      <c r="R29" t="str">
        <f>IF('Team Selection'!$D34="","","{""slot"":"&amp;'Team Selection'!$B34&amp;",""position"":"""&amp;'Team Selection'!$C34&amp;""",""player"":"""&amp;'Team Selection'!$D34&amp;""",""fitScore"":"&amp;ROUND(N('Team Selection'!$E34),2)&amp;",""seasonScore"":"&amp;ROUND(N('Team Selection'!$F34),4)&amp;",""overallGrade"":"&amp;ROUND(N('Team Selection'!$G34),2)&amp;"}")</f>
        <v>{"slot":10,"position":"ST","player":"Zara Freeman","fitScore":11.52,"seasonScore":0,"overallGrade":10.64}</v>
      </c>
      <c r="T29" t="str">
        <f>IF('Team Selection'!$C49="","","{""player"":"""&amp;'Team Selection'!$C49&amp;""",""position"":"""&amp;'Team Selection'!$D49&amp;""",""overallGrade"":"&amp;ROUND(N('Team Selection'!$E49),2)&amp;",""seasonScore"":"&amp;ROUND(N('Team Selection'!$F49),4)&amp;",""status"":"""&amp;'Team Selection'!$G49&amp;"""}")</f>
        <v/>
      </c>
      <c r="V29" t="str">
        <f>IF(OR('Team Selection'!$C73="",'Team Selection'!$E73="Yes"),"","{""player"":"""&amp;'Team Selection'!$C73&amp;""",""reason"":"""&amp;'Team Selection'!$F73&amp;"""}")</f>
        <v/>
      </c>
      <c r="X29" t="str" cm="1">
        <f t="array" ref="X29">IF(Attendance!$D14="","",_xlfn.TEXTJOIN(",",TRUE,IF(Attendance!$E$4:$CN$4="Att","["&amp;IF(Attendance!$E14:$CN14="Yes",1,0)&amp;","&amp;IF(Attendance!$F14:$CO14="",0,Attendance!$F14:$CO14)&amp;"]","")))</f>
        <v>[0,0],[0,0],[0,0],[0,0],[0,0],[0,0],[0,0],[0,0],[0,0],[0,0],[0,0],[0,0],[0,0],[0,0],[0,0],[0,0],[0,0],[0,0],[0,0],[0,0],[0,0],[0,0],[0,0],[0,0],[0,0],[0,0],[0,0],[0,0],[0,0],[0,0],[0,0],[0,0],[0,0],[0,0],[0,0],[0,0],[0,0],[0,0],[0,0],[0,0],[0,0],[0,0],[0,0],[0,0]</v>
      </c>
      <c r="Z29" t="str" cm="1">
        <f t="array" ref="Z29">IF(Attendance!$D14="","",_xlfn.TEXTJOIN(",",TRUE,IF(Attendance!$CP$4:$FY$4="Att","["&amp;IF(Attendance!$CP14:$FY14="Yes",1,IF(Attendance!$CP14:$FY14="No",0,-1))&amp;","&amp;IF(Attendance!$CQ14:$FZ14="",0,Attendance!$CQ14:$FZ14)&amp;","&amp;IF(Attendance!$CR14:$GA14="",0,Attendance!$CR14:$GA14)&amp;","&amp;IF(Attendance!$CS14:$GB14="Yes",1,0)&amp;"]","")))</f>
        <v>[-1,0,0,0],[-1,0,0,0],[-1,0,0,0],[-1,0,0,0],[-1,0,0,0],[-1,0,0,0],[-1,0,0,0],[-1,0,0,0],[-1,0,0,0],[-1,0,0,0],[-1,0,0,0],[-1,0,0,0],[-1,0,0,0],[-1,0,0,0],[-1,0,0,0],[-1,0,0,0],[-1,0,0,0],[-1,0,0,0],[-1,0,0,0],[-1,0,0,0],[-1,0,0,0],[-1,0,0,0]</v>
      </c>
      <c r="AB29" t="str" cm="1">
        <f t="array" ref="AB29">IF(AND('Match Day Reports'!$L54="",COUNTIF('Match Day Reports'!$K18:$AD18,"?*")=0),"","{""gw"":"&amp;'Match Day Reports'!$J18&amp;",""xi"":["&amp;_xlfn.TEXTJOIN(",",TRUE,IF('Match Day Reports'!$K18:$U18="","",""""&amp;'Match Day Reports'!$K18:$U18&amp;""""))&amp;"],""subs"":["&amp;_xlfn.TEXTJOIN(",",TRUE,IF('Match Day Reports'!$V18:$AB18="","",""""&amp;'Match Day Reports'!$V18:$AB18&amp;""""))&amp;"],""motm"":"""&amp;IFERROR(INDEX(Attendance!$D$5:$D$24,MATCH("Yes",INDEX(Attendance!$CP$5:$FY$24,0,('Match Day Reports'!$J18-1)*4+4),0)),"")&amp;""",""matchNotes"":"""&amp;SUBSTITUTE(SUBSTITUTE('Match Day Reports'!$AC18,"""","'"),CHAR(10)," ")&amp;""",""keyNotes"":"""&amp;SUBSTITUTE(SUBSTITUTE('Match Day Reports'!$AD18,"""","'"),CHAR(10)," ")&amp;"""}")</f>
        <v/>
      </c>
    </row>
    <row r="30" spans="10:28" x14ac:dyDescent="0.45">
      <c r="J30" t="str">
        <f>IF(Attendance!$D15="","","{""number"":"&amp;Attendance!$C15&amp;",""name"":"""&amp;Attendance!$D15&amp;""",""position"":"""&amp;'Player Grading'!$D16&amp;""",""availability"":"""&amp;'Team Selection'!$E74&amp;""",""unavailableReason"":"""&amp;'Team Selection'!$F74&amp;""",""trainingAttendancePct"":"&amp;ROUND(N(Attendance!$GC15),4)&amp;",""avgWorkRate"":"&amp;ROUND(N(Attendance!$GD15),2)&amp;",""matchdayAttendancePct"":"&amp;ROUND(N(Attendance!$GH15),4)&amp;",""minutes"":"&amp;N(Attendance!$GI15)&amp;",""avgMinutes"":"&amp;ROUND(N(Attendance!$GJ15),1)&amp;",""avgRating"":"&amp;ROUND(N(Attendance!$GK15),2)&amp;",""motm"":"&amp;N(Attendance!$GM15)&amp;",""seasonScore"":"&amp;ROUND(N(Attendance!$GN15),4)&amp;",""comment"":"""&amp;Attendance!$GR15&amp;""",""toWorkOn"":"""&amp;Attendance!$GS15&amp;""",""sessions"":["&amp;$X30&amp;"],""matches"":["&amp;$Z30&amp;"]}")</f>
        <v>{"number":11,"name":"Hannah Fleming","position":"LB / LW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</v>
      </c>
      <c r="L30" t="str">
        <f>IF(Workings!$AE16="","","{""gw"":"&amp;Workings!$AD16&amp;",""date"":"""&amp;TEXT(Workings!$AE16,"yyyy-mm-dd")&amp;""",""opponent"":"""&amp;Workings!$AF16&amp;""",""venue"":"""&amp;Workings!$AG16&amp;""",""gf"":"&amp;N(Workings!$AH16)&amp;",""ga"":"&amp;N(Workings!$AI16)&amp;",""result"":"""&amp;Workings!$AJ16&amp;"""}")</f>
        <v/>
      </c>
      <c r="N30" t="str" cm="1">
        <f t="array" ref="N30">IF(LEN(INDEX(Attendance!$E$3:$CN$3,1,(11-1)*2+1))=0,"","{""index"":11,""gw"":6,""date"":"""&amp;TEXT(INDEX(Attendance!$E$3:$CN$3,1,(11-1)*2+1),"yyyy-mm-dd")&amp;"""}")</f>
        <v/>
      </c>
      <c r="R30" t="str">
        <f>IF('Team Selection'!$D35="","","{""slot"":"&amp;'Team Selection'!$B35&amp;",""position"":"""&amp;'Team Selection'!$C35&amp;""",""player"":"""&amp;'Team Selection'!$D35&amp;""",""fitScore"":"&amp;ROUND(N('Team Selection'!$E35),2)&amp;",""seasonScore"":"&amp;ROUND(N('Team Selection'!$F35),4)&amp;",""overallGrade"":"&amp;ROUND(N('Team Selection'!$G35),2)&amp;"}")</f>
        <v>{"slot":11,"position":"LW","player":"Amber Kilalee","fitScore":9.22,"seasonScore":0,"overallGrade":8.78}</v>
      </c>
      <c r="T30" t="str">
        <f>IF('Team Selection'!$C50="","","{""player"":"""&amp;'Team Selection'!$C50&amp;""",""position"":"""&amp;'Team Selection'!$D50&amp;""",""overallGrade"":"&amp;ROUND(N('Team Selection'!$E50),2)&amp;",""seasonScore"":"&amp;ROUND(N('Team Selection'!$F50),4)&amp;",""status"":"""&amp;'Team Selection'!$G50&amp;"""}")</f>
        <v/>
      </c>
      <c r="V30" t="str">
        <f>IF(OR('Team Selection'!$C74="",'Team Selection'!$E74="Yes"),"","{""player"":"""&amp;'Team Selection'!$C74&amp;""",""reason"":"""&amp;'Team Selection'!$F74&amp;"""}")</f>
        <v/>
      </c>
      <c r="X30" t="str" cm="1">
        <f t="array" ref="X30">IF(Attendance!$D15="","",_xlfn.TEXTJOIN(",",TRUE,IF(Attendance!$E$4:$CN$4="Att","["&amp;IF(Attendance!$E15:$CN15="Yes",1,0)&amp;","&amp;IF(Attendance!$F15:$CO15="",0,Attendance!$F15:$CO15)&amp;"]","")))</f>
        <v>[0,0],[0,0],[0,0],[0,0],[0,0],[0,0],[0,0],[0,0],[0,0],[0,0],[0,0],[0,0],[0,0],[0,0],[0,0],[0,0],[0,0],[0,0],[0,0],[0,0],[0,0],[0,0],[0,0],[0,0],[0,0],[0,0],[0,0],[0,0],[0,0],[0,0],[0,0],[0,0],[0,0],[0,0],[0,0],[0,0],[0,0],[0,0],[0,0],[0,0],[0,0],[0,0],[0,0],[0,0]</v>
      </c>
      <c r="Z30" t="str" cm="1">
        <f t="array" ref="Z30">IF(Attendance!$D15="","",_xlfn.TEXTJOIN(",",TRUE,IF(Attendance!$CP$4:$FY$4="Att","["&amp;IF(Attendance!$CP15:$FY15="Yes",1,IF(Attendance!$CP15:$FY15="No",0,-1))&amp;","&amp;IF(Attendance!$CQ15:$FZ15="",0,Attendance!$CQ15:$FZ15)&amp;","&amp;IF(Attendance!$CR15:$GA15="",0,Attendance!$CR15:$GA15)&amp;","&amp;IF(Attendance!$CS15:$GB15="Yes",1,0)&amp;"]","")))</f>
        <v>[-1,0,0,0],[-1,0,0,0],[-1,0,0,0],[-1,0,0,0],[-1,0,0,0],[-1,0,0,0],[-1,0,0,0],[-1,0,0,0],[-1,0,0,0],[-1,0,0,0],[-1,0,0,0],[-1,0,0,0],[-1,0,0,0],[-1,0,0,0],[-1,0,0,0],[-1,0,0,0],[-1,0,0,0],[-1,0,0,0],[-1,0,0,0],[-1,0,0,0],[-1,0,0,0],[-1,0,0,0]</v>
      </c>
      <c r="AB30" t="str" cm="1">
        <f t="array" ref="AB30">IF(AND('Match Day Reports'!$L55="",COUNTIF('Match Day Reports'!$K19:$AD19,"?*")=0),"","{""gw"":"&amp;'Match Day Reports'!$J19&amp;",""xi"":["&amp;_xlfn.TEXTJOIN(",",TRUE,IF('Match Day Reports'!$K19:$U19="","",""""&amp;'Match Day Reports'!$K19:$U19&amp;""""))&amp;"],""subs"":["&amp;_xlfn.TEXTJOIN(",",TRUE,IF('Match Day Reports'!$V19:$AB19="","",""""&amp;'Match Day Reports'!$V19:$AB19&amp;""""))&amp;"],""motm"":"""&amp;IFERROR(INDEX(Attendance!$D$5:$D$24,MATCH("Yes",INDEX(Attendance!$CP$5:$FY$24,0,('Match Day Reports'!$J19-1)*4+4),0)),"")&amp;""",""matchNotes"":"""&amp;SUBSTITUTE(SUBSTITUTE('Match Day Reports'!$AC19,"""","'"),CHAR(10)," ")&amp;""",""keyNotes"":"""&amp;SUBSTITUTE(SUBSTITUTE('Match Day Reports'!$AD19,"""","'"),CHAR(10)," ")&amp;"""}")</f>
        <v/>
      </c>
    </row>
    <row r="31" spans="10:28" x14ac:dyDescent="0.45">
      <c r="J31" t="str">
        <f>IF(Attendance!$D16="","","{""number"":"&amp;Attendance!$C16&amp;",""name"":"""&amp;Attendance!$D16&amp;""",""position"":"""&amp;'Player Grading'!$D17&amp;""",""availability"":"""&amp;'Team Selection'!$E75&amp;""",""unavailableReason"":"""&amp;'Team Selection'!$F75&amp;""",""trainingAttendancePct"":"&amp;ROUND(N(Attendance!$GC16),4)&amp;",""avgWorkRate"":"&amp;ROUND(N(Attendance!$GD16),2)&amp;",""matchdayAttendancePct"":"&amp;ROUND(N(Attendance!$GH16),4)&amp;",""minutes"":"&amp;N(Attendance!$GI16)&amp;",""avgMinutes"":"&amp;ROUND(N(Attendance!$GJ16),1)&amp;",""avgRating"":"&amp;ROUND(N(Attendance!$GK16),2)&amp;",""motm"":"&amp;N(Attendance!$GM16)&amp;",""seasonScore"":"&amp;ROUND(N(Attendance!$GN16),4)&amp;",""comment"":"""&amp;Attendance!$GR16&amp;""",""toWorkOn"":"""&amp;Attendance!$GS16&amp;""",""sessions"":["&amp;$X31&amp;"],""matches"":["&amp;$Z31&amp;"]}")</f>
        <v>{"number":12,"name":"Emma Kelly","position":"CB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</v>
      </c>
      <c r="L31" t="str">
        <f>IF(Workings!$AE17="","","{""gw"":"&amp;Workings!$AD17&amp;",""date"":"""&amp;TEXT(Workings!$AE17,"yyyy-mm-dd")&amp;""",""opponent"":"""&amp;Workings!$AF17&amp;""",""venue"":"""&amp;Workings!$AG17&amp;""",""gf"":"&amp;N(Workings!$AH17)&amp;",""ga"":"&amp;N(Workings!$AI17)&amp;",""result"":"""&amp;Workings!$AJ17&amp;"""}")</f>
        <v/>
      </c>
      <c r="N31" t="str" cm="1">
        <f t="array" ref="N31">IF(LEN(INDEX(Attendance!$E$3:$CN$3,1,(12-1)*2+1))=0,"","{""index"":12,""gw"":6,""date"":"""&amp;TEXT(INDEX(Attendance!$E$3:$CN$3,1,(12-1)*2+1),"yyyy-mm-dd")&amp;"""}")</f>
        <v/>
      </c>
      <c r="T31" t="str">
        <f>IF('Team Selection'!$C51="","","{""player"":"""&amp;'Team Selection'!$C51&amp;""",""position"":"""&amp;'Team Selection'!$D51&amp;""",""overallGrade"":"&amp;ROUND(N('Team Selection'!$E51),2)&amp;",""seasonScore"":"&amp;ROUND(N('Team Selection'!$F51),4)&amp;",""status"":"""&amp;'Team Selection'!$G51&amp;"""}")</f>
        <v/>
      </c>
      <c r="V31" t="str">
        <f>IF(OR('Team Selection'!$C75="",'Team Selection'!$E75="Yes"),"","{""player"":"""&amp;'Team Selection'!$C75&amp;""",""reason"":"""&amp;'Team Selection'!$F75&amp;"""}")</f>
        <v/>
      </c>
      <c r="X31" t="str" cm="1">
        <f t="array" ref="X31">IF(Attendance!$D16="","",_xlfn.TEXTJOIN(",",TRUE,IF(Attendance!$E$4:$CN$4="Att","["&amp;IF(Attendance!$E16:$CN16="Yes",1,0)&amp;","&amp;IF(Attendance!$F16:$CO16="",0,Attendance!$F16:$CO16)&amp;"]","")))</f>
        <v>[0,0],[0,0],[0,0],[0,0],[0,0],[0,0],[0,0],[0,0],[0,0],[0,0],[0,0],[0,0],[0,0],[0,0],[0,0],[0,0],[0,0],[0,0],[0,0],[0,0],[0,0],[0,0],[0,0],[0,0],[0,0],[0,0],[0,0],[0,0],[0,0],[0,0],[0,0],[0,0],[0,0],[0,0],[0,0],[0,0],[0,0],[0,0],[0,0],[0,0],[0,0],[0,0],[0,0],[0,0]</v>
      </c>
      <c r="Z31" t="str" cm="1">
        <f t="array" ref="Z31">IF(Attendance!$D16="","",_xlfn.TEXTJOIN(",",TRUE,IF(Attendance!$CP$4:$FY$4="Att","["&amp;IF(Attendance!$CP16:$FY16="Yes",1,IF(Attendance!$CP16:$FY16="No",0,-1))&amp;","&amp;IF(Attendance!$CQ16:$FZ16="",0,Attendance!$CQ16:$FZ16)&amp;","&amp;IF(Attendance!$CR16:$GA16="",0,Attendance!$CR16:$GA16)&amp;","&amp;IF(Attendance!$CS16:$GB16="Yes",1,0)&amp;"]","")))</f>
        <v>[-1,0,0,0],[-1,0,0,0],[-1,0,0,0],[-1,0,0,0],[-1,0,0,0],[-1,0,0,0],[-1,0,0,0],[-1,0,0,0],[-1,0,0,0],[-1,0,0,0],[-1,0,0,0],[-1,0,0,0],[-1,0,0,0],[-1,0,0,0],[-1,0,0,0],[-1,0,0,0],[-1,0,0,0],[-1,0,0,0],[-1,0,0,0],[-1,0,0,0],[-1,0,0,0],[-1,0,0,0]</v>
      </c>
      <c r="AB31" t="str" cm="1">
        <f t="array" ref="AB31">IF(AND('Match Day Reports'!$L56="",COUNTIF('Match Day Reports'!$K20:$AD20,"?*")=0),"","{""gw"":"&amp;'Match Day Reports'!$J20&amp;",""xi"":["&amp;_xlfn.TEXTJOIN(",",TRUE,IF('Match Day Reports'!$K20:$U20="","",""""&amp;'Match Day Reports'!$K20:$U20&amp;""""))&amp;"],""subs"":["&amp;_xlfn.TEXTJOIN(",",TRUE,IF('Match Day Reports'!$V20:$AB20="","",""""&amp;'Match Day Reports'!$V20:$AB20&amp;""""))&amp;"],""motm"":"""&amp;IFERROR(INDEX(Attendance!$D$5:$D$24,MATCH("Yes",INDEX(Attendance!$CP$5:$FY$24,0,('Match Day Reports'!$J20-1)*4+4),0)),"")&amp;""",""matchNotes"":"""&amp;SUBSTITUTE(SUBSTITUTE('Match Day Reports'!$AC20,"""","'"),CHAR(10)," ")&amp;""",""keyNotes"":"""&amp;SUBSTITUTE(SUBSTITUTE('Match Day Reports'!$AD20,"""","'"),CHAR(10)," ")&amp;"""}")</f>
        <v/>
      </c>
    </row>
    <row r="32" spans="10:28" x14ac:dyDescent="0.45">
      <c r="J32" t="str">
        <f>IF(Attendance!$D17="","","{""number"":"&amp;Attendance!$C17&amp;",""name"":"""&amp;Attendance!$D17&amp;""",""position"":"""&amp;'Player Grading'!$D18&amp;""",""availability"":"""&amp;'Team Selection'!$E76&amp;""",""unavailableReason"":"""&amp;'Team Selection'!$F76&amp;""",""trainingAttendancePct"":"&amp;ROUND(N(Attendance!$GC17),4)&amp;",""avgWorkRate"":"&amp;ROUND(N(Attendance!$GD17),2)&amp;",""matchdayAttendancePct"":"&amp;ROUND(N(Attendance!$GH17),4)&amp;",""minutes"":"&amp;N(Attendance!$GI17)&amp;",""avgMinutes"":"&amp;ROUND(N(Attendance!$GJ17),1)&amp;",""avgRating"":"&amp;ROUND(N(Attendance!$GK17),2)&amp;",""motm"":"&amp;N(Attendance!$GM17)&amp;",""seasonScore"":"&amp;ROUND(N(Attendance!$GN17),4)&amp;",""comment"":"""&amp;Attendance!$GR17&amp;""",""toWorkOn"":"""&amp;Attendance!$GS17&amp;""",""sessions"":["&amp;$X32&amp;"],""matches"":["&amp;$Z32&amp;"]}")</f>
        <v>{"number":13,"name":"Roma Memon","position":"DM / CM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</v>
      </c>
      <c r="L32" t="str">
        <f>IF(Workings!$AE18="","","{""gw"":"&amp;Workings!$AD18&amp;",""date"":"""&amp;TEXT(Workings!$AE18,"yyyy-mm-dd")&amp;""",""opponent"":"""&amp;Workings!$AF18&amp;""",""venue"":"""&amp;Workings!$AG18&amp;""",""gf"":"&amp;N(Workings!$AH18)&amp;",""ga"":"&amp;N(Workings!$AI18)&amp;",""result"":"""&amp;Workings!$AJ18&amp;"""}")</f>
        <v/>
      </c>
      <c r="N32" t="str" cm="1">
        <f t="array" ref="N32">IF(LEN(INDEX(Attendance!$E$3:$CN$3,1,(13-1)*2+1))=0,"","{""index"":13,""gw"":7,""date"":"""&amp;TEXT(INDEX(Attendance!$E$3:$CN$3,1,(13-1)*2+1),"yyyy-mm-dd")&amp;"""}")</f>
        <v/>
      </c>
      <c r="T32" t="str">
        <f>IF('Team Selection'!$C52="","","{""player"":"""&amp;'Team Selection'!$C52&amp;""",""position"":"""&amp;'Team Selection'!$D52&amp;""",""overallGrade"":"&amp;ROUND(N('Team Selection'!$E52),2)&amp;",""seasonScore"":"&amp;ROUND(N('Team Selection'!$F52),4)&amp;",""status"":"""&amp;'Team Selection'!$G52&amp;"""}")</f>
        <v/>
      </c>
      <c r="V32" t="str">
        <f>IF(OR('Team Selection'!$C76="",'Team Selection'!$E76="Yes"),"","{""player"":"""&amp;'Team Selection'!$C76&amp;""",""reason"":"""&amp;'Team Selection'!$F76&amp;"""}")</f>
        <v/>
      </c>
      <c r="X32" t="str" cm="1">
        <f t="array" ref="X32">IF(Attendance!$D17="","",_xlfn.TEXTJOIN(",",TRUE,IF(Attendance!$E$4:$CN$4="Att","["&amp;IF(Attendance!$E17:$CN17="Yes",1,0)&amp;","&amp;IF(Attendance!$F17:$CO17="",0,Attendance!$F17:$CO17)&amp;"]","")))</f>
        <v>[0,0],[0,0],[0,0],[0,0],[0,0],[0,0],[0,0],[0,0],[0,0],[0,0],[0,0],[0,0],[0,0],[0,0],[0,0],[0,0],[0,0],[0,0],[0,0],[0,0],[0,0],[0,0],[0,0],[0,0],[0,0],[0,0],[0,0],[0,0],[0,0],[0,0],[0,0],[0,0],[0,0],[0,0],[0,0],[0,0],[0,0],[0,0],[0,0],[0,0],[0,0],[0,0],[0,0],[0,0]</v>
      </c>
      <c r="Z32" t="str" cm="1">
        <f t="array" ref="Z32">IF(Attendance!$D17="","",_xlfn.TEXTJOIN(",",TRUE,IF(Attendance!$CP$4:$FY$4="Att","["&amp;IF(Attendance!$CP17:$FY17="Yes",1,IF(Attendance!$CP17:$FY17="No",0,-1))&amp;","&amp;IF(Attendance!$CQ17:$FZ17="",0,Attendance!$CQ17:$FZ17)&amp;","&amp;IF(Attendance!$CR17:$GA17="",0,Attendance!$CR17:$GA17)&amp;","&amp;IF(Attendance!$CS17:$GB17="Yes",1,0)&amp;"]","")))</f>
        <v>[-1,0,0,0],[-1,0,0,0],[-1,0,0,0],[-1,0,0,0],[-1,0,0,0],[-1,0,0,0],[-1,0,0,0],[-1,0,0,0],[-1,0,0,0],[-1,0,0,0],[-1,0,0,0],[-1,0,0,0],[-1,0,0,0],[-1,0,0,0],[-1,0,0,0],[-1,0,0,0],[-1,0,0,0],[-1,0,0,0],[-1,0,0,0],[-1,0,0,0],[-1,0,0,0],[-1,0,0,0]</v>
      </c>
      <c r="AB32" t="str" cm="1">
        <f t="array" ref="AB32">IF(AND('Match Day Reports'!$L57="",COUNTIF('Match Day Reports'!$K21:$AD21,"?*")=0),"","{""gw"":"&amp;'Match Day Reports'!$J21&amp;",""xi"":["&amp;_xlfn.TEXTJOIN(",",TRUE,IF('Match Day Reports'!$K21:$U21="","",""""&amp;'Match Day Reports'!$K21:$U21&amp;""""))&amp;"],""subs"":["&amp;_xlfn.TEXTJOIN(",",TRUE,IF('Match Day Reports'!$V21:$AB21="","",""""&amp;'Match Day Reports'!$V21:$AB21&amp;""""))&amp;"],""motm"":"""&amp;IFERROR(INDEX(Attendance!$D$5:$D$24,MATCH("Yes",INDEX(Attendance!$CP$5:$FY$24,0,('Match Day Reports'!$J21-1)*4+4),0)),"")&amp;""",""matchNotes"":"""&amp;SUBSTITUTE(SUBSTITUTE('Match Day Reports'!$AC21,"""","'"),CHAR(10)," ")&amp;""",""keyNotes"":"""&amp;SUBSTITUTE(SUBSTITUTE('Match Day Reports'!$AD21,"""","'"),CHAR(10)," ")&amp;"""}")</f>
        <v/>
      </c>
    </row>
    <row r="33" spans="10:28" x14ac:dyDescent="0.45">
      <c r="J33" t="str">
        <f>IF(Attendance!$D18="","","{""number"":"&amp;Attendance!$C18&amp;",""name"":"""&amp;Attendance!$D18&amp;""",""position"":"""&amp;'Player Grading'!$D19&amp;""",""availability"":"""&amp;'Team Selection'!$E77&amp;""",""unavailableReason"":"""&amp;'Team Selection'!$F77&amp;""",""trainingAttendancePct"":"&amp;ROUND(N(Attendance!$GC18),4)&amp;",""avgWorkRate"":"&amp;ROUND(N(Attendance!$GD18),2)&amp;",""matchdayAttendancePct"":"&amp;ROUND(N(Attendance!$GH18),4)&amp;",""minutes"":"&amp;N(Attendance!$GI18)&amp;",""avgMinutes"":"&amp;ROUND(N(Attendance!$GJ18),1)&amp;",""avgRating"":"&amp;ROUND(N(Attendance!$GK18),2)&amp;",""motm"":"&amp;N(Attendance!$GM18)&amp;",""seasonScore"":"&amp;ROUND(N(Attendance!$GN18),4)&amp;",""comment"":"""&amp;Attendance!$GR18&amp;""",""toWorkOn"":"""&amp;Attendance!$GS18&amp;""",""sessions"":["&amp;$X33&amp;"],""matches"":["&amp;$Z33&amp;"]}")</f>
        <v>{"number":14,"name":"Emma Dromgoole","position":"RW / ST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</v>
      </c>
      <c r="L33" t="str">
        <f>IF(Workings!$AE19="","","{""gw"":"&amp;Workings!$AD19&amp;",""date"":"""&amp;TEXT(Workings!$AE19,"yyyy-mm-dd")&amp;""",""opponent"":"""&amp;Workings!$AF19&amp;""",""venue"":"""&amp;Workings!$AG19&amp;""",""gf"":"&amp;N(Workings!$AH19)&amp;",""ga"":"&amp;N(Workings!$AI19)&amp;",""result"":"""&amp;Workings!$AJ19&amp;"""}")</f>
        <v/>
      </c>
      <c r="N33" t="str" cm="1">
        <f t="array" ref="N33">IF(LEN(INDEX(Attendance!$E$3:$CN$3,1,(14-1)*2+1))=0,"","{""index"":14,""gw"":7,""date"":"""&amp;TEXT(INDEX(Attendance!$E$3:$CN$3,1,(14-1)*2+1),"yyyy-mm-dd")&amp;"""}")</f>
        <v/>
      </c>
      <c r="T33" t="str">
        <f>IF('Team Selection'!$C53="","","{""player"":"""&amp;'Team Selection'!$C53&amp;""",""position"":"""&amp;'Team Selection'!$D53&amp;""",""overallGrade"":"&amp;ROUND(N('Team Selection'!$E53),2)&amp;",""seasonScore"":"&amp;ROUND(N('Team Selection'!$F53),4)&amp;",""status"":"""&amp;'Team Selection'!$G53&amp;"""}")</f>
        <v/>
      </c>
      <c r="V33" t="str">
        <f>IF(OR('Team Selection'!$C77="",'Team Selection'!$E77="Yes"),"","{""player"":"""&amp;'Team Selection'!$C77&amp;""",""reason"":"""&amp;'Team Selection'!$F77&amp;"""}")</f>
        <v/>
      </c>
      <c r="X33" t="str" cm="1">
        <f t="array" ref="X33">IF(Attendance!$D18="","",_xlfn.TEXTJOIN(",",TRUE,IF(Attendance!$E$4:$CN$4="Att","["&amp;IF(Attendance!$E18:$CN18="Yes",1,0)&amp;","&amp;IF(Attendance!$F18:$CO18="",0,Attendance!$F18:$CO18)&amp;"]","")))</f>
        <v>[0,0],[0,0],[0,0],[0,0],[0,0],[0,0],[0,0],[0,0],[0,0],[0,0],[0,0],[0,0],[0,0],[0,0],[0,0],[0,0],[0,0],[0,0],[0,0],[0,0],[0,0],[0,0],[0,0],[0,0],[0,0],[0,0],[0,0],[0,0],[0,0],[0,0],[0,0],[0,0],[0,0],[0,0],[0,0],[0,0],[0,0],[0,0],[0,0],[0,0],[0,0],[0,0],[0,0],[0,0]</v>
      </c>
      <c r="Z33" t="str" cm="1">
        <f t="array" ref="Z33">IF(Attendance!$D18="","",_xlfn.TEXTJOIN(",",TRUE,IF(Attendance!$CP$4:$FY$4="Att","["&amp;IF(Attendance!$CP18:$FY18="Yes",1,IF(Attendance!$CP18:$FY18="No",0,-1))&amp;","&amp;IF(Attendance!$CQ18:$FZ18="",0,Attendance!$CQ18:$FZ18)&amp;","&amp;IF(Attendance!$CR18:$GA18="",0,Attendance!$CR18:$GA18)&amp;","&amp;IF(Attendance!$CS18:$GB18="Yes",1,0)&amp;"]","")))</f>
        <v>[-1,0,0,0],[-1,0,0,0],[-1,0,0,0],[-1,0,0,0],[-1,0,0,0],[-1,0,0,0],[-1,0,0,0],[-1,0,0,0],[-1,0,0,0],[-1,0,0,0],[-1,0,0,0],[-1,0,0,0],[-1,0,0,0],[-1,0,0,0],[-1,0,0,0],[-1,0,0,0],[-1,0,0,0],[-1,0,0,0],[-1,0,0,0],[-1,0,0,0],[-1,0,0,0],[-1,0,0,0]</v>
      </c>
      <c r="AB33" t="str" cm="1">
        <f t="array" ref="AB33">IF(AND('Match Day Reports'!$L58="",COUNTIF('Match Day Reports'!$K22:$AD22,"?*")=0),"","{""gw"":"&amp;'Match Day Reports'!$J22&amp;",""xi"":["&amp;_xlfn.TEXTJOIN(",",TRUE,IF('Match Day Reports'!$K22:$U22="","",""""&amp;'Match Day Reports'!$K22:$U22&amp;""""))&amp;"],""subs"":["&amp;_xlfn.TEXTJOIN(",",TRUE,IF('Match Day Reports'!$V22:$AB22="","",""""&amp;'Match Day Reports'!$V22:$AB22&amp;""""))&amp;"],""motm"":"""&amp;IFERROR(INDEX(Attendance!$D$5:$D$24,MATCH("Yes",INDEX(Attendance!$CP$5:$FY$24,0,('Match Day Reports'!$J22-1)*4+4),0)),"")&amp;""",""matchNotes"":"""&amp;SUBSTITUTE(SUBSTITUTE('Match Day Reports'!$AC22,"""","'"),CHAR(10)," ")&amp;""",""keyNotes"":"""&amp;SUBSTITUTE(SUBSTITUTE('Match Day Reports'!$AD22,"""","'"),CHAR(10)," ")&amp;"""}")</f>
        <v/>
      </c>
    </row>
    <row r="34" spans="10:28" x14ac:dyDescent="0.45">
      <c r="J34" t="str">
        <f>IF(Attendance!$D19="","","{""number"":"&amp;Attendance!$C19&amp;",""name"":"""&amp;Attendance!$D19&amp;""",""position"":"""&amp;'Player Grading'!$D20&amp;""",""availability"":"""&amp;'Team Selection'!$E78&amp;""",""unavailableReason"":"""&amp;'Team Selection'!$F78&amp;""",""trainingAttendancePct"":"&amp;ROUND(N(Attendance!$GC19),4)&amp;",""avgWorkRate"":"&amp;ROUND(N(Attendance!$GD19),2)&amp;",""matchdayAttendancePct"":"&amp;ROUND(N(Attendance!$GH19),4)&amp;",""minutes"":"&amp;N(Attendance!$GI19)&amp;",""avgMinutes"":"&amp;ROUND(N(Attendance!$GJ19),1)&amp;",""avgRating"":"&amp;ROUND(N(Attendance!$GK19),2)&amp;",""motm"":"&amp;N(Attendance!$GM19)&amp;",""seasonScore"":"&amp;ROUND(N(Attendance!$GN19),4)&amp;",""comment"":"""&amp;Attendance!$GR19&amp;""",""toWorkOn"":"""&amp;Attendance!$GS19&amp;""",""sessions"":["&amp;$X34&amp;"],""matches"":["&amp;$Z34&amp;"]}")</f>
        <v>{"number":15,"name":"Elsie Morrison","position":"LW / ST / GK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</v>
      </c>
      <c r="L34" t="str">
        <f>IF(Workings!$AE20="","","{""gw"":"&amp;Workings!$AD20&amp;",""date"":"""&amp;TEXT(Workings!$AE20,"yyyy-mm-dd")&amp;""",""opponent"":"""&amp;Workings!$AF20&amp;""",""venue"":"""&amp;Workings!$AG20&amp;""",""gf"":"&amp;N(Workings!$AH20)&amp;",""ga"":"&amp;N(Workings!$AI20)&amp;",""result"":"""&amp;Workings!$AJ20&amp;"""}")</f>
        <v/>
      </c>
      <c r="N34" t="str" cm="1">
        <f t="array" ref="N34">IF(LEN(INDEX(Attendance!$E$3:$CN$3,1,(15-1)*2+1))=0,"","{""index"":15,""gw"":8,""date"":"""&amp;TEXT(INDEX(Attendance!$E$3:$CN$3,1,(15-1)*2+1),"yyyy-mm-dd")&amp;"""}")</f>
        <v/>
      </c>
      <c r="T34" t="str">
        <f>IF('Team Selection'!$C54="","","{""player"":"""&amp;'Team Selection'!$C54&amp;""",""position"":"""&amp;'Team Selection'!$D54&amp;""",""overallGrade"":"&amp;ROUND(N('Team Selection'!$E54),2)&amp;",""seasonScore"":"&amp;ROUND(N('Team Selection'!$F54),4)&amp;",""status"":"""&amp;'Team Selection'!$G54&amp;"""}")</f>
        <v/>
      </c>
      <c r="V34" t="str">
        <f>IF(OR('Team Selection'!$C78="",'Team Selection'!$E78="Yes"),"","{""player"":"""&amp;'Team Selection'!$C78&amp;""",""reason"":"""&amp;'Team Selection'!$F78&amp;"""}")</f>
        <v/>
      </c>
      <c r="X34" t="str" cm="1">
        <f t="array" ref="X34">IF(Attendance!$D19="","",_xlfn.TEXTJOIN(",",TRUE,IF(Attendance!$E$4:$CN$4="Att","["&amp;IF(Attendance!$E19:$CN19="Yes",1,0)&amp;","&amp;IF(Attendance!$F19:$CO19="",0,Attendance!$F19:$CO19)&amp;"]","")))</f>
        <v>[0,0],[0,0],[0,0],[0,0],[0,0],[0,0],[0,0],[0,0],[0,0],[0,0],[0,0],[0,0],[0,0],[0,0],[0,0],[0,0],[0,0],[0,0],[0,0],[0,0],[0,0],[0,0],[0,0],[0,0],[0,0],[0,0],[0,0],[0,0],[0,0],[0,0],[0,0],[0,0],[0,0],[0,0],[0,0],[0,0],[0,0],[0,0],[0,0],[0,0],[0,0],[0,0],[0,0],[0,0]</v>
      </c>
      <c r="Z34" t="str" cm="1">
        <f t="array" ref="Z34">IF(Attendance!$D19="","",_xlfn.TEXTJOIN(",",TRUE,IF(Attendance!$CP$4:$FY$4="Att","["&amp;IF(Attendance!$CP19:$FY19="Yes",1,IF(Attendance!$CP19:$FY19="No",0,-1))&amp;","&amp;IF(Attendance!$CQ19:$FZ19="",0,Attendance!$CQ19:$FZ19)&amp;","&amp;IF(Attendance!$CR19:$GA19="",0,Attendance!$CR19:$GA19)&amp;","&amp;IF(Attendance!$CS19:$GB19="Yes",1,0)&amp;"]","")))</f>
        <v>[-1,0,0,0],[-1,0,0,0],[-1,0,0,0],[-1,0,0,0],[-1,0,0,0],[-1,0,0,0],[-1,0,0,0],[-1,0,0,0],[-1,0,0,0],[-1,0,0,0],[-1,0,0,0],[-1,0,0,0],[-1,0,0,0],[-1,0,0,0],[-1,0,0,0],[-1,0,0,0],[-1,0,0,0],[-1,0,0,0],[-1,0,0,0],[-1,0,0,0],[-1,0,0,0],[-1,0,0,0]</v>
      </c>
      <c r="AB34" t="str" cm="1">
        <f t="array" ref="AB34">IF(AND('Match Day Reports'!$L59="",COUNTIF('Match Day Reports'!$K23:$AD23,"?*")=0),"","{""gw"":"&amp;'Match Day Reports'!$J23&amp;",""xi"":["&amp;_xlfn.TEXTJOIN(",",TRUE,IF('Match Day Reports'!$K23:$U23="","",""""&amp;'Match Day Reports'!$K23:$U23&amp;""""))&amp;"],""subs"":["&amp;_xlfn.TEXTJOIN(",",TRUE,IF('Match Day Reports'!$V23:$AB23="","",""""&amp;'Match Day Reports'!$V23:$AB23&amp;""""))&amp;"],""motm"":"""&amp;IFERROR(INDEX(Attendance!$D$5:$D$24,MATCH("Yes",INDEX(Attendance!$CP$5:$FY$24,0,('Match Day Reports'!$J23-1)*4+4),0)),"")&amp;""",""matchNotes"":"""&amp;SUBSTITUTE(SUBSTITUTE('Match Day Reports'!$AC23,"""","'"),CHAR(10)," ")&amp;""",""keyNotes"":"""&amp;SUBSTITUTE(SUBSTITUTE('Match Day Reports'!$AD23,"""","'"),CHAR(10)," ")&amp;"""}")</f>
        <v/>
      </c>
    </row>
    <row r="35" spans="10:28" x14ac:dyDescent="0.45">
      <c r="J35" t="str">
        <f>IF(Attendance!$D20="","","{""number"":"&amp;Attendance!$C20&amp;",""name"":"""&amp;Attendance!$D20&amp;""",""position"":"""&amp;'Player Grading'!$D21&amp;""",""availability"":"""&amp;'Team Selection'!$E79&amp;""",""unavailableReason"":"""&amp;'Team Selection'!$F79&amp;""",""trainingAttendancePct"":"&amp;ROUND(N(Attendance!$GC20),4)&amp;",""avgWorkRate"":"&amp;ROUND(N(Attendance!$GD20),2)&amp;",""matchdayAttendancePct"":"&amp;ROUND(N(Attendance!$GH20),4)&amp;",""minutes"":"&amp;N(Attendance!$GI20)&amp;",""avgMinutes"":"&amp;ROUND(N(Attendance!$GJ20),1)&amp;",""avgRating"":"&amp;ROUND(N(Attendance!$GK20),2)&amp;",""motm"":"&amp;N(Attendance!$GM20)&amp;",""seasonScore"":"&amp;ROUND(N(Attendance!$GN20),4)&amp;",""comment"":"""&amp;Attendance!$GR20&amp;""",""toWorkOn"":"""&amp;Attendance!$GS20&amp;""",""sessions"":["&amp;$X35&amp;"],""matches"":["&amp;$Z35&amp;"]}")</f>
        <v>{"number":16,"name":"Zara Freeman","position":"ST 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</v>
      </c>
      <c r="L35" t="str">
        <f>IF(Workings!$AE21="","","{""gw"":"&amp;Workings!$AD21&amp;",""date"":"""&amp;TEXT(Workings!$AE21,"yyyy-mm-dd")&amp;""",""opponent"":"""&amp;Workings!$AF21&amp;""",""venue"":"""&amp;Workings!$AG21&amp;""",""gf"":"&amp;N(Workings!$AH21)&amp;",""ga"":"&amp;N(Workings!$AI21)&amp;",""result"":"""&amp;Workings!$AJ21&amp;"""}")</f>
        <v/>
      </c>
      <c r="N35" t="str" cm="1">
        <f t="array" ref="N35">IF(LEN(INDEX(Attendance!$E$3:$CN$3,1,(16-1)*2+1))=0,"","{""index"":16,""gw"":8,""date"":"""&amp;TEXT(INDEX(Attendance!$E$3:$CN$3,1,(16-1)*2+1),"yyyy-mm-dd")&amp;"""}")</f>
        <v/>
      </c>
      <c r="T35" t="str">
        <f>IF('Team Selection'!$C55="","","{""player"":"""&amp;'Team Selection'!$C55&amp;""",""position"":"""&amp;'Team Selection'!$D55&amp;""",""overallGrade"":"&amp;ROUND(N('Team Selection'!$E55),2)&amp;",""seasonScore"":"&amp;ROUND(N('Team Selection'!$F55),4)&amp;",""status"":"""&amp;'Team Selection'!$G55&amp;"""}")</f>
        <v/>
      </c>
      <c r="V35" t="str">
        <f>IF(OR('Team Selection'!$C79="",'Team Selection'!$E79="Yes"),"","{""player"":"""&amp;'Team Selection'!$C79&amp;""",""reason"":"""&amp;'Team Selection'!$F79&amp;"""}")</f>
        <v/>
      </c>
      <c r="X35" t="str" cm="1">
        <f t="array" ref="X35">IF(Attendance!$D20="","",_xlfn.TEXTJOIN(",",TRUE,IF(Attendance!$E$4:$CN$4="Att","["&amp;IF(Attendance!$E20:$CN20="Yes",1,0)&amp;","&amp;IF(Attendance!$F20:$CO20="",0,Attendance!$F20:$CO20)&amp;"]","")))</f>
        <v>[0,0],[0,0],[0,0],[0,0],[0,0],[0,0],[0,0],[0,0],[0,0],[0,0],[0,0],[0,0],[0,0],[0,0],[0,0],[0,0],[0,0],[0,0],[0,0],[0,0],[0,0],[0,0],[0,0],[0,0],[0,0],[0,0],[0,0],[0,0],[0,0],[0,0],[0,0],[0,0],[0,0],[0,0],[0,0],[0,0],[0,0],[0,0],[0,0],[0,0],[0,0],[0,0],[0,0],[0,0]</v>
      </c>
      <c r="Z35" t="str" cm="1">
        <f t="array" ref="Z35">IF(Attendance!$D20="","",_xlfn.TEXTJOIN(",",TRUE,IF(Attendance!$CP$4:$FY$4="Att","["&amp;IF(Attendance!$CP20:$FY20="Yes",1,IF(Attendance!$CP20:$FY20="No",0,-1))&amp;","&amp;IF(Attendance!$CQ20:$FZ20="",0,Attendance!$CQ20:$FZ20)&amp;","&amp;IF(Attendance!$CR20:$GA20="",0,Attendance!$CR20:$GA20)&amp;","&amp;IF(Attendance!$CS20:$GB20="Yes",1,0)&amp;"]","")))</f>
        <v>[-1,0,0,0],[-1,0,0,0],[-1,0,0,0],[-1,0,0,0],[-1,0,0,0],[-1,0,0,0],[-1,0,0,0],[-1,0,0,0],[-1,0,0,0],[-1,0,0,0],[-1,0,0,0],[-1,0,0,0],[-1,0,0,0],[-1,0,0,0],[-1,0,0,0],[-1,0,0,0],[-1,0,0,0],[-1,0,0,0],[-1,0,0,0],[-1,0,0,0],[-1,0,0,0],[-1,0,0,0]</v>
      </c>
      <c r="AB35" t="str" cm="1">
        <f t="array" ref="AB35">IF(AND('Match Day Reports'!$L60="",COUNTIF('Match Day Reports'!$K24:$AD24,"?*")=0),"","{""gw"":"&amp;'Match Day Reports'!$J24&amp;",""xi"":["&amp;_xlfn.TEXTJOIN(",",TRUE,IF('Match Day Reports'!$K24:$U24="","",""""&amp;'Match Day Reports'!$K24:$U24&amp;""""))&amp;"],""subs"":["&amp;_xlfn.TEXTJOIN(",",TRUE,IF('Match Day Reports'!$V24:$AB24="","",""""&amp;'Match Day Reports'!$V24:$AB24&amp;""""))&amp;"],""motm"":"""&amp;IFERROR(INDEX(Attendance!$D$5:$D$24,MATCH("Yes",INDEX(Attendance!$CP$5:$FY$24,0,('Match Day Reports'!$J24-1)*4+4),0)),"")&amp;""",""matchNotes"":"""&amp;SUBSTITUTE(SUBSTITUTE('Match Day Reports'!$AC24,"""","'"),CHAR(10)," ")&amp;""",""keyNotes"":"""&amp;SUBSTITUTE(SUBSTITUTE('Match Day Reports'!$AD24,"""","'"),CHAR(10)," ")&amp;"""}")</f>
        <v/>
      </c>
    </row>
    <row r="36" spans="10:28" x14ac:dyDescent="0.45">
      <c r="J36" t="str">
        <f>IF(Attendance!$D21="","","{""number"":"&amp;Attendance!$C21&amp;",""name"":"""&amp;Attendance!$D21&amp;""",""position"":"""&amp;'Player Grading'!$D22&amp;""",""availability"":"""&amp;'Team Selection'!$E80&amp;""",""unavailableReason"":"""&amp;'Team Selection'!$F80&amp;""",""trainingAttendancePct"":"&amp;ROUND(N(Attendance!$GC21),4)&amp;",""avgWorkRate"":"&amp;ROUND(N(Attendance!$GD21),2)&amp;",""matchdayAttendancePct"":"&amp;ROUND(N(Attendance!$GH21),4)&amp;",""minutes"":"&amp;N(Attendance!$GI21)&amp;",""avgMinutes"":"&amp;ROUND(N(Attendance!$GJ21),1)&amp;",""avgRating"":"&amp;ROUND(N(Attendance!$GK21),2)&amp;",""motm"":"&amp;N(Attendance!$GM21)&amp;",""seasonScore"":"&amp;ROUND(N(Attendance!$GN21),4)&amp;",""comment"":"""&amp;Attendance!$GR21&amp;""",""toWorkOn"":"""&amp;Attendance!$GS21&amp;""",""sessions"":["&amp;$X36&amp;"],""matches"":["&amp;$Z36&amp;"]}")</f>
        <v>{"number":17,"name":"Marianna","position":"RB / CB","availability":"Yes","unavailableReason":"","trainingAttendancePct":0,"avgWorkRate":0,"matchdayAttendancePct":0,"minutes":0,"avgMinutes":0,"avgRating":0,"motm":0,"seasonScore":0,"comment":"","toWorkOn":"","sessions":[[0,0],[0,0],[0,0],[0,0],[0,0],[0,0],[0,0],[0,0],[0,0],[0,0],[0,0],[0,0],[0,0],[0,0],[0,0],[0,0],[0,0],[0,0],[0,0],[0,0],[0,0],[0,0],[0,0],[0,0],[0,0],[0,0],[0,0],[0,0],[0,0],[0,0],[0,0],[0,0],[0,0],[0,0],[0,0],[0,0],[0,0],[0,0],[0,0],[0,0],[0,0],[0,0],[0,0],[0,0]],"matches":[[-1,0,0,0],[-1,0,0,0],[-1,0,0,0],[-1,0,0,0],[-1,0,0,0],[-1,0,0,0],[-1,0,0,0],[-1,0,0,0],[-1,0,0,0],[-1,0,0,0],[-1,0,0,0],[-1,0,0,0],[-1,0,0,0],[-1,0,0,0],[-1,0,0,0],[-1,0,0,0],[-1,0,0,0],[-1,0,0,0],[-1,0,0,0],[-1,0,0,0],[-1,0,0,0],[-1,0,0,0]]}</v>
      </c>
      <c r="L36" t="str">
        <f>IF(Workings!$AE22="","","{""gw"":"&amp;Workings!$AD22&amp;",""date"":"""&amp;TEXT(Workings!$AE22,"yyyy-mm-dd")&amp;""",""opponent"":"""&amp;Workings!$AF22&amp;""",""venue"":"""&amp;Workings!$AG22&amp;""",""gf"":"&amp;N(Workings!$AH22)&amp;",""ga"":"&amp;N(Workings!$AI22)&amp;",""result"":"""&amp;Workings!$AJ22&amp;"""}")</f>
        <v/>
      </c>
      <c r="N36" t="str" cm="1">
        <f t="array" ref="N36">IF(LEN(INDEX(Attendance!$E$3:$CN$3,1,(17-1)*2+1))=0,"","{""index"":17,""gw"":9,""date"":"""&amp;TEXT(INDEX(Attendance!$E$3:$CN$3,1,(17-1)*2+1),"yyyy-mm-dd")&amp;"""}")</f>
        <v/>
      </c>
      <c r="T36" t="str">
        <f>IF('Team Selection'!$C56="","","{""player"":"""&amp;'Team Selection'!$C56&amp;""",""position"":"""&amp;'Team Selection'!$D56&amp;""",""overallGrade"":"&amp;ROUND(N('Team Selection'!$E56),2)&amp;",""seasonScore"":"&amp;ROUND(N('Team Selection'!$F56),4)&amp;",""status"":"""&amp;'Team Selection'!$G56&amp;"""}")</f>
        <v/>
      </c>
      <c r="V36" t="str">
        <f>IF(OR('Team Selection'!$C80="",'Team Selection'!$E80="Yes"),"","{""player"":"""&amp;'Team Selection'!$C80&amp;""",""reason"":"""&amp;'Team Selection'!$F80&amp;"""}")</f>
        <v/>
      </c>
      <c r="X36" t="str" cm="1">
        <f t="array" ref="X36">IF(Attendance!$D21="","",_xlfn.TEXTJOIN(",",TRUE,IF(Attendance!$E$4:$CN$4="Att","["&amp;IF(Attendance!$E21:$CN21="Yes",1,0)&amp;","&amp;IF(Attendance!$F21:$CO21="",0,Attendance!$F21:$CO21)&amp;"]","")))</f>
        <v>[0,0],[0,0],[0,0],[0,0],[0,0],[0,0],[0,0],[0,0],[0,0],[0,0],[0,0],[0,0],[0,0],[0,0],[0,0],[0,0],[0,0],[0,0],[0,0],[0,0],[0,0],[0,0],[0,0],[0,0],[0,0],[0,0],[0,0],[0,0],[0,0],[0,0],[0,0],[0,0],[0,0],[0,0],[0,0],[0,0],[0,0],[0,0],[0,0],[0,0],[0,0],[0,0],[0,0],[0,0]</v>
      </c>
      <c r="Z36" t="str" cm="1">
        <f t="array" ref="Z36">IF(Attendance!$D21="","",_xlfn.TEXTJOIN(",",TRUE,IF(Attendance!$CP$4:$FY$4="Att","["&amp;IF(Attendance!$CP21:$FY21="Yes",1,IF(Attendance!$CP21:$FY21="No",0,-1))&amp;","&amp;IF(Attendance!$CQ21:$FZ21="",0,Attendance!$CQ21:$FZ21)&amp;","&amp;IF(Attendance!$CR21:$GA21="",0,Attendance!$CR21:$GA21)&amp;","&amp;IF(Attendance!$CS21:$GB21="Yes",1,0)&amp;"]","")))</f>
        <v>[-1,0,0,0],[-1,0,0,0],[-1,0,0,0],[-1,0,0,0],[-1,0,0,0],[-1,0,0,0],[-1,0,0,0],[-1,0,0,0],[-1,0,0,0],[-1,0,0,0],[-1,0,0,0],[-1,0,0,0],[-1,0,0,0],[-1,0,0,0],[-1,0,0,0],[-1,0,0,0],[-1,0,0,0],[-1,0,0,0],[-1,0,0,0],[-1,0,0,0],[-1,0,0,0],[-1,0,0,0]</v>
      </c>
      <c r="AB36" t="str" cm="1">
        <f t="array" ref="AB36">IF(AND('Match Day Reports'!$L61="",COUNTIF('Match Day Reports'!$K25:$AD25,"?*")=0),"","{""gw"":"&amp;'Match Day Reports'!$J25&amp;",""xi"":["&amp;_xlfn.TEXTJOIN(",",TRUE,IF('Match Day Reports'!$K25:$U25="","",""""&amp;'Match Day Reports'!$K25:$U25&amp;""""))&amp;"],""subs"":["&amp;_xlfn.TEXTJOIN(",",TRUE,IF('Match Day Reports'!$V25:$AB25="","",""""&amp;'Match Day Reports'!$V25:$AB25&amp;""""))&amp;"],""motm"":"""&amp;IFERROR(INDEX(Attendance!$D$5:$D$24,MATCH("Yes",INDEX(Attendance!$CP$5:$FY$24,0,('Match Day Reports'!$J25-1)*4+4),0)),"")&amp;""",""matchNotes"":"""&amp;SUBSTITUTE(SUBSTITUTE('Match Day Reports'!$AC25,"""","'"),CHAR(10)," ")&amp;""",""keyNotes"":"""&amp;SUBSTITUTE(SUBSTITUTE('Match Day Reports'!$AD25,"""","'"),CHAR(10)," ")&amp;"""}")</f>
        <v/>
      </c>
    </row>
    <row r="37" spans="10:28" x14ac:dyDescent="0.45">
      <c r="J37" t="str">
        <f>IF(Attendance!$D22="","","{""number"":"&amp;Attendance!$C22&amp;",""name"":"""&amp;Attendance!$D22&amp;""",""position"":"""&amp;'Player Grading'!$D23&amp;""",""availability"":"""&amp;'Team Selection'!$E81&amp;""",""unavailableReason"":"""&amp;'Team Selection'!$F81&amp;""",""trainingAttendancePct"":"&amp;ROUND(N(Attendance!$GC22),4)&amp;",""avgWorkRate"":"&amp;ROUND(N(Attendance!$GD22),2)&amp;",""matchdayAttendancePct"":"&amp;ROUND(N(Attendance!$GH22),4)&amp;",""minutes"":"&amp;N(Attendance!$GI22)&amp;",""avgMinutes"":"&amp;ROUND(N(Attendance!$GJ22),1)&amp;",""avgRating"":"&amp;ROUND(N(Attendance!$GK22),2)&amp;",""motm"":"&amp;N(Attendance!$GM22)&amp;",""seasonScore"":"&amp;ROUND(N(Attendance!$GN22),4)&amp;",""comment"":"""&amp;Attendance!$GR22&amp;""",""toWorkOn"":"""&amp;Attendance!$GS22&amp;""",""sessions"":["&amp;$X37&amp;"],""matches"":["&amp;$Z37&amp;"]}")</f>
        <v/>
      </c>
      <c r="L37" t="str">
        <f>IF(Workings!$AE23="","","{""gw"":"&amp;Workings!$AD23&amp;",""date"":"""&amp;TEXT(Workings!$AE23,"yyyy-mm-dd")&amp;""",""opponent"":"""&amp;Workings!$AF23&amp;""",""venue"":"""&amp;Workings!$AG23&amp;""",""gf"":"&amp;N(Workings!$AH23)&amp;",""ga"":"&amp;N(Workings!$AI23)&amp;",""result"":"""&amp;Workings!$AJ23&amp;"""}")</f>
        <v/>
      </c>
      <c r="N37" t="str" cm="1">
        <f t="array" ref="N37">IF(LEN(INDEX(Attendance!$E$3:$CN$3,1,(18-1)*2+1))=0,"","{""index"":18,""gw"":9,""date"":"""&amp;TEXT(INDEX(Attendance!$E$3:$CN$3,1,(18-1)*2+1),"yyyy-mm-dd")&amp;"""}")</f>
        <v/>
      </c>
      <c r="T37" t="str">
        <f>IF('Team Selection'!$C57="","","{""player"":"""&amp;'Team Selection'!$C57&amp;""",""position"":"""&amp;'Team Selection'!$D57&amp;""",""overallGrade"":"&amp;ROUND(N('Team Selection'!$E57),2)&amp;",""seasonScore"":"&amp;ROUND(N('Team Selection'!$F57),4)&amp;",""status"":"""&amp;'Team Selection'!$G57&amp;"""}")</f>
        <v/>
      </c>
      <c r="V37" t="str">
        <f>IF(OR('Team Selection'!$C81="",'Team Selection'!$E81="Yes"),"","{""player"":"""&amp;'Team Selection'!$C81&amp;""",""reason"":"""&amp;'Team Selection'!$F81&amp;"""}")</f>
        <v/>
      </c>
      <c r="X37" t="str" cm="1">
        <f t="array" ref="X37">IF(Attendance!$D22="","",_xlfn.TEXTJOIN(",",TRUE,IF(Attendance!$E$4:$CN$4="Att","["&amp;IF(Attendance!$E22:$CN22="Yes",1,0)&amp;","&amp;IF(Attendance!$F22:$CO22="",0,Attendance!$F22:$CO22)&amp;"]","")))</f>
        <v/>
      </c>
      <c r="Z37" t="str" cm="1">
        <f t="array" ref="Z37">IF(Attendance!$D22="","",_xlfn.TEXTJOIN(",",TRUE,IF(Attendance!$CP$4:$FY$4="Att","["&amp;IF(Attendance!$CP22:$FY22="Yes",1,IF(Attendance!$CP22:$FY22="No",0,-1))&amp;","&amp;IF(Attendance!$CQ22:$FZ22="",0,Attendance!$CQ22:$FZ22)&amp;","&amp;IF(Attendance!$CR22:$GA22="",0,Attendance!$CR22:$GA22)&amp;","&amp;IF(Attendance!$CS22:$GB22="Yes",1,0)&amp;"]","")))</f>
        <v/>
      </c>
      <c r="AB37" t="str" cm="1">
        <f t="array" ref="AB37">IF(AND('Match Day Reports'!$L62="",COUNTIF('Match Day Reports'!$K26:$AD26,"?*")=0),"","{""gw"":"&amp;'Match Day Reports'!$J26&amp;",""xi"":["&amp;_xlfn.TEXTJOIN(",",TRUE,IF('Match Day Reports'!$K26:$U26="","",""""&amp;'Match Day Reports'!$K26:$U26&amp;""""))&amp;"],""subs"":["&amp;_xlfn.TEXTJOIN(",",TRUE,IF('Match Day Reports'!$V26:$AB26="","",""""&amp;'Match Day Reports'!$V26:$AB26&amp;""""))&amp;"],""motm"":"""&amp;IFERROR(INDEX(Attendance!$D$5:$D$24,MATCH("Yes",INDEX(Attendance!$CP$5:$FY$24,0,('Match Day Reports'!$J26-1)*4+4),0)),"")&amp;""",""matchNotes"":"""&amp;SUBSTITUTE(SUBSTITUTE('Match Day Reports'!$AC26,"""","'"),CHAR(10)," ")&amp;""",""keyNotes"":"""&amp;SUBSTITUTE(SUBSTITUTE('Match Day Reports'!$AD26,"""","'"),CHAR(10)," ")&amp;"""}")</f>
        <v/>
      </c>
    </row>
    <row r="38" spans="10:28" x14ac:dyDescent="0.45">
      <c r="J38" t="str">
        <f>IF(Attendance!$D23="","","{""number"":"&amp;Attendance!$C23&amp;",""name"":"""&amp;Attendance!$D23&amp;""",""position"":"""&amp;'Player Grading'!$D24&amp;""",""availability"":"""&amp;'Team Selection'!$E82&amp;""",""unavailableReason"":"""&amp;'Team Selection'!$F82&amp;""",""trainingAttendancePct"":"&amp;ROUND(N(Attendance!$GC23),4)&amp;",""avgWorkRate"":"&amp;ROUND(N(Attendance!$GD23),2)&amp;",""matchdayAttendancePct"":"&amp;ROUND(N(Attendance!$GH23),4)&amp;",""minutes"":"&amp;N(Attendance!$GI23)&amp;",""avgMinutes"":"&amp;ROUND(N(Attendance!$GJ23),1)&amp;",""avgRating"":"&amp;ROUND(N(Attendance!$GK23),2)&amp;",""motm"":"&amp;N(Attendance!$GM23)&amp;",""seasonScore"":"&amp;ROUND(N(Attendance!$GN23),4)&amp;",""comment"":"""&amp;Attendance!$GR23&amp;""",""toWorkOn"":"""&amp;Attendance!$GS23&amp;""",""sessions"":["&amp;$X38&amp;"],""matches"":["&amp;$Z38&amp;"]}")</f>
        <v/>
      </c>
      <c r="L38" t="str">
        <f>IF(Workings!$AE24="","","{""gw"":"&amp;Workings!$AD24&amp;",""date"":"""&amp;TEXT(Workings!$AE24,"yyyy-mm-dd")&amp;""",""opponent"":"""&amp;Workings!$AF24&amp;""",""venue"":"""&amp;Workings!$AG24&amp;""",""gf"":"&amp;N(Workings!$AH24)&amp;",""ga"":"&amp;N(Workings!$AI24)&amp;",""result"":"""&amp;Workings!$AJ24&amp;"""}")</f>
        <v/>
      </c>
      <c r="N38" t="str" cm="1">
        <f t="array" ref="N38">IF(LEN(INDEX(Attendance!$E$3:$CN$3,1,(19-1)*2+1))=0,"","{""index"":19,""gw"":10,""date"":"""&amp;TEXT(INDEX(Attendance!$E$3:$CN$3,1,(19-1)*2+1),"yyyy-mm-dd")&amp;"""}")</f>
        <v/>
      </c>
      <c r="T38" t="str">
        <f>IF('Team Selection'!$C58="","","{""player"":"""&amp;'Team Selection'!$C58&amp;""",""position"":"""&amp;'Team Selection'!$D58&amp;""",""overallGrade"":"&amp;ROUND(N('Team Selection'!$E58),2)&amp;",""seasonScore"":"&amp;ROUND(N('Team Selection'!$F58),4)&amp;",""status"":"""&amp;'Team Selection'!$G58&amp;"""}")</f>
        <v/>
      </c>
      <c r="V38" t="str">
        <f>IF(OR('Team Selection'!$C82="",'Team Selection'!$E82="Yes"),"","{""player"":"""&amp;'Team Selection'!$C82&amp;""",""reason"":"""&amp;'Team Selection'!$F82&amp;"""}")</f>
        <v/>
      </c>
      <c r="X38" t="str" cm="1">
        <f t="array" ref="X38">IF(Attendance!$D23="","",_xlfn.TEXTJOIN(",",TRUE,IF(Attendance!$E$4:$CN$4="Att","["&amp;IF(Attendance!$E23:$CN23="Yes",1,0)&amp;","&amp;IF(Attendance!$F23:$CO23="",0,Attendance!$F23:$CO23)&amp;"]","")))</f>
        <v/>
      </c>
      <c r="Z38" t="str" cm="1">
        <f t="array" ref="Z38">IF(Attendance!$D23="","",_xlfn.TEXTJOIN(",",TRUE,IF(Attendance!$CP$4:$FY$4="Att","["&amp;IF(Attendance!$CP23:$FY23="Yes",1,IF(Attendance!$CP23:$FY23="No",0,-1))&amp;","&amp;IF(Attendance!$CQ23:$FZ23="",0,Attendance!$CQ23:$FZ23)&amp;","&amp;IF(Attendance!$CR23:$GA23="",0,Attendance!$CR23:$GA23)&amp;","&amp;IF(Attendance!$CS23:$GB23="Yes",1,0)&amp;"]","")))</f>
        <v/>
      </c>
      <c r="AB38" t="str" cm="1">
        <f t="array" ref="AB38">IF(AND('Match Day Reports'!$L63="",COUNTIF('Match Day Reports'!$K27:$AD27,"?*")=0),"","{""gw"":"&amp;'Match Day Reports'!$J27&amp;",""xi"":["&amp;_xlfn.TEXTJOIN(",",TRUE,IF('Match Day Reports'!$K27:$U27="","",""""&amp;'Match Day Reports'!$K27:$U27&amp;""""))&amp;"],""subs"":["&amp;_xlfn.TEXTJOIN(",",TRUE,IF('Match Day Reports'!$V27:$AB27="","",""""&amp;'Match Day Reports'!$V27:$AB27&amp;""""))&amp;"],""motm"":"""&amp;IFERROR(INDEX(Attendance!$D$5:$D$24,MATCH("Yes",INDEX(Attendance!$CP$5:$FY$24,0,('Match Day Reports'!$J27-1)*4+4),0)),"")&amp;""",""matchNotes"":"""&amp;SUBSTITUTE(SUBSTITUTE('Match Day Reports'!$AC27,"""","'"),CHAR(10)," ")&amp;""",""keyNotes"":"""&amp;SUBSTITUTE(SUBSTITUTE('Match Day Reports'!$AD27,"""","'"),CHAR(10)," ")&amp;"""}")</f>
        <v/>
      </c>
    </row>
    <row r="39" spans="10:28" x14ac:dyDescent="0.45">
      <c r="J39" t="str">
        <f>IF(Attendance!$D24="","","{""number"":"&amp;Attendance!$C24&amp;",""name"":"""&amp;Attendance!$D24&amp;""",""position"":"""&amp;'Player Grading'!$D25&amp;""",""availability"":"""&amp;'Team Selection'!$E83&amp;""",""unavailableReason"":"""&amp;'Team Selection'!$F83&amp;""",""trainingAttendancePct"":"&amp;ROUND(N(Attendance!$GC24),4)&amp;",""avgWorkRate"":"&amp;ROUND(N(Attendance!$GD24),2)&amp;",""matchdayAttendancePct"":"&amp;ROUND(N(Attendance!$GH24),4)&amp;",""minutes"":"&amp;N(Attendance!$GI24)&amp;",""avgMinutes"":"&amp;ROUND(N(Attendance!$GJ24),1)&amp;",""avgRating"":"&amp;ROUND(N(Attendance!$GK24),2)&amp;",""motm"":"&amp;N(Attendance!$GM24)&amp;",""seasonScore"":"&amp;ROUND(N(Attendance!$GN24),4)&amp;",""comment"":"""&amp;Attendance!$GR24&amp;""",""toWorkOn"":"""&amp;Attendance!$GS24&amp;""",""sessions"":["&amp;$X39&amp;"],""matches"":["&amp;$Z39&amp;"]}")</f>
        <v/>
      </c>
      <c r="L39" t="str">
        <f>IF(Workings!$AE25="","","{""gw"":"&amp;Workings!$AD25&amp;",""date"":"""&amp;TEXT(Workings!$AE25,"yyyy-mm-dd")&amp;""",""opponent"":"""&amp;Workings!$AF25&amp;""",""venue"":"""&amp;Workings!$AG25&amp;""",""gf"":"&amp;N(Workings!$AH25)&amp;",""ga"":"&amp;N(Workings!$AI25)&amp;",""result"":"""&amp;Workings!$AJ25&amp;"""}")</f>
        <v/>
      </c>
      <c r="N39" t="str" cm="1">
        <f t="array" ref="N39">IF(LEN(INDEX(Attendance!$E$3:$CN$3,1,(20-1)*2+1))=0,"","{""index"":20,""gw"":10,""date"":"""&amp;TEXT(INDEX(Attendance!$E$3:$CN$3,1,(20-1)*2+1),"yyyy-mm-dd")&amp;"""}")</f>
        <v/>
      </c>
      <c r="T39" t="str">
        <f>IF('Team Selection'!$C59="","","{""player"":"""&amp;'Team Selection'!$C59&amp;""",""position"":"""&amp;'Team Selection'!$D59&amp;""",""overallGrade"":"&amp;ROUND(N('Team Selection'!$E59),2)&amp;",""seasonScore"":"&amp;ROUND(N('Team Selection'!$F59),4)&amp;",""status"":"""&amp;'Team Selection'!$G59&amp;"""}")</f>
        <v/>
      </c>
      <c r="V39" t="str">
        <f>IF(OR('Team Selection'!$C83="",'Team Selection'!$E83="Yes"),"","{""player"":"""&amp;'Team Selection'!$C83&amp;""",""reason"":"""&amp;'Team Selection'!$F83&amp;"""}")</f>
        <v/>
      </c>
      <c r="X39" t="str" cm="1">
        <f t="array" ref="X39">IF(Attendance!$D24="","",_xlfn.TEXTJOIN(",",TRUE,IF(Attendance!$E$4:$CN$4="Att","["&amp;IF(Attendance!$E24:$CN24="Yes",1,0)&amp;","&amp;IF(Attendance!$F24:$CO24="",0,Attendance!$F24:$CO24)&amp;"]","")))</f>
        <v/>
      </c>
      <c r="Z39" t="str" cm="1">
        <f t="array" ref="Z39">IF(Attendance!$D24="","",_xlfn.TEXTJOIN(",",TRUE,IF(Attendance!$CP$4:$FY$4="Att","["&amp;IF(Attendance!$CP24:$FY24="Yes",1,IF(Attendance!$CP24:$FY24="No",0,-1))&amp;","&amp;IF(Attendance!$CQ24:$FZ24="",0,Attendance!$CQ24:$FZ24)&amp;","&amp;IF(Attendance!$CR24:$GA24="",0,Attendance!$CR24:$GA24)&amp;","&amp;IF(Attendance!$CS24:$GB24="Yes",1,0)&amp;"]","")))</f>
        <v/>
      </c>
      <c r="AB39" t="str" cm="1">
        <f t="array" ref="AB39">IF(AND('Match Day Reports'!$L64="",COUNTIF('Match Day Reports'!$K28:$AD28,"?*")=0),"","{""gw"":"&amp;'Match Day Reports'!$J28&amp;",""xi"":["&amp;_xlfn.TEXTJOIN(",",TRUE,IF('Match Day Reports'!$K28:$U28="","",""""&amp;'Match Day Reports'!$K28:$U28&amp;""""))&amp;"],""subs"":["&amp;_xlfn.TEXTJOIN(",",TRUE,IF('Match Day Reports'!$V28:$AB28="","",""""&amp;'Match Day Reports'!$V28:$AB28&amp;""""))&amp;"],""motm"":"""&amp;IFERROR(INDEX(Attendance!$D$5:$D$24,MATCH("Yes",INDEX(Attendance!$CP$5:$FY$24,0,('Match Day Reports'!$J28-1)*4+4),0)),"")&amp;""",""matchNotes"":"""&amp;SUBSTITUTE(SUBSTITUTE('Match Day Reports'!$AC28,"""","'"),CHAR(10)," ")&amp;""",""keyNotes"":"""&amp;SUBSTITUTE(SUBSTITUTE('Match Day Reports'!$AD28,"""","'"),CHAR(10)," ")&amp;"""}")</f>
        <v/>
      </c>
    </row>
    <row r="40" spans="10:28" x14ac:dyDescent="0.45">
      <c r="L40" t="str">
        <f>IF(Workings!$AE26="","","{""gw"":"&amp;Workings!$AD26&amp;",""date"":"""&amp;TEXT(Workings!$AE26,"yyyy-mm-dd")&amp;""",""opponent"":"""&amp;Workings!$AF26&amp;""",""venue"":"""&amp;Workings!$AG26&amp;""",""gf"":"&amp;N(Workings!$AH26)&amp;",""ga"":"&amp;N(Workings!$AI26)&amp;",""result"":"""&amp;Workings!$AJ26&amp;"""}")</f>
        <v/>
      </c>
      <c r="N40" t="str" cm="1">
        <f t="array" ref="N40">IF(LEN(INDEX(Attendance!$E$3:$CN$3,1,(21-1)*2+1))=0,"","{""index"":21,""gw"":11,""date"":"""&amp;TEXT(INDEX(Attendance!$E$3:$CN$3,1,(21-1)*2+1),"yyyy-mm-dd")&amp;"""}")</f>
        <v/>
      </c>
      <c r="AB40" t="str" cm="1">
        <f t="array" ref="AB40">IF(AND('Match Day Reports'!$L65="",COUNTIF('Match Day Reports'!$K29:$AD29,"?*")=0),"","{""gw"":"&amp;'Match Day Reports'!$J29&amp;",""xi"":["&amp;_xlfn.TEXTJOIN(",",TRUE,IF('Match Day Reports'!$K29:$U29="","",""""&amp;'Match Day Reports'!$K29:$U29&amp;""""))&amp;"],""subs"":["&amp;_xlfn.TEXTJOIN(",",TRUE,IF('Match Day Reports'!$V29:$AB29="","",""""&amp;'Match Day Reports'!$V29:$AB29&amp;""""))&amp;"],""motm"":"""&amp;IFERROR(INDEX(Attendance!$D$5:$D$24,MATCH("Yes",INDEX(Attendance!$CP$5:$FY$24,0,('Match Day Reports'!$J29-1)*4+4),0)),"")&amp;""",""matchNotes"":"""&amp;SUBSTITUTE(SUBSTITUTE('Match Day Reports'!$AC29,"""","'"),CHAR(10)," ")&amp;""",""keyNotes"":"""&amp;SUBSTITUTE(SUBSTITUTE('Match Day Reports'!$AD29,"""","'"),CHAR(10)," ")&amp;"""}")</f>
        <v/>
      </c>
    </row>
    <row r="41" spans="10:28" x14ac:dyDescent="0.45">
      <c r="L41" t="str">
        <f>IF(Workings!$AE27="","","{""gw"":"&amp;Workings!$AD27&amp;",""date"":"""&amp;TEXT(Workings!$AE27,"yyyy-mm-dd")&amp;""",""opponent"":"""&amp;Workings!$AF27&amp;""",""venue"":"""&amp;Workings!$AG27&amp;""",""gf"":"&amp;N(Workings!$AH27)&amp;",""ga"":"&amp;N(Workings!$AI27)&amp;",""result"":"""&amp;Workings!$AJ27&amp;"""}")</f>
        <v/>
      </c>
      <c r="N41" t="str" cm="1">
        <f t="array" ref="N41">IF(LEN(INDEX(Attendance!$E$3:$CN$3,1,(22-1)*2+1))=0,"","{""index"":22,""gw"":11,""date"":"""&amp;TEXT(INDEX(Attendance!$E$3:$CN$3,1,(22-1)*2+1),"yyyy-mm-dd")&amp;"""}")</f>
        <v/>
      </c>
      <c r="AB41" t="str" cm="1">
        <f t="array" ref="AB41">IF(AND('Match Day Reports'!$L66="",COUNTIF('Match Day Reports'!$K30:$AD30,"?*")=0),"","{""gw"":"&amp;'Match Day Reports'!$J30&amp;",""xi"":["&amp;_xlfn.TEXTJOIN(",",TRUE,IF('Match Day Reports'!$K30:$U30="","",""""&amp;'Match Day Reports'!$K30:$U30&amp;""""))&amp;"],""subs"":["&amp;_xlfn.TEXTJOIN(",",TRUE,IF('Match Day Reports'!$V30:$AB30="","",""""&amp;'Match Day Reports'!$V30:$AB30&amp;""""))&amp;"],""motm"":"""&amp;IFERROR(INDEX(Attendance!$D$5:$D$24,MATCH("Yes",INDEX(Attendance!$CP$5:$FY$24,0,('Match Day Reports'!$J30-1)*4+4),0)),"")&amp;""",""matchNotes"":"""&amp;SUBSTITUTE(SUBSTITUTE('Match Day Reports'!$AC30,"""","'"),CHAR(10)," ")&amp;""",""keyNotes"":"""&amp;SUBSTITUTE(SUBSTITUTE('Match Day Reports'!$AD30,"""","'"),CHAR(10)," ")&amp;"""}")</f>
        <v/>
      </c>
    </row>
    <row r="42" spans="10:28" x14ac:dyDescent="0.45">
      <c r="N42" t="str" cm="1">
        <f t="array" ref="N42">IF(LEN(INDEX(Attendance!$E$3:$CN$3,1,(23-1)*2+1))=0,"","{""index"":23,""gw"":12,""date"":"""&amp;TEXT(INDEX(Attendance!$E$3:$CN$3,1,(23-1)*2+1),"yyyy-mm-dd")&amp;"""}")</f>
        <v/>
      </c>
    </row>
    <row r="43" spans="10:28" x14ac:dyDescent="0.45">
      <c r="N43" t="str" cm="1">
        <f t="array" ref="N43">IF(LEN(INDEX(Attendance!$E$3:$CN$3,1,(24-1)*2+1))=0,"","{""index"":24,""gw"":12,""date"":"""&amp;TEXT(INDEX(Attendance!$E$3:$CN$3,1,(24-1)*2+1),"yyyy-mm-dd")&amp;"""}")</f>
        <v/>
      </c>
    </row>
    <row r="44" spans="10:28" x14ac:dyDescent="0.45">
      <c r="N44" t="str" cm="1">
        <f t="array" ref="N44">IF(LEN(INDEX(Attendance!$E$3:$CN$3,1,(25-1)*2+1))=0,"","{""index"":25,""gw"":13,""date"":"""&amp;TEXT(INDEX(Attendance!$E$3:$CN$3,1,(25-1)*2+1),"yyyy-mm-dd")&amp;"""}")</f>
        <v/>
      </c>
    </row>
    <row r="45" spans="10:28" x14ac:dyDescent="0.45">
      <c r="N45" t="str" cm="1">
        <f t="array" ref="N45">IF(LEN(INDEX(Attendance!$E$3:$CN$3,1,(26-1)*2+1))=0,"","{""index"":26,""gw"":13,""date"":"""&amp;TEXT(INDEX(Attendance!$E$3:$CN$3,1,(26-1)*2+1),"yyyy-mm-dd")&amp;"""}")</f>
        <v/>
      </c>
    </row>
    <row r="46" spans="10:28" x14ac:dyDescent="0.45">
      <c r="N46" t="str" cm="1">
        <f t="array" ref="N46">IF(LEN(INDEX(Attendance!$E$3:$CN$3,1,(27-1)*2+1))=0,"","{""index"":27,""gw"":14,""date"":"""&amp;TEXT(INDEX(Attendance!$E$3:$CN$3,1,(27-1)*2+1),"yyyy-mm-dd")&amp;"""}")</f>
        <v/>
      </c>
    </row>
    <row r="47" spans="10:28" x14ac:dyDescent="0.45">
      <c r="N47" t="str" cm="1">
        <f t="array" ref="N47">IF(LEN(INDEX(Attendance!$E$3:$CN$3,1,(28-1)*2+1))=0,"","{""index"":28,""gw"":14,""date"":"""&amp;TEXT(INDEX(Attendance!$E$3:$CN$3,1,(28-1)*2+1),"yyyy-mm-dd")&amp;"""}")</f>
        <v/>
      </c>
    </row>
    <row r="48" spans="10:28" x14ac:dyDescent="0.45">
      <c r="N48" t="str" cm="1">
        <f t="array" ref="N48">IF(LEN(INDEX(Attendance!$E$3:$CN$3,1,(29-1)*2+1))=0,"","{""index"":29,""gw"":15,""date"":"""&amp;TEXT(INDEX(Attendance!$E$3:$CN$3,1,(29-1)*2+1),"yyyy-mm-dd")&amp;"""}")</f>
        <v/>
      </c>
    </row>
    <row r="49" spans="14:14" x14ac:dyDescent="0.45">
      <c r="N49" t="str" cm="1">
        <f t="array" ref="N49">IF(LEN(INDEX(Attendance!$E$3:$CN$3,1,(30-1)*2+1))=0,"","{""index"":30,""gw"":15,""date"":"""&amp;TEXT(INDEX(Attendance!$E$3:$CN$3,1,(30-1)*2+1),"yyyy-mm-dd")&amp;"""}")</f>
        <v/>
      </c>
    </row>
    <row r="50" spans="14:14" x14ac:dyDescent="0.45">
      <c r="N50" t="str" cm="1">
        <f t="array" ref="N50">IF(LEN(INDEX(Attendance!$E$3:$CN$3,1,(31-1)*2+1))=0,"","{""index"":31,""gw"":16,""date"":"""&amp;TEXT(INDEX(Attendance!$E$3:$CN$3,1,(31-1)*2+1),"yyyy-mm-dd")&amp;"""}")</f>
        <v/>
      </c>
    </row>
    <row r="51" spans="14:14" x14ac:dyDescent="0.45">
      <c r="N51" t="str" cm="1">
        <f t="array" ref="N51">IF(LEN(INDEX(Attendance!$E$3:$CN$3,1,(32-1)*2+1))=0,"","{""index"":32,""gw"":16,""date"":"""&amp;TEXT(INDEX(Attendance!$E$3:$CN$3,1,(32-1)*2+1),"yyyy-mm-dd")&amp;"""}")</f>
        <v/>
      </c>
    </row>
    <row r="52" spans="14:14" x14ac:dyDescent="0.45">
      <c r="N52" t="str" cm="1">
        <f t="array" ref="N52">IF(LEN(INDEX(Attendance!$E$3:$CN$3,1,(33-1)*2+1))=0,"","{""index"":33,""gw"":17,""date"":"""&amp;TEXT(INDEX(Attendance!$E$3:$CN$3,1,(33-1)*2+1),"yyyy-mm-dd")&amp;"""}")</f>
        <v/>
      </c>
    </row>
    <row r="53" spans="14:14" x14ac:dyDescent="0.45">
      <c r="N53" t="str" cm="1">
        <f t="array" ref="N53">IF(LEN(INDEX(Attendance!$E$3:$CN$3,1,(34-1)*2+1))=0,"","{""index"":34,""gw"":17,""date"":"""&amp;TEXT(INDEX(Attendance!$E$3:$CN$3,1,(34-1)*2+1),"yyyy-mm-dd")&amp;"""}")</f>
        <v/>
      </c>
    </row>
    <row r="54" spans="14:14" x14ac:dyDescent="0.45">
      <c r="N54" t="str" cm="1">
        <f t="array" ref="N54">IF(LEN(INDEX(Attendance!$E$3:$CN$3,1,(35-1)*2+1))=0,"","{""index"":35,""gw"":18,""date"":"""&amp;TEXT(INDEX(Attendance!$E$3:$CN$3,1,(35-1)*2+1),"yyyy-mm-dd")&amp;"""}")</f>
        <v/>
      </c>
    </row>
    <row r="55" spans="14:14" x14ac:dyDescent="0.45">
      <c r="N55" t="str" cm="1">
        <f t="array" ref="N55">IF(LEN(INDEX(Attendance!$E$3:$CN$3,1,(36-1)*2+1))=0,"","{""index"":36,""gw"":18,""date"":"""&amp;TEXT(INDEX(Attendance!$E$3:$CN$3,1,(36-1)*2+1),"yyyy-mm-dd")&amp;"""}")</f>
        <v/>
      </c>
    </row>
    <row r="56" spans="14:14" x14ac:dyDescent="0.45">
      <c r="N56" t="str" cm="1">
        <f t="array" ref="N56">IF(LEN(INDEX(Attendance!$E$3:$CN$3,1,(37-1)*2+1))=0,"","{""index"":37,""gw"":19,""date"":"""&amp;TEXT(INDEX(Attendance!$E$3:$CN$3,1,(37-1)*2+1),"yyyy-mm-dd")&amp;"""}")</f>
        <v/>
      </c>
    </row>
    <row r="57" spans="14:14" x14ac:dyDescent="0.45">
      <c r="N57" t="str" cm="1">
        <f t="array" ref="N57">IF(LEN(INDEX(Attendance!$E$3:$CN$3,1,(38-1)*2+1))=0,"","{""index"":38,""gw"":19,""date"":"""&amp;TEXT(INDEX(Attendance!$E$3:$CN$3,1,(38-1)*2+1),"yyyy-mm-dd")&amp;"""}")</f>
        <v/>
      </c>
    </row>
    <row r="58" spans="14:14" x14ac:dyDescent="0.45">
      <c r="N58" t="str" cm="1">
        <f t="array" ref="N58">IF(LEN(INDEX(Attendance!$E$3:$CN$3,1,(39-1)*2+1))=0,"","{""index"":39,""gw"":20,""date"":"""&amp;TEXT(INDEX(Attendance!$E$3:$CN$3,1,(39-1)*2+1),"yyyy-mm-dd")&amp;"""}")</f>
        <v/>
      </c>
    </row>
    <row r="59" spans="14:14" x14ac:dyDescent="0.45">
      <c r="N59" t="str" cm="1">
        <f t="array" ref="N59">IF(LEN(INDEX(Attendance!$E$3:$CN$3,1,(40-1)*2+1))=0,"","{""index"":40,""gw"":20,""date"":"""&amp;TEXT(INDEX(Attendance!$E$3:$CN$3,1,(40-1)*2+1),"yyyy-mm-dd")&amp;"""}")</f>
        <v/>
      </c>
    </row>
    <row r="60" spans="14:14" x14ac:dyDescent="0.45">
      <c r="N60" t="str" cm="1">
        <f t="array" ref="N60">IF(LEN(INDEX(Attendance!$E$3:$CN$3,1,(41-1)*2+1))=0,"","{""index"":41,""gw"":21,""date"":"""&amp;TEXT(INDEX(Attendance!$E$3:$CN$3,1,(41-1)*2+1),"yyyy-mm-dd")&amp;"""}")</f>
        <v/>
      </c>
    </row>
    <row r="61" spans="14:14" x14ac:dyDescent="0.45">
      <c r="N61" t="str" cm="1">
        <f t="array" ref="N61">IF(LEN(INDEX(Attendance!$E$3:$CN$3,1,(42-1)*2+1))=0,"","{""index"":42,""gw"":21,""date"":"""&amp;TEXT(INDEX(Attendance!$E$3:$CN$3,1,(42-1)*2+1),"yyyy-mm-dd")&amp;"""}")</f>
        <v/>
      </c>
    </row>
    <row r="62" spans="14:14" x14ac:dyDescent="0.45">
      <c r="N62" t="str" cm="1">
        <f t="array" ref="N62">IF(LEN(INDEX(Attendance!$E$3:$CN$3,1,(43-1)*2+1))=0,"","{""index"":43,""gw"":22,""date"":"""&amp;TEXT(INDEX(Attendance!$E$3:$CN$3,1,(43-1)*2+1),"yyyy-mm-dd")&amp;"""}")</f>
        <v/>
      </c>
    </row>
    <row r="63" spans="14:14" x14ac:dyDescent="0.45">
      <c r="N63" t="str" cm="1">
        <f t="array" ref="N63">IF(LEN(INDEX(Attendance!$E$3:$CN$3,1,(44-1)*2+1))=0,"","{""index"":44,""gw"":22,""date"":"""&amp;TEXT(INDEX(Attendance!$E$3:$CN$3,1,(44-1)*2+1),"yyyy-mm-dd")&amp;"""}")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Dashboard</vt:lpstr>
      <vt:lpstr>Attendance</vt:lpstr>
      <vt:lpstr>Player Grading</vt:lpstr>
      <vt:lpstr>Team Selection</vt:lpstr>
      <vt:lpstr>Match Day Reports</vt:lpstr>
      <vt:lpstr>Workings</vt:lpstr>
      <vt:lpstr>Web Output</vt:lpstr>
      <vt:lpstr>Opponents</vt:lpstr>
      <vt:lpstr>PlayerList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Hennessy</dc:creator>
  <cp:lastModifiedBy>John Hennessy</cp:lastModifiedBy>
  <dcterms:created xsi:type="dcterms:W3CDTF">2026-08-13T21:40:44Z</dcterms:created>
  <dcterms:modified xsi:type="dcterms:W3CDTF">2026-08-14T14:06:15Z</dcterms:modified>
</cp:coreProperties>
</file>