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563" documentId="8_{A69D519E-EF05-472F-8F51-A9C60EF59E18}" xr6:coauthVersionLast="47" xr6:coauthVersionMax="47" xr10:uidLastSave="{85DC43BC-3233-454B-BC0A-BCEA33F021DB}"/>
  <bookViews>
    <workbookView xWindow="-98" yWindow="-98" windowWidth="21795" windowHeight="12975" tabRatio="971" activeTab="7"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3" i="4" l="1"/>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AB41" i="8" a="1"/>
  <c r="AB41" i="8" s="1"/>
  <c r="N41" i="8" a="1"/>
  <c r="N41" i="8" s="1"/>
  <c r="AB40" i="8" a="1"/>
  <c r="AB40" i="8" s="1"/>
  <c r="N40" i="8" a="1"/>
  <c r="N40" i="8" s="1"/>
  <c r="AB39" i="8" a="1"/>
  <c r="AB39" i="8" s="1"/>
  <c r="Z39" i="8" a="1"/>
  <c r="Z39" i="8" s="1"/>
  <c r="X39" i="8" a="1"/>
  <c r="X39" i="8" s="1"/>
  <c r="N39" i="8" a="1"/>
  <c r="N39" i="8" s="1"/>
  <c r="J39" i="8"/>
  <c r="AB38" i="8" a="1"/>
  <c r="AB38" i="8" s="1"/>
  <c r="Z38" i="8" a="1"/>
  <c r="Z38" i="8" s="1"/>
  <c r="X38" i="8" a="1"/>
  <c r="X38" i="8" s="1"/>
  <c r="N38" i="8" a="1"/>
  <c r="N38" i="8"/>
  <c r="J38" i="8"/>
  <c r="AB37" i="8" a="1"/>
  <c r="AB37" i="8" s="1"/>
  <c r="X37" i="8" a="1"/>
  <c r="X37" i="8" s="1"/>
  <c r="N37" i="8" a="1"/>
  <c r="N37" i="8" s="1"/>
  <c r="AB36" i="8" a="1"/>
  <c r="AB36" i="8" s="1"/>
  <c r="X36" i="8" a="1"/>
  <c r="X36" i="8" s="1"/>
  <c r="N36" i="8" a="1"/>
  <c r="N36" i="8" s="1"/>
  <c r="AB35" i="8" a="1"/>
  <c r="AB35" i="8" s="1"/>
  <c r="X35" i="8" a="1"/>
  <c r="X35" i="8" s="1"/>
  <c r="N35" i="8" a="1"/>
  <c r="N35" i="8" s="1"/>
  <c r="AB34" i="8" a="1"/>
  <c r="AB34" i="8" s="1"/>
  <c r="X34" i="8" a="1"/>
  <c r="X34" i="8" s="1"/>
  <c r="N34" i="8" a="1"/>
  <c r="N34" i="8" s="1"/>
  <c r="AB33" i="8" a="1"/>
  <c r="AB33" i="8" s="1"/>
  <c r="X33" i="8" a="1"/>
  <c r="X33" i="8" s="1"/>
  <c r="N33" i="8" a="1"/>
  <c r="N33" i="8" s="1"/>
  <c r="AB32" i="8" a="1"/>
  <c r="AB32" i="8" s="1"/>
  <c r="X32" i="8" a="1"/>
  <c r="X32" i="8" s="1"/>
  <c r="N32" i="8" a="1"/>
  <c r="N32" i="8" s="1"/>
  <c r="AB31" i="8" a="1"/>
  <c r="AB31" i="8" s="1"/>
  <c r="X31" i="8" a="1"/>
  <c r="X31" i="8" s="1"/>
  <c r="N31" i="8" a="1"/>
  <c r="N31" i="8" s="1"/>
  <c r="AB30" i="8" a="1"/>
  <c r="AB30" i="8" s="1"/>
  <c r="X30" i="8" a="1"/>
  <c r="X30" i="8" s="1"/>
  <c r="N30" i="8" a="1"/>
  <c r="N30" i="8" s="1"/>
  <c r="AB29" i="8" a="1"/>
  <c r="AB29" i="8" s="1"/>
  <c r="X29" i="8" a="1"/>
  <c r="X29" i="8" s="1"/>
  <c r="N29" i="8" a="1"/>
  <c r="N29" i="8" s="1"/>
  <c r="AB28" i="8" a="1"/>
  <c r="AB28" i="8" s="1"/>
  <c r="X28" i="8" a="1"/>
  <c r="X28" i="8" s="1"/>
  <c r="N28" i="8" a="1"/>
  <c r="N28" i="8" s="1"/>
  <c r="AB27" i="8" a="1"/>
  <c r="AB27" i="8" s="1"/>
  <c r="X27" i="8" a="1"/>
  <c r="X27" i="8" s="1"/>
  <c r="N27" i="8" a="1"/>
  <c r="N27" i="8" s="1"/>
  <c r="AB26" i="8" a="1"/>
  <c r="AB26" i="8" s="1"/>
  <c r="X26" i="8" a="1"/>
  <c r="X26" i="8" s="1"/>
  <c r="N26" i="8" a="1"/>
  <c r="N26" i="8" s="1"/>
  <c r="AB25" i="8" a="1"/>
  <c r="AB25" i="8" s="1"/>
  <c r="X25" i="8" a="1"/>
  <c r="X25" i="8" s="1"/>
  <c r="N25" i="8" a="1"/>
  <c r="N25" i="8" s="1"/>
  <c r="AB24" i="8" a="1"/>
  <c r="AB24" i="8" s="1"/>
  <c r="X24" i="8" a="1"/>
  <c r="X24" i="8" s="1"/>
  <c r="N24" i="8" a="1"/>
  <c r="N24" i="8" s="1"/>
  <c r="AB23" i="8" a="1"/>
  <c r="AB23" i="8" s="1"/>
  <c r="X23" i="8" a="1"/>
  <c r="X23" i="8" s="1"/>
  <c r="N23" i="8" a="1"/>
  <c r="N23" i="8" s="1"/>
  <c r="AB22" i="8" a="1"/>
  <c r="AB22" i="8" s="1"/>
  <c r="X22" i="8" a="1"/>
  <c r="X22" i="8" s="1"/>
  <c r="N22" i="8" a="1"/>
  <c r="N22" i="8" s="1"/>
  <c r="AB21" i="8" a="1"/>
  <c r="AB21" i="8" s="1"/>
  <c r="X21" i="8" a="1"/>
  <c r="X21" i="8" s="1"/>
  <c r="N21" i="8" a="1"/>
  <c r="N21" i="8" s="1"/>
  <c r="AB20" i="8" a="1"/>
  <c r="AB20" i="8" s="1"/>
  <c r="X20" i="8" a="1"/>
  <c r="X20" i="8" s="1"/>
  <c r="N20" i="8" a="1"/>
  <c r="N20" i="8" s="1"/>
  <c r="A7" i="8"/>
  <c r="H4" i="8"/>
  <c r="A8" i="8" s="1"/>
  <c r="A3" i="8"/>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B73" i="6"/>
  <c r="P66" i="6"/>
  <c r="P65" i="6"/>
  <c r="P64" i="6"/>
  <c r="B64" i="6"/>
  <c r="P63" i="6"/>
  <c r="P62" i="6"/>
  <c r="P61" i="6"/>
  <c r="C61" i="6"/>
  <c r="P60" i="6"/>
  <c r="C60" i="6"/>
  <c r="F60" i="6" s="1" a="1"/>
  <c r="F60" i="6" s="1"/>
  <c r="P59" i="6"/>
  <c r="C59" i="6"/>
  <c r="P58" i="6"/>
  <c r="C58" i="6"/>
  <c r="F58" i="6" s="1" a="1"/>
  <c r="F58" i="6" s="1"/>
  <c r="P57" i="6"/>
  <c r="C57" i="6"/>
  <c r="G57" i="6" s="1" a="1"/>
  <c r="G57" i="6" s="1"/>
  <c r="H57" i="6" s="1"/>
  <c r="P56" i="6"/>
  <c r="C56" i="6"/>
  <c r="D56" i="6" s="1"/>
  <c r="P55" i="6"/>
  <c r="C55" i="6"/>
  <c r="P54" i="6"/>
  <c r="C54" i="6"/>
  <c r="F54" i="6" s="1" a="1"/>
  <c r="F54" i="6" s="1"/>
  <c r="P53" i="6"/>
  <c r="C53" i="6"/>
  <c r="P52" i="6"/>
  <c r="C52" i="6"/>
  <c r="F52" i="6" s="1" a="1"/>
  <c r="F52" i="6" s="1"/>
  <c r="P51" i="6"/>
  <c r="C51" i="6"/>
  <c r="P50" i="6"/>
  <c r="C50" i="6"/>
  <c r="G50" i="6" s="1" a="1"/>
  <c r="G50" i="6" s="1"/>
  <c r="H50" i="6" s="1"/>
  <c r="P49" i="6"/>
  <c r="C49" i="6"/>
  <c r="G49" i="6" s="1" a="1"/>
  <c r="G49" i="6" s="1"/>
  <c r="H49" i="6" s="1"/>
  <c r="P48" i="6"/>
  <c r="C48" i="6"/>
  <c r="B48" i="6" s="1"/>
  <c r="P47" i="6"/>
  <c r="C47" i="6"/>
  <c r="G47" i="6" s="1" a="1"/>
  <c r="G47" i="6" s="1"/>
  <c r="H47" i="6" s="1"/>
  <c r="P46" i="6"/>
  <c r="C46" i="6"/>
  <c r="D46" i="6" s="1"/>
  <c r="P45" i="6"/>
  <c r="C45" i="6"/>
  <c r="E45" i="6" s="1" a="1"/>
  <c r="E45" i="6" s="1"/>
  <c r="C44" i="6"/>
  <c r="G44" i="6" s="1" a="1"/>
  <c r="G44" i="6" s="1"/>
  <c r="H44" i="6" s="1"/>
  <c r="C43" i="6"/>
  <c r="F43" i="6" s="1" a="1"/>
  <c r="F43" i="6" s="1"/>
  <c r="C42" i="6"/>
  <c r="F42" i="6" s="1" a="1"/>
  <c r="F42" i="6" s="1"/>
  <c r="C38" i="6" a="1"/>
  <c r="C38" i="6" s="1"/>
  <c r="E38" i="6" s="1" a="1"/>
  <c r="E38" i="6" s="1"/>
  <c r="F38" i="6" s="1"/>
  <c r="C37" i="6" a="1"/>
  <c r="C37" i="6" s="1"/>
  <c r="C36" i="6" a="1"/>
  <c r="C36" i="6" s="1"/>
  <c r="C35" i="6" a="1"/>
  <c r="C35" i="6" s="1"/>
  <c r="C34" i="6" a="1"/>
  <c r="C34" i="6" s="1"/>
  <c r="C33" i="6" a="1"/>
  <c r="C33" i="6" s="1"/>
  <c r="C32" i="6" a="1"/>
  <c r="C32" i="6" s="1"/>
  <c r="D32" i="6" s="1" a="1"/>
  <c r="D32" i="6" s="1"/>
  <c r="D14" i="6"/>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FV27" i="3"/>
  <c r="FR27" i="3"/>
  <c r="AI26" i="7" s="1" a="1"/>
  <c r="AI26" i="7" s="1"/>
  <c r="FN27" i="3"/>
  <c r="AI25" i="7" s="1" a="1"/>
  <c r="AI25" i="7" s="1"/>
  <c r="FJ27" i="3"/>
  <c r="FF27" i="3"/>
  <c r="AI23" i="7" s="1" a="1"/>
  <c r="AI23" i="7" s="1"/>
  <c r="FB27" i="3"/>
  <c r="AI22" i="7" s="1" a="1"/>
  <c r="AI22" i="7" s="1"/>
  <c r="EX27" i="3"/>
  <c r="AI21" i="7" s="1" a="1"/>
  <c r="AI21" i="7" s="1"/>
  <c r="ET27" i="3"/>
  <c r="EP27" i="3"/>
  <c r="AI19" i="7" s="1" a="1"/>
  <c r="AI19" i="7" s="1"/>
  <c r="EL27" i="3"/>
  <c r="AI18" i="7" s="1" a="1"/>
  <c r="AI18" i="7" s="1"/>
  <c r="EH27" i="3"/>
  <c r="AI17" i="7" s="1" a="1"/>
  <c r="AI17" i="7" s="1"/>
  <c r="ED27" i="3"/>
  <c r="AI16" i="7" s="1" a="1"/>
  <c r="AI16" i="7" s="1"/>
  <c r="DZ27" i="3"/>
  <c r="DV27" i="3"/>
  <c r="AI14" i="7" s="1" a="1"/>
  <c r="AI14" i="7" s="1"/>
  <c r="DR27" i="3"/>
  <c r="AI13" i="7" s="1" a="1"/>
  <c r="AI13" i="7" s="1"/>
  <c r="DN27" i="3"/>
  <c r="AI12" i="7" s="1" a="1"/>
  <c r="AI12" i="7" s="1"/>
  <c r="DJ27" i="3"/>
  <c r="AI11" i="7" s="1" a="1"/>
  <c r="AI11" i="7" s="1"/>
  <c r="DF27" i="3"/>
  <c r="DB27" i="3"/>
  <c r="AI9" i="7" s="1" a="1"/>
  <c r="AI9" i="7" s="1"/>
  <c r="CX27" i="3"/>
  <c r="CT27" i="3"/>
  <c r="AI7" i="7" s="1" a="1"/>
  <c r="AI7" i="7" s="1"/>
  <c r="CP27" i="3"/>
  <c r="AI6" i="7" s="1" a="1"/>
  <c r="AI6" i="7" s="1"/>
  <c r="FV26" i="3"/>
  <c r="AH27" i="7" s="1" a="1"/>
  <c r="AH27" i="7" s="1"/>
  <c r="FR26" i="3"/>
  <c r="FN26" i="3"/>
  <c r="AH25" i="7" s="1" a="1"/>
  <c r="AH25" i="7" s="1"/>
  <c r="FJ26" i="3"/>
  <c r="AH24" i="7" s="1" a="1"/>
  <c r="AH24" i="7" s="1"/>
  <c r="FF26" i="3"/>
  <c r="FB26" i="3"/>
  <c r="AH22" i="7" s="1" a="1"/>
  <c r="AH22" i="7" s="1"/>
  <c r="EX26" i="3"/>
  <c r="ET26" i="3"/>
  <c r="AH20" i="7" s="1" a="1"/>
  <c r="AH20" i="7" s="1"/>
  <c r="EP26" i="3"/>
  <c r="EL26" i="3"/>
  <c r="EH26" i="3"/>
  <c r="ED26" i="3"/>
  <c r="AH16" i="7" s="1" a="1"/>
  <c r="AH16" i="7" s="1"/>
  <c r="DZ26" i="3"/>
  <c r="AH15" i="7" s="1" a="1"/>
  <c r="AH15" i="7" s="1"/>
  <c r="DV26" i="3"/>
  <c r="DR26" i="3"/>
  <c r="AH13" i="7" s="1" a="1"/>
  <c r="AH13" i="7" s="1"/>
  <c r="DN26" i="3"/>
  <c r="DJ26" i="3"/>
  <c r="AH11" i="7" s="1" a="1"/>
  <c r="AH11" i="7" s="1"/>
  <c r="DF26" i="3"/>
  <c r="AH10" i="7" s="1" a="1"/>
  <c r="AH10" i="7" s="1"/>
  <c r="DB26" i="3"/>
  <c r="AH9" i="7" s="1" a="1"/>
  <c r="AH9" i="7" s="1"/>
  <c r="CX26" i="3"/>
  <c r="AH8" i="7" s="1" a="1"/>
  <c r="AH8" i="7" s="1"/>
  <c r="CT26" i="3"/>
  <c r="AH7" i="7" s="1" a="1"/>
  <c r="AH7" i="7" s="1"/>
  <c r="CP26" i="3"/>
  <c r="F6" i="5" s="1" a="1"/>
  <c r="F6" i="5" s="1"/>
  <c r="GO24" i="3"/>
  <c r="GN24" i="3"/>
  <c r="GM24" i="3"/>
  <c r="GL24" i="3"/>
  <c r="GK24" i="3"/>
  <c r="GJ24" i="3"/>
  <c r="GI24" i="3"/>
  <c r="GH24" i="3"/>
  <c r="GG24" i="3"/>
  <c r="GF24" i="3" a="1"/>
  <c r="GF24" i="3" s="1"/>
  <c r="GE24" i="3"/>
  <c r="GD24" i="3"/>
  <c r="GC24" i="3"/>
  <c r="GB24" i="3" a="1"/>
  <c r="GB24" i="3"/>
  <c r="GA24" i="3"/>
  <c r="GO23" i="3"/>
  <c r="GN23" i="3"/>
  <c r="GM23" i="3"/>
  <c r="GL23" i="3"/>
  <c r="GK23" i="3"/>
  <c r="GJ23" i="3"/>
  <c r="GI23" i="3"/>
  <c r="GH23" i="3"/>
  <c r="GG23" i="3"/>
  <c r="GF23" i="3" a="1"/>
  <c r="GF23" i="3" s="1"/>
  <c r="GE23" i="3"/>
  <c r="GD23" i="3"/>
  <c r="GC23" i="3"/>
  <c r="GB23" i="3" a="1"/>
  <c r="GB23" i="3" s="1"/>
  <c r="GA23" i="3"/>
  <c r="GO22" i="3"/>
  <c r="GM22" i="3"/>
  <c r="GK22" i="3"/>
  <c r="GL22" i="3" s="1"/>
  <c r="GI22" i="3"/>
  <c r="GG22" i="3"/>
  <c r="GD22" i="3"/>
  <c r="GE22" i="3" s="1"/>
  <c r="GB22" i="3" a="1"/>
  <c r="GB22" i="3" s="1"/>
  <c r="GA22" i="3"/>
  <c r="Z37" i="8" s="1" a="1"/>
  <c r="Z37" i="8" s="1"/>
  <c r="GO21" i="3"/>
  <c r="GM21" i="3"/>
  <c r="GK21" i="3"/>
  <c r="GL21" i="3" s="1"/>
  <c r="GI21" i="3"/>
  <c r="GG21" i="3"/>
  <c r="GD21" i="3"/>
  <c r="GE21" i="3" s="1"/>
  <c r="GB21" i="3" a="1"/>
  <c r="GB21" i="3" s="1"/>
  <c r="GA21" i="3"/>
  <c r="GO20" i="3"/>
  <c r="GM20" i="3"/>
  <c r="GK20" i="3"/>
  <c r="GL20" i="3" s="1"/>
  <c r="GI20" i="3"/>
  <c r="GG20" i="3"/>
  <c r="GJ20" i="3" s="1"/>
  <c r="GD20" i="3"/>
  <c r="GE20" i="3" s="1"/>
  <c r="GB20" i="3" a="1"/>
  <c r="GB20" i="3" s="1"/>
  <c r="GA20" i="3"/>
  <c r="GO19" i="3"/>
  <c r="GM19" i="3"/>
  <c r="GK19" i="3"/>
  <c r="GI19" i="3"/>
  <c r="GG19" i="3"/>
  <c r="GJ19" i="3" s="1"/>
  <c r="GD19" i="3"/>
  <c r="GB19" i="3" a="1"/>
  <c r="GB19" i="3" s="1"/>
  <c r="GA19" i="3"/>
  <c r="GO18" i="3"/>
  <c r="GM18" i="3"/>
  <c r="GK18" i="3"/>
  <c r="GL18" i="3" s="1"/>
  <c r="GI18" i="3"/>
  <c r="GG18" i="3"/>
  <c r="GJ18" i="3" s="1"/>
  <c r="GD18" i="3"/>
  <c r="GE18" i="3" s="1"/>
  <c r="GB18" i="3" a="1"/>
  <c r="GB18" i="3" s="1"/>
  <c r="GA18" i="3"/>
  <c r="GO17" i="3"/>
  <c r="GM17" i="3"/>
  <c r="GK17" i="3"/>
  <c r="GL17" i="3" s="1"/>
  <c r="GI17" i="3"/>
  <c r="GG17" i="3"/>
  <c r="GJ17" i="3" s="1"/>
  <c r="GD17" i="3"/>
  <c r="GE17" i="3" s="1"/>
  <c r="GB17" i="3" a="1"/>
  <c r="GB17" i="3" s="1"/>
  <c r="GA17" i="3"/>
  <c r="GO16" i="3"/>
  <c r="GM16" i="3"/>
  <c r="GK16" i="3"/>
  <c r="GI16" i="3"/>
  <c r="GG16" i="3"/>
  <c r="GJ16" i="3" s="1"/>
  <c r="GD16" i="3"/>
  <c r="GE16" i="3" s="1"/>
  <c r="GB16" i="3" a="1"/>
  <c r="GB16" i="3" s="1"/>
  <c r="GA16" i="3"/>
  <c r="GO15" i="3"/>
  <c r="GM15" i="3"/>
  <c r="GK15" i="3"/>
  <c r="GI15" i="3"/>
  <c r="GG15" i="3"/>
  <c r="GJ15" i="3" s="1"/>
  <c r="GD15" i="3"/>
  <c r="GB15" i="3" a="1"/>
  <c r="GB15" i="3" s="1"/>
  <c r="GA15" i="3"/>
  <c r="GO14" i="3"/>
  <c r="GM14" i="3"/>
  <c r="GK14" i="3"/>
  <c r="GL14" i="3" s="1"/>
  <c r="GI14" i="3"/>
  <c r="GG14" i="3"/>
  <c r="GJ14" i="3" s="1"/>
  <c r="GD14" i="3"/>
  <c r="GE14" i="3" s="1"/>
  <c r="GB14" i="3" a="1"/>
  <c r="GB14" i="3" s="1"/>
  <c r="GA14" i="3"/>
  <c r="Z29" i="8" s="1" a="1"/>
  <c r="Z29" i="8" s="1"/>
  <c r="GO13" i="3"/>
  <c r="GM13" i="3"/>
  <c r="GK13" i="3"/>
  <c r="GL13" i="3" s="1"/>
  <c r="GI13" i="3"/>
  <c r="GG13" i="3"/>
  <c r="GJ13" i="3" s="1"/>
  <c r="GD13" i="3"/>
  <c r="GB13" i="3" a="1"/>
  <c r="GB13" i="3" s="1"/>
  <c r="GA13" i="3"/>
  <c r="GO12" i="3"/>
  <c r="GM12" i="3"/>
  <c r="GK12" i="3"/>
  <c r="GL12" i="3" s="1"/>
  <c r="GI12" i="3"/>
  <c r="GG12" i="3"/>
  <c r="GJ12" i="3" s="1"/>
  <c r="GD12" i="3"/>
  <c r="GE12" i="3" s="1"/>
  <c r="GB12" i="3" a="1"/>
  <c r="GB12" i="3" s="1"/>
  <c r="GA12" i="3"/>
  <c r="GO11" i="3"/>
  <c r="GM11" i="3"/>
  <c r="GK11" i="3"/>
  <c r="GI11" i="3"/>
  <c r="GG11" i="3"/>
  <c r="GJ11" i="3" s="1"/>
  <c r="GD11" i="3"/>
  <c r="GB11" i="3" a="1"/>
  <c r="GB11" i="3" s="1"/>
  <c r="GA11" i="3"/>
  <c r="GO10" i="3"/>
  <c r="GM10" i="3"/>
  <c r="GK10" i="3"/>
  <c r="GL10" i="3" s="1"/>
  <c r="GI10" i="3"/>
  <c r="GG10" i="3"/>
  <c r="GJ10" i="3" s="1"/>
  <c r="GD10" i="3"/>
  <c r="GE10" i="3" s="1"/>
  <c r="GB10" i="3" a="1"/>
  <c r="GB10" i="3" s="1"/>
  <c r="GA10" i="3"/>
  <c r="GO9" i="3"/>
  <c r="GM9" i="3"/>
  <c r="GK9" i="3"/>
  <c r="GL9" i="3" s="1"/>
  <c r="GI9" i="3"/>
  <c r="GG9" i="3"/>
  <c r="GJ9" i="3" s="1"/>
  <c r="GD9" i="3"/>
  <c r="GE9" i="3" s="1"/>
  <c r="GB9" i="3" a="1"/>
  <c r="GB9" i="3" s="1"/>
  <c r="GA9" i="3"/>
  <c r="GO8" i="3"/>
  <c r="GM8" i="3"/>
  <c r="GK8" i="3"/>
  <c r="GI8" i="3"/>
  <c r="GG8" i="3"/>
  <c r="GD8" i="3"/>
  <c r="GB8" i="3" a="1"/>
  <c r="GB8" i="3" s="1"/>
  <c r="GA8" i="3"/>
  <c r="GO7" i="3"/>
  <c r="GM7" i="3"/>
  <c r="GK7" i="3"/>
  <c r="GL7" i="3" s="1"/>
  <c r="GI7" i="3"/>
  <c r="GG7" i="3"/>
  <c r="GJ7" i="3" s="1"/>
  <c r="GD7" i="3"/>
  <c r="GE7" i="3" s="1"/>
  <c r="GB7" i="3" a="1"/>
  <c r="GB7" i="3" s="1"/>
  <c r="GA7" i="3"/>
  <c r="GO6" i="3"/>
  <c r="GM6" i="3"/>
  <c r="GK6" i="3"/>
  <c r="GL6" i="3" s="1"/>
  <c r="GI6" i="3"/>
  <c r="GG6" i="3"/>
  <c r="GJ6" i="3" s="1"/>
  <c r="GD6" i="3"/>
  <c r="GB6" i="3" a="1"/>
  <c r="GB6" i="3" s="1"/>
  <c r="GA6" i="3"/>
  <c r="GO5" i="3"/>
  <c r="GM5" i="3"/>
  <c r="GK5" i="3"/>
  <c r="GI5" i="3"/>
  <c r="GG5" i="3"/>
  <c r="GJ5" i="3" s="1"/>
  <c r="GD5" i="3"/>
  <c r="GB5" i="3" a="1"/>
  <c r="GB5" i="3" s="1"/>
  <c r="GA5" i="3"/>
  <c r="FY3" i="3"/>
  <c r="AG27" i="7" s="1" a="1"/>
  <c r="AG27" i="7" s="1"/>
  <c r="FV3" i="3"/>
  <c r="AF27" i="7" s="1" a="1"/>
  <c r="AF27" i="7" s="1"/>
  <c r="FU3" i="3"/>
  <c r="AG26" i="7" s="1" a="1"/>
  <c r="AG26" i="7" s="1"/>
  <c r="FR3" i="3"/>
  <c r="AF26" i="7" s="1" a="1"/>
  <c r="AF26" i="7" s="1"/>
  <c r="FQ3" i="3"/>
  <c r="AG25" i="7" s="1" a="1"/>
  <c r="AG25" i="7" s="1"/>
  <c r="FN3" i="3"/>
  <c r="AF25" i="7" s="1" a="1"/>
  <c r="AF25" i="7" s="1"/>
  <c r="FM3" i="3"/>
  <c r="AG24" i="7" s="1" a="1"/>
  <c r="AG24" i="7" s="1"/>
  <c r="FJ3" i="3"/>
  <c r="AF24" i="7" s="1" a="1"/>
  <c r="AF24" i="7" s="1"/>
  <c r="FI3" i="3"/>
  <c r="AG23" i="7" s="1" a="1"/>
  <c r="AG23" i="7" s="1"/>
  <c r="FF3" i="3"/>
  <c r="AF23" i="7" s="1" a="1"/>
  <c r="AF23" i="7" s="1"/>
  <c r="FE3" i="3"/>
  <c r="AG22" i="7" s="1" a="1"/>
  <c r="AG22" i="7" s="1"/>
  <c r="FB3" i="3"/>
  <c r="AF22" i="7" s="1" a="1"/>
  <c r="AF22" i="7" s="1"/>
  <c r="FA3" i="3"/>
  <c r="AG21" i="7" s="1" a="1"/>
  <c r="AG21" i="7" s="1"/>
  <c r="EX3" i="3"/>
  <c r="AF21" i="7" s="1" a="1"/>
  <c r="AF21" i="7" s="1"/>
  <c r="EW3" i="3"/>
  <c r="AG20" i="7" s="1" a="1"/>
  <c r="AG20" i="7" s="1"/>
  <c r="ET3" i="3"/>
  <c r="AF20" i="7" s="1" a="1"/>
  <c r="AF20" i="7" s="1"/>
  <c r="ES3" i="3"/>
  <c r="AG19" i="7" s="1" a="1"/>
  <c r="AG19" i="7" s="1"/>
  <c r="EP3" i="3"/>
  <c r="AF19" i="7" s="1" a="1"/>
  <c r="AF19" i="7" s="1"/>
  <c r="EO3" i="3"/>
  <c r="AG18" i="7" s="1" a="1"/>
  <c r="AG18" i="7" s="1"/>
  <c r="EL3" i="3"/>
  <c r="AF18" i="7" s="1" a="1"/>
  <c r="AF18" i="7" s="1"/>
  <c r="EK3" i="3"/>
  <c r="AG17" i="7" s="1" a="1"/>
  <c r="AG17" i="7" s="1"/>
  <c r="EH3" i="3"/>
  <c r="AF17" i="7" s="1" a="1"/>
  <c r="AF17" i="7" s="1"/>
  <c r="EG3" i="3"/>
  <c r="AG16" i="7" s="1" a="1"/>
  <c r="AG16" i="7" s="1"/>
  <c r="ED3" i="3"/>
  <c r="AF16" i="7" s="1" a="1"/>
  <c r="AF16" i="7" s="1"/>
  <c r="EC3" i="3"/>
  <c r="AG15" i="7" s="1" a="1"/>
  <c r="AG15" i="7" s="1"/>
  <c r="DZ3" i="3"/>
  <c r="AF15" i="7" s="1" a="1"/>
  <c r="AF15" i="7" s="1"/>
  <c r="DY3" i="3"/>
  <c r="AG14" i="7" s="1" a="1"/>
  <c r="AG14" i="7" s="1"/>
  <c r="DV3" i="3"/>
  <c r="AF14" i="7" s="1" a="1"/>
  <c r="AF14" i="7" s="1"/>
  <c r="DU3" i="3"/>
  <c r="AG13" i="7" s="1" a="1"/>
  <c r="AG13" i="7" s="1"/>
  <c r="DR3" i="3"/>
  <c r="AF13" i="7" s="1" a="1"/>
  <c r="AF13" i="7" s="1"/>
  <c r="DQ3" i="3"/>
  <c r="AG12" i="7" s="1" a="1"/>
  <c r="AG12" i="7" s="1"/>
  <c r="DN3" i="3"/>
  <c r="AF12" i="7" s="1" a="1"/>
  <c r="AF12" i="7" s="1"/>
  <c r="DM3" i="3"/>
  <c r="AG11" i="7" s="1" a="1"/>
  <c r="AG11" i="7" s="1"/>
  <c r="DJ3" i="3"/>
  <c r="AF11" i="7" s="1" a="1"/>
  <c r="AF11" i="7" s="1"/>
  <c r="DI3" i="3"/>
  <c r="AG10" i="7" s="1" a="1"/>
  <c r="AG10" i="7" s="1"/>
  <c r="DF3" i="3"/>
  <c r="AF10" i="7" s="1" a="1"/>
  <c r="AF10" i="7" s="1"/>
  <c r="DE3" i="3"/>
  <c r="AG9" i="7" s="1" a="1"/>
  <c r="AG9" i="7" s="1"/>
  <c r="DB3" i="3"/>
  <c r="AF9" i="7" s="1" a="1"/>
  <c r="AF9" i="7" s="1"/>
  <c r="DA3" i="3"/>
  <c r="AG8" i="7" s="1" a="1"/>
  <c r="AG8" i="7" s="1"/>
  <c r="CX3" i="3"/>
  <c r="AF8" i="7" s="1" a="1"/>
  <c r="AF8" i="7" s="1"/>
  <c r="CW3" i="3"/>
  <c r="AG7" i="7" s="1" a="1"/>
  <c r="AG7" i="7" s="1"/>
  <c r="CT3" i="3"/>
  <c r="AF7" i="7" s="1" a="1"/>
  <c r="AF7" i="7" s="1"/>
  <c r="CS3" i="3"/>
  <c r="D11" i="6" s="1" a="1"/>
  <c r="D11" i="6" s="1"/>
  <c r="CP3" i="3"/>
  <c r="C6" i="5" s="1" a="1"/>
  <c r="C6" i="5" s="1"/>
  <c r="D11" i="5" s="1"/>
  <c r="GG2" i="3"/>
  <c r="GF2" i="3"/>
  <c r="GE2" i="3"/>
  <c r="GH2" i="3" s="1"/>
  <c r="FV2" i="3"/>
  <c r="AE27" i="7" s="1" a="1"/>
  <c r="AE27" i="7" s="1"/>
  <c r="L41" i="8" s="1"/>
  <c r="FR2" i="3"/>
  <c r="AE26" i="7" s="1" a="1"/>
  <c r="AE26" i="7" s="1"/>
  <c r="L40" i="8" s="1"/>
  <c r="FN2" i="3"/>
  <c r="AE25" i="7" s="1" a="1"/>
  <c r="AE25" i="7" s="1"/>
  <c r="L39" i="8" s="1"/>
  <c r="FJ2" i="3"/>
  <c r="AE24" i="7" s="1" a="1"/>
  <c r="AE24" i="7" s="1"/>
  <c r="L38" i="8" s="1"/>
  <c r="FF2" i="3"/>
  <c r="AE23" i="7" s="1" a="1"/>
  <c r="AE23" i="7" s="1"/>
  <c r="L37" i="8" s="1"/>
  <c r="FB2" i="3"/>
  <c r="AE22" i="7" s="1" a="1"/>
  <c r="AE22" i="7" s="1"/>
  <c r="L36" i="8" s="1"/>
  <c r="EX2" i="3"/>
  <c r="ET2" i="3"/>
  <c r="AE20" i="7" s="1" a="1"/>
  <c r="AE20" i="7" s="1"/>
  <c r="L34" i="8" s="1"/>
  <c r="EP2" i="3"/>
  <c r="AE19" i="7" s="1" a="1"/>
  <c r="AE19" i="7" s="1"/>
  <c r="L33" i="8" s="1"/>
  <c r="EL2" i="3"/>
  <c r="AE18" i="7" s="1" a="1"/>
  <c r="AE18" i="7" s="1"/>
  <c r="L32" i="8" s="1"/>
  <c r="EH2" i="3"/>
  <c r="AE17" i="7" s="1" a="1"/>
  <c r="AE17" i="7" s="1"/>
  <c r="L31" i="8" s="1"/>
  <c r="ED2" i="3"/>
  <c r="AE16" i="7" s="1" a="1"/>
  <c r="AE16" i="7" s="1"/>
  <c r="L30" i="8" s="1"/>
  <c r="DZ2" i="3"/>
  <c r="AE15" i="7" s="1" a="1"/>
  <c r="AE15" i="7" s="1"/>
  <c r="L29" i="8" s="1"/>
  <c r="DV2" i="3"/>
  <c r="AE14" i="7" s="1" a="1"/>
  <c r="AE14" i="7" s="1"/>
  <c r="L28" i="8" s="1"/>
  <c r="DR2" i="3"/>
  <c r="AE13" i="7" s="1" a="1"/>
  <c r="AE13" i="7" s="1"/>
  <c r="L27" i="8" s="1"/>
  <c r="DN2" i="3"/>
  <c r="AE12" i="7" s="1" a="1"/>
  <c r="AE12" i="7" s="1"/>
  <c r="L26" i="8" s="1"/>
  <c r="DJ2" i="3"/>
  <c r="AE11" i="7" s="1" a="1"/>
  <c r="AE11" i="7" s="1"/>
  <c r="L25" i="8" s="1"/>
  <c r="DF2" i="3"/>
  <c r="AE10" i="7" s="1" a="1"/>
  <c r="AE10" i="7" s="1"/>
  <c r="L24" i="8" s="1"/>
  <c r="DB2" i="3"/>
  <c r="AE9" i="7" s="1" a="1"/>
  <c r="AE9" i="7" s="1"/>
  <c r="L23" i="8" s="1"/>
  <c r="CX2" i="3"/>
  <c r="AE8" i="7" s="1" a="1"/>
  <c r="AE8" i="7" s="1"/>
  <c r="L22" i="8" s="1"/>
  <c r="CT2" i="3"/>
  <c r="CP2" i="3"/>
  <c r="AE6" i="7" s="1" a="1"/>
  <c r="AE6" i="7"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J22" i="2"/>
  <c r="AI22" i="2"/>
  <c r="AH22" i="2"/>
  <c r="AG22" i="2"/>
  <c r="AF22" i="2"/>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F75" i="1" l="1"/>
  <c r="B70" i="5"/>
  <c r="GC14" i="3"/>
  <c r="GN14" i="3" s="1"/>
  <c r="H15" i="7" s="1"/>
  <c r="GC12" i="3"/>
  <c r="D13" i="7" s="1"/>
  <c r="BE42" i="1" s="1"/>
  <c r="GC5" i="3"/>
  <c r="D6" i="7" s="1"/>
  <c r="BE35" i="1" s="1"/>
  <c r="GC10" i="3"/>
  <c r="D11" i="7" s="1"/>
  <c r="BE40" i="1" s="1"/>
  <c r="GC15" i="3"/>
  <c r="D16" i="7" s="1"/>
  <c r="BE45" i="1" s="1"/>
  <c r="GC20" i="3"/>
  <c r="GN20" i="3" s="1"/>
  <c r="H21" i="7" s="1"/>
  <c r="GC6" i="3"/>
  <c r="D7" i="7" s="1"/>
  <c r="GC11" i="3"/>
  <c r="D12" i="7" s="1"/>
  <c r="BE41" i="1" s="1"/>
  <c r="GC16" i="3"/>
  <c r="GN16" i="3" s="1"/>
  <c r="H17" i="7" s="1"/>
  <c r="GC21" i="3"/>
  <c r="GN21" i="3" s="1"/>
  <c r="H22" i="7" s="1"/>
  <c r="E7" i="7"/>
  <c r="BF36" i="1" s="1"/>
  <c r="GC9" i="3"/>
  <c r="D10" i="7" s="1"/>
  <c r="BE39" i="1" s="1"/>
  <c r="GC19" i="3"/>
  <c r="D20" i="7" s="1"/>
  <c r="BE49" i="1" s="1"/>
  <c r="GC7" i="3"/>
  <c r="D8" i="7" s="1"/>
  <c r="BE37" i="1" s="1"/>
  <c r="GC17" i="3"/>
  <c r="GN17" i="3" s="1"/>
  <c r="H18" i="7" s="1"/>
  <c r="GC22" i="3"/>
  <c r="D23" i="7" s="1"/>
  <c r="BE52" i="1" s="1"/>
  <c r="GC8" i="3"/>
  <c r="D9" i="7" s="1"/>
  <c r="BE38" i="1" s="1"/>
  <c r="GC13" i="3"/>
  <c r="D14" i="7" s="1"/>
  <c r="BE43" i="1" s="1"/>
  <c r="GC18" i="3"/>
  <c r="D42" i="6"/>
  <c r="EL28" i="3"/>
  <c r="AJ18" i="7" s="1" a="1"/>
  <c r="AJ18" i="7" s="1"/>
  <c r="F68" i="1"/>
  <c r="AJ15" i="4"/>
  <c r="AH15" i="4"/>
  <c r="AI15" i="4"/>
  <c r="AY35" i="1"/>
  <c r="AH18" i="7" a="1"/>
  <c r="AH18" i="7" s="1"/>
  <c r="AK8" i="4"/>
  <c r="AZ35" i="1"/>
  <c r="BA35" i="1"/>
  <c r="Z22" i="8" a="1"/>
  <c r="Z22" i="8" s="1"/>
  <c r="F70" i="1"/>
  <c r="AL49" i="1"/>
  <c r="G22" i="7"/>
  <c r="Q22" i="7" s="1"/>
  <c r="AM49" i="1"/>
  <c r="BD35" i="1"/>
  <c r="GF22" i="3" a="1"/>
  <c r="GF22" i="3" s="1"/>
  <c r="GH22" i="3" s="1"/>
  <c r="F23" i="7" s="1"/>
  <c r="DR28" i="3"/>
  <c r="AJ13" i="7" s="1" a="1"/>
  <c r="AJ13" i="7" s="1"/>
  <c r="B80" i="5"/>
  <c r="B42" i="6"/>
  <c r="GJ22" i="3"/>
  <c r="AR43" i="1"/>
  <c r="BC54" i="1"/>
  <c r="BE54" i="1"/>
  <c r="AY43" i="1"/>
  <c r="BF54" i="1"/>
  <c r="AW43" i="1"/>
  <c r="BG54" i="1"/>
  <c r="BB43" i="1"/>
  <c r="BH54" i="1"/>
  <c r="B14" i="7"/>
  <c r="AS43" i="1"/>
  <c r="BD43" i="1"/>
  <c r="AU54" i="1"/>
  <c r="B54" i="6"/>
  <c r="BA11" i="7"/>
  <c r="AZ43" i="1"/>
  <c r="E6" i="7"/>
  <c r="P6" i="7" s="1"/>
  <c r="AH8" i="4"/>
  <c r="Z24" i="8" a="1"/>
  <c r="Z24" i="8" s="1"/>
  <c r="B73" i="5"/>
  <c r="AI8" i="4"/>
  <c r="G6" i="7"/>
  <c r="Q6" i="7" s="1"/>
  <c r="I121" i="5"/>
  <c r="B121" i="5"/>
  <c r="C123" i="5"/>
  <c r="O12" i="7"/>
  <c r="AP41" i="1"/>
  <c r="AL50" i="1"/>
  <c r="T87" i="5"/>
  <c r="BD44" i="1"/>
  <c r="G54" i="6" a="1"/>
  <c r="G54" i="6" s="1"/>
  <c r="H54" i="6" s="1"/>
  <c r="BD36" i="1"/>
  <c r="AY41" i="1"/>
  <c r="AU50" i="1"/>
  <c r="C126" i="5"/>
  <c r="AQ38" i="1"/>
  <c r="BD41" i="1"/>
  <c r="AV47" i="1"/>
  <c r="BC51" i="1"/>
  <c r="D49" i="6"/>
  <c r="AP50" i="1"/>
  <c r="AT41" i="1"/>
  <c r="G12" i="7"/>
  <c r="BG41" i="1" s="1"/>
  <c r="AW50" i="1"/>
  <c r="AU38" i="1"/>
  <c r="AV38" i="1"/>
  <c r="AZ47" i="1"/>
  <c r="BC52" i="1"/>
  <c r="G20" i="7"/>
  <c r="Q20" i="7" s="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Z30" i="8" a="1"/>
  <c r="Z30" i="8" s="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E32" i="6" a="1"/>
  <c r="E32" i="6" s="1"/>
  <c r="F32" i="6" s="1"/>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G15" i="7"/>
  <c r="BG44" i="1" s="1"/>
  <c r="AO40" i="1"/>
  <c r="BB45" i="1"/>
  <c r="AK9" i="4"/>
  <c r="AK23" i="4"/>
  <c r="E15" i="7"/>
  <c r="BF44" i="1" s="1"/>
  <c r="AJ52" i="1"/>
  <c r="AH48" i="1" a="1"/>
  <c r="AH48" i="1" s="1"/>
  <c r="AL53" i="1"/>
  <c r="AG36" i="1" a="1"/>
  <c r="AG36" i="1" s="1"/>
  <c r="AJ36" i="1"/>
  <c r="AI47" i="1"/>
  <c r="I25" i="7"/>
  <c r="AJ20" i="4"/>
  <c r="G56" i="6" a="1"/>
  <c r="G56" i="6" s="1"/>
  <c r="H56" i="6" s="1"/>
  <c r="D74" i="5"/>
  <c r="I74" i="5" s="1" a="1"/>
  <c r="I74" i="5" s="1"/>
  <c r="T74" i="5" s="1"/>
  <c r="AU45" i="1"/>
  <c r="AH52" i="1" a="1"/>
  <c r="AH52" i="1" s="1"/>
  <c r="FV28" i="3"/>
  <c r="AJ27" i="7" s="1" a="1"/>
  <c r="AJ27" i="7"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I24"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G48" i="6" a="1"/>
  <c r="G48" i="6" s="1"/>
  <c r="H48" i="6" s="1"/>
  <c r="E54" i="6" a="1"/>
  <c r="E54" i="6" s="1"/>
  <c r="B16" i="7"/>
  <c r="O20" i="7"/>
  <c r="AG52" i="1" a="1"/>
  <c r="AG52" i="1" s="1"/>
  <c r="AL40" i="1"/>
  <c r="AL45" i="1"/>
  <c r="AG9" i="2"/>
  <c r="AI9" i="2" s="1"/>
  <c r="AJ9" i="2" s="1"/>
  <c r="AI52" i="1"/>
  <c r="AP40" i="1"/>
  <c r="G17" i="7"/>
  <c r="BG46" i="1" s="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G42" i="6" a="1"/>
  <c r="G42" i="6" s="1"/>
  <c r="H42" i="6" s="1"/>
  <c r="Z8" i="7"/>
  <c r="G15" i="5"/>
  <c r="G33" i="6"/>
  <c r="E33" i="6" a="1"/>
  <c r="E33" i="6" s="1"/>
  <c r="F33" i="6" s="1"/>
  <c r="D33" i="6" a="1"/>
  <c r="D33" i="6" s="1"/>
  <c r="D35" i="6" a="1"/>
  <c r="D35" i="6" s="1"/>
  <c r="E35" i="6" a="1"/>
  <c r="E35" i="6" s="1"/>
  <c r="F35" i="6" s="1"/>
  <c r="E37" i="6" a="1"/>
  <c r="E37" i="6" s="1"/>
  <c r="F37" i="6" s="1"/>
  <c r="D37" i="6" a="1"/>
  <c r="D37" i="6" s="1"/>
  <c r="G37" i="6"/>
  <c r="Z28" i="8" a="1"/>
  <c r="Z28" i="8" s="1"/>
  <c r="FF28" i="3"/>
  <c r="AJ23" i="7" s="1" a="1"/>
  <c r="AJ23" i="7" s="1"/>
  <c r="B45" i="6"/>
  <c r="E56" i="6" a="1"/>
  <c r="E56" i="6" s="1"/>
  <c r="BJ6" i="7"/>
  <c r="Z26" i="7"/>
  <c r="F64" i="1"/>
  <c r="F76" i="5"/>
  <c r="C120" i="5"/>
  <c r="I120" i="5" s="1"/>
  <c r="F66" i="5" s="1"/>
  <c r="AP35" i="1"/>
  <c r="AR41" i="1"/>
  <c r="AV45" i="1"/>
  <c r="AH54" i="1" a="1"/>
  <c r="AH54" i="1" s="1"/>
  <c r="BD54" i="1"/>
  <c r="GL5" i="3"/>
  <c r="GL16" i="3"/>
  <c r="B52" i="6"/>
  <c r="B15" i="7"/>
  <c r="AH21" i="7" a="1"/>
  <c r="AH21" i="7" s="1"/>
  <c r="B24" i="7"/>
  <c r="B7" i="7"/>
  <c r="AI27" i="7" a="1"/>
  <c r="AI27" i="7" s="1"/>
  <c r="AG20" i="2"/>
  <c r="AI20" i="2" s="1"/>
  <c r="AJ20" i="2" s="1"/>
  <c r="Z21" i="8" a="1"/>
  <c r="Z21" i="8" s="1"/>
  <c r="GE13" i="3"/>
  <c r="G32" i="6"/>
  <c r="B49" i="6"/>
  <c r="E52" i="6" a="1"/>
  <c r="E52" i="6" s="1"/>
  <c r="B12" i="7"/>
  <c r="G24" i="7"/>
  <c r="Z32" i="8" a="1"/>
  <c r="Z32" i="8" s="1"/>
  <c r="G52" i="6" a="1"/>
  <c r="G52" i="6" s="1"/>
  <c r="H52" i="6" s="1"/>
  <c r="B57" i="6"/>
  <c r="H24" i="7"/>
  <c r="GE15" i="3"/>
  <c r="B46" i="6"/>
  <c r="E66" i="5"/>
  <c r="AH46" i="1" a="1"/>
  <c r="AH46" i="1" s="1"/>
  <c r="AQ49" i="1"/>
  <c r="AR53" i="1"/>
  <c r="AO46" i="1"/>
  <c r="AQ53" i="1"/>
  <c r="GE8" i="3"/>
  <c r="GL11" i="3"/>
  <c r="GF17" i="3" a="1"/>
  <c r="GF17" i="3" s="1"/>
  <c r="GH17" i="3" s="1"/>
  <c r="F18" i="7" s="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FN28" i="3"/>
  <c r="AJ25" i="7" s="1" a="1"/>
  <c r="AJ25" i="7" s="1"/>
  <c r="E43" i="6" a="1"/>
  <c r="E43" i="6" s="1"/>
  <c r="B47" i="6"/>
  <c r="Z10" i="7"/>
  <c r="C27" i="5"/>
  <c r="AS46" i="1"/>
  <c r="F46" i="6" a="1"/>
  <c r="F46" i="6" s="1"/>
  <c r="E57" i="6" a="1"/>
  <c r="E57" i="6" s="1"/>
  <c r="C134" i="5"/>
  <c r="I134" i="5" s="1"/>
  <c r="AB82" i="5"/>
  <c r="C135" i="5"/>
  <c r="AI45" i="1"/>
  <c r="AY46" i="1"/>
  <c r="AU49" i="1"/>
  <c r="AU53" i="1"/>
  <c r="GN12" i="3"/>
  <c r="H13" i="7" s="1"/>
  <c r="J13" i="7" s="1"/>
  <c r="E6" i="5" a="1"/>
  <c r="E6" i="5" s="1"/>
  <c r="D13" i="5" s="1"/>
  <c r="AC82" i="5"/>
  <c r="BB36" i="1"/>
  <c r="BB40" i="1"/>
  <c r="BA43" i="1"/>
  <c r="AK45" i="1"/>
  <c r="AZ46" i="1"/>
  <c r="AW49" i="1"/>
  <c r="AV50" i="1"/>
  <c r="AY51" i="1"/>
  <c r="AX53" i="1"/>
  <c r="AT54" i="1"/>
  <c r="AG6" i="2"/>
  <c r="AI6" i="2" s="1"/>
  <c r="GL19" i="3"/>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G43" i="6" a="1"/>
  <c r="G43" i="6" s="1"/>
  <c r="H43" i="6" s="1"/>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GE5" i="3"/>
  <c r="GN18" i="3"/>
  <c r="H19" i="7" s="1"/>
  <c r="BH48" i="1" s="1"/>
  <c r="AI10" i="4"/>
  <c r="F47" i="6" a="1"/>
  <c r="F47" i="6" s="1"/>
  <c r="F50" i="6" a="1"/>
  <c r="F50" i="6" s="1"/>
  <c r="O6" i="7"/>
  <c r="AO23" i="7"/>
  <c r="P12" i="5"/>
  <c r="AJ46" i="1"/>
  <c r="Z31" i="8" a="1"/>
  <c r="Z31" i="8" s="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G21" i="7"/>
  <c r="BG50" i="1" s="1"/>
  <c r="D81" i="5"/>
  <c r="L81" i="5" s="1" a="1"/>
  <c r="L81" i="5" s="1"/>
  <c r="W81" i="5" s="1"/>
  <c r="AS53" i="1"/>
  <c r="AQ45" i="1"/>
  <c r="BC49" i="1"/>
  <c r="BC50" i="1"/>
  <c r="BG53" i="1"/>
  <c r="BA54" i="1"/>
  <c r="AG13" i="2"/>
  <c r="AR14" i="7" s="1"/>
  <c r="AO6" i="7"/>
  <c r="AQ6" i="7" s="1"/>
  <c r="AW46" i="1"/>
  <c r="AS49" i="1"/>
  <c r="B64" i="5"/>
  <c r="S87" i="5"/>
  <c r="AT45" i="1"/>
  <c r="BD50" i="1"/>
  <c r="BB54" i="1"/>
  <c r="Z26" i="8" a="1"/>
  <c r="Z26" i="8" s="1"/>
  <c r="AK16" i="4"/>
  <c r="D9" i="6" a="1"/>
  <c r="D9" i="6" s="1"/>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H11" i="8"/>
  <c r="A15" i="8" s="1"/>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GL8" i="3"/>
  <c r="G9" i="7"/>
  <c r="P76" i="5" a="1"/>
  <c r="P76" i="5" s="1"/>
  <c r="AA76" i="5" s="1"/>
  <c r="E82" i="5"/>
  <c r="V38" i="8" s="1"/>
  <c r="AH37" i="1" a="1"/>
  <c r="AH37" i="1" s="1"/>
  <c r="AL42" i="1"/>
  <c r="F71" i="5"/>
  <c r="C125" i="5"/>
  <c r="J87" i="5"/>
  <c r="V35" i="8"/>
  <c r="R87" i="5"/>
  <c r="B79" i="5"/>
  <c r="C133" i="5"/>
  <c r="D82" i="5"/>
  <c r="B78" i="5"/>
  <c r="F79" i="5"/>
  <c r="P83" i="5" a="1"/>
  <c r="P83" i="5" s="1"/>
  <c r="AA83" i="5" s="1"/>
  <c r="AI37" i="1"/>
  <c r="AN42" i="1"/>
  <c r="AE21" i="7" a="1"/>
  <c r="AE21" i="7" s="1"/>
  <c r="L35" i="8" s="1"/>
  <c r="GF7" i="3" a="1"/>
  <c r="GF7" i="3" s="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L21" i="8" s="1"/>
  <c r="GF18" i="3" a="1"/>
  <c r="GF18" i="3" s="1"/>
  <c r="GH18" i="3" s="1"/>
  <c r="F19" i="7" s="1"/>
  <c r="GF6" i="3" a="1"/>
  <c r="GF6" i="3" s="1"/>
  <c r="GF10" i="3" a="1"/>
  <c r="GF10" i="3" s="1"/>
  <c r="GF13" i="3" a="1"/>
  <c r="GF13" i="3" s="1"/>
  <c r="GF15" i="3" a="1"/>
  <c r="GF15" i="3" s="1"/>
  <c r="GF20" i="3" a="1"/>
  <c r="GF20" i="3" s="1"/>
  <c r="GH20" i="3" s="1"/>
  <c r="F21" i="7" s="1"/>
  <c r="GF12" i="3" a="1"/>
  <c r="GF12" i="3" s="1"/>
  <c r="GH12" i="3" s="1"/>
  <c r="F13" i="7" s="1"/>
  <c r="GF9" i="3" a="1"/>
  <c r="GF9" i="3" s="1"/>
  <c r="GF8" i="3" a="1"/>
  <c r="GF8" i="3" s="1"/>
  <c r="GF14" i="3" a="1"/>
  <c r="GF14" i="3"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D12" i="6" a="1"/>
  <c r="D12" i="6" s="1"/>
  <c r="CP28" i="3"/>
  <c r="AH26" i="7" a="1"/>
  <c r="AH26" i="7" s="1"/>
  <c r="FR28" i="3"/>
  <c r="AJ26" i="7" s="1" a="1"/>
  <c r="AJ26" i="7" s="1"/>
  <c r="AI24" i="7" a="1"/>
  <c r="AI24" i="7" s="1"/>
  <c r="FJ28" i="3"/>
  <c r="AJ24" i="7" s="1" a="1"/>
  <c r="AJ24" i="7" s="1"/>
  <c r="G53" i="6" a="1"/>
  <c r="G53" i="6" s="1"/>
  <c r="H53" i="6" s="1"/>
  <c r="D53" i="6"/>
  <c r="B53" i="6"/>
  <c r="F53" i="6" a="1"/>
  <c r="F53" i="6" s="1"/>
  <c r="E53" i="6" a="1"/>
  <c r="E53" i="6" s="1"/>
  <c r="G16" i="7"/>
  <c r="BG45" i="1" s="1"/>
  <c r="GL15" i="3"/>
  <c r="GE19" i="3"/>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GE6" i="3"/>
  <c r="EH28" i="3"/>
  <c r="AJ17" i="7" s="1" a="1"/>
  <c r="AJ17" i="7" s="1"/>
  <c r="AH17" i="7" a="1"/>
  <c r="AH17" i="7" s="1"/>
  <c r="DZ28" i="3"/>
  <c r="AJ15" i="7" s="1" a="1"/>
  <c r="AJ15" i="7" s="1"/>
  <c r="AI15" i="7" a="1"/>
  <c r="AI15"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G60" i="6" a="1"/>
  <c r="G60" i="6" s="1"/>
  <c r="H60" i="6" s="1"/>
  <c r="E60" i="6" a="1"/>
  <c r="E60" i="6" s="1"/>
  <c r="D60" i="6"/>
  <c r="B60" i="6"/>
  <c r="AY38" i="1"/>
  <c r="AM52" i="1"/>
  <c r="AY52" i="1"/>
  <c r="EP28" i="3"/>
  <c r="AJ19" i="7" s="1" a="1"/>
  <c r="AJ19" i="7" s="1"/>
  <c r="AH19" i="7" a="1"/>
  <c r="AH19" i="7" s="1"/>
  <c r="G36" i="6"/>
  <c r="D36" i="6" a="1"/>
  <c r="D36" i="6" s="1"/>
  <c r="BA13" i="7"/>
  <c r="BJ13" i="7"/>
  <c r="G13" i="7"/>
  <c r="Q13" i="7" s="1"/>
  <c r="E13" i="7"/>
  <c r="P13" i="7" s="1"/>
  <c r="AA8" i="7"/>
  <c r="B13" i="7"/>
  <c r="AA13" i="7"/>
  <c r="O13" i="7"/>
  <c r="AO13" i="7"/>
  <c r="E36" i="6" a="1"/>
  <c r="E36" i="6" s="1"/>
  <c r="F36" i="6" s="1"/>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GE11" i="3"/>
  <c r="GN11" i="3" s="1"/>
  <c r="H12" i="7" s="1"/>
  <c r="AK24" i="4"/>
  <c r="G59" i="6" a="1"/>
  <c r="G59" i="6" s="1"/>
  <c r="H59" i="6" s="1"/>
  <c r="B59" i="6"/>
  <c r="F59" i="6" a="1"/>
  <c r="F59" i="6" s="1"/>
  <c r="E59" i="6" a="1"/>
  <c r="E59" i="6" s="1"/>
  <c r="D59" i="6"/>
  <c r="AF6" i="7" a="1"/>
  <c r="AF6" i="7" s="1"/>
  <c r="D10" i="6" a="1"/>
  <c r="D10" i="6" s="1"/>
  <c r="AK12" i="4"/>
  <c r="AI12" i="4"/>
  <c r="AH12" i="4"/>
  <c r="AJ12" i="4"/>
  <c r="D34" i="6" a="1"/>
  <c r="D34" i="6" s="1"/>
  <c r="G34" i="6"/>
  <c r="E34" i="6" a="1"/>
  <c r="E34" i="6" s="1"/>
  <c r="F34" i="6" s="1"/>
  <c r="Z20" i="8" a="1"/>
  <c r="Z20" i="8" s="1"/>
  <c r="AH13" i="4"/>
  <c r="AK13" i="4"/>
  <c r="AJ13" i="4"/>
  <c r="AA14" i="7"/>
  <c r="B72" i="5"/>
  <c r="B81" i="5"/>
  <c r="BC36" i="1"/>
  <c r="AI36" i="1"/>
  <c r="AY36" i="1"/>
  <c r="AR38" i="1"/>
  <c r="AY40" i="1"/>
  <c r="AM50" i="1"/>
  <c r="AS52" i="1"/>
  <c r="AY54" i="1"/>
  <c r="AI13" i="4"/>
  <c r="F61" i="6" a="1"/>
  <c r="F61" i="6" s="1"/>
  <c r="D61" i="6"/>
  <c r="B61" i="6"/>
  <c r="G61" i="6" a="1"/>
  <c r="G61" i="6" s="1"/>
  <c r="H61" i="6" s="1"/>
  <c r="E61" i="6" a="1"/>
  <c r="E61" i="6" s="1"/>
  <c r="AT38" i="1"/>
  <c r="BB47" i="1"/>
  <c r="AH47" i="1" a="1"/>
  <c r="AH47" i="1" s="1"/>
  <c r="AY47" i="1"/>
  <c r="AN50" i="1"/>
  <c r="AT52" i="1"/>
  <c r="GJ21" i="3"/>
  <c r="Z23" i="8" a="1"/>
  <c r="Z23" i="8" s="1"/>
  <c r="FB28" i="3"/>
  <c r="AJ22" i="7" s="1" a="1"/>
  <c r="AJ22" i="7" s="1"/>
  <c r="AA11" i="7"/>
  <c r="G38" i="6"/>
  <c r="D38" i="6" a="1"/>
  <c r="D38" i="6" s="1"/>
  <c r="D55" i="6"/>
  <c r="B55" i="6"/>
  <c r="G55" i="6" a="1"/>
  <c r="G55" i="6" s="1"/>
  <c r="H55" i="6" s="1"/>
  <c r="F55" i="6" a="1"/>
  <c r="F55" i="6" s="1"/>
  <c r="E55" i="6" a="1"/>
  <c r="E55" i="6" s="1"/>
  <c r="G58" i="6" a="1"/>
  <c r="G58" i="6" s="1"/>
  <c r="H58" i="6" s="1"/>
  <c r="E58" i="6" a="1"/>
  <c r="E58" i="6" s="1"/>
  <c r="D58" i="6"/>
  <c r="B58" i="6"/>
  <c r="BD2" i="7"/>
  <c r="BD1" i="7"/>
  <c r="G18" i="7"/>
  <c r="BG47" i="1" s="1"/>
  <c r="DN28" i="3"/>
  <c r="AJ12" i="7" s="1" a="1"/>
  <c r="AJ12" i="7" s="1"/>
  <c r="AH12" i="7" a="1"/>
  <c r="AH12" i="7" s="1"/>
  <c r="AI10" i="7" a="1"/>
  <c r="AI10" i="7" s="1"/>
  <c r="DF28" i="3"/>
  <c r="AJ10" i="7" s="1" a="1"/>
  <c r="AJ10" i="7" s="1"/>
  <c r="D51" i="6"/>
  <c r="B51" i="6"/>
  <c r="G51" i="6" a="1"/>
  <c r="G51" i="6" s="1"/>
  <c r="H51" i="6" s="1"/>
  <c r="F51" i="6" a="1"/>
  <c r="F51" i="6" s="1"/>
  <c r="E51" i="6" a="1"/>
  <c r="E51" i="6" s="1"/>
  <c r="BA8" i="7"/>
  <c r="G8" i="7"/>
  <c r="BG37" i="1" s="1"/>
  <c r="BA17" i="7"/>
  <c r="D17" i="7"/>
  <c r="BE46" i="1" s="1"/>
  <c r="O17" i="7"/>
  <c r="AO7" i="7"/>
  <c r="O7" i="7"/>
  <c r="AA7" i="7"/>
  <c r="AO10" i="7"/>
  <c r="BJ10" i="7"/>
  <c r="Z11" i="7"/>
  <c r="AH14" i="7" a="1"/>
  <c r="AH14" i="7" s="1"/>
  <c r="E17" i="7"/>
  <c r="O19" i="7"/>
  <c r="Q24" i="7"/>
  <c r="BA24" i="7"/>
  <c r="D24" i="7"/>
  <c r="AA24" i="7"/>
  <c r="O24" i="7"/>
  <c r="BJ24" i="7"/>
  <c r="Z25" i="8" a="1"/>
  <c r="Z25" i="8" s="1"/>
  <c r="GF19" i="3" a="1"/>
  <c r="GF19" i="3" s="1"/>
  <c r="CT28" i="3"/>
  <c r="AJ7" i="7" s="1" a="1"/>
  <c r="AJ7" i="7" s="1"/>
  <c r="G35" i="6"/>
  <c r="G45" i="6" a="1"/>
  <c r="G45" i="6" s="1"/>
  <c r="H45" i="6" s="1"/>
  <c r="E8" i="7"/>
  <c r="P8" i="7" s="1"/>
  <c r="AA12" i="7"/>
  <c r="BA14" i="7"/>
  <c r="G14" i="7"/>
  <c r="BG43" i="1" s="1"/>
  <c r="BJ14" i="7"/>
  <c r="BJ17" i="7"/>
  <c r="Y22" i="7"/>
  <c r="E24" i="7"/>
  <c r="GF5" i="3" a="1"/>
  <c r="GF5" i="3" s="1"/>
  <c r="AA19" i="7"/>
  <c r="BL25" i="7"/>
  <c r="G7" i="7"/>
  <c r="Q7" i="7" s="1"/>
  <c r="BA18" i="7"/>
  <c r="B18" i="7"/>
  <c r="BA21" i="7"/>
  <c r="BJ21" i="7"/>
  <c r="AO21" i="7"/>
  <c r="Q25" i="7"/>
  <c r="BA25" i="7"/>
  <c r="D25" i="7"/>
  <c r="F25" i="7"/>
  <c r="E25" i="7"/>
  <c r="B25" i="7"/>
  <c r="GF11" i="3" a="1"/>
  <c r="GF11" i="3" s="1"/>
  <c r="DJ28" i="3"/>
  <c r="AJ11" i="7" s="1" a="1"/>
  <c r="AJ11" i="7" s="1"/>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Z36" i="8" a="1"/>
  <c r="Z36" i="8" s="1"/>
  <c r="O8" i="7"/>
  <c r="BJ8" i="7"/>
  <c r="BJ11" i="7"/>
  <c r="AO18" i="7"/>
  <c r="J25" i="7"/>
  <c r="H7" i="8"/>
  <c r="A11" i="8" s="1"/>
  <c r="GF16" i="3" a="1"/>
  <c r="GF16" i="3" s="1"/>
  <c r="GH16" i="3" s="1"/>
  <c r="F17" i="7" s="1"/>
  <c r="ED28" i="3"/>
  <c r="AJ16" i="7" s="1" a="1"/>
  <c r="AJ16" i="7" s="1"/>
  <c r="AI9" i="4"/>
  <c r="F48" i="6" a="1"/>
  <c r="F48" i="6" s="1"/>
  <c r="BJ7" i="7"/>
  <c r="Z9" i="7"/>
  <c r="E11" i="7"/>
  <c r="BF40" i="1" s="1"/>
  <c r="AO15" i="7"/>
  <c r="AA17" i="7"/>
  <c r="AA20" i="7"/>
  <c r="P24" i="7"/>
  <c r="Z35" i="8" a="1"/>
  <c r="Z35" i="8" s="1"/>
  <c r="G46" i="6" a="1"/>
  <c r="G46" i="6" s="1"/>
  <c r="H46" i="6" s="1"/>
  <c r="G11" i="7"/>
  <c r="BG40" i="1" s="1"/>
  <c r="BA19" i="7"/>
  <c r="D19" i="7"/>
  <c r="BE48" i="1" s="1"/>
  <c r="P25" i="7"/>
  <c r="Z34" i="8" a="1"/>
  <c r="Z34" i="8" s="1"/>
  <c r="AJ21" i="4"/>
  <c r="Z25" i="7"/>
  <c r="Z24" i="7"/>
  <c r="Z23" i="7"/>
  <c r="Z22" i="7"/>
  <c r="Z21" i="7"/>
  <c r="Z20" i="7"/>
  <c r="Z19" i="7"/>
  <c r="Z18" i="7"/>
  <c r="Z17" i="7"/>
  <c r="Z16" i="7"/>
  <c r="Z15" i="7"/>
  <c r="Z14" i="7"/>
  <c r="Z13" i="7"/>
  <c r="Y27" i="7"/>
  <c r="Y15" i="7"/>
  <c r="Y10" i="7"/>
  <c r="Y8" i="7"/>
  <c r="Z6" i="7"/>
  <c r="Y24" i="7"/>
  <c r="Z7" i="7"/>
  <c r="Z12" i="7"/>
  <c r="O18" i="7"/>
  <c r="G19" i="7"/>
  <c r="BG48" i="1" s="1"/>
  <c r="BJ19" i="7"/>
  <c r="Y21" i="7"/>
  <c r="Y25" i="7"/>
  <c r="Z27" i="8" a="1"/>
  <c r="Z27" i="8" s="1"/>
  <c r="GF21" i="3" a="1"/>
  <c r="GF21" i="3" s="1"/>
  <c r="AH7" i="4"/>
  <c r="D45" i="6"/>
  <c r="B9" i="7"/>
  <c r="BJ9" i="7"/>
  <c r="AA9" i="7"/>
  <c r="E10" i="7"/>
  <c r="BF39" i="1" s="1"/>
  <c r="AO11" i="7"/>
  <c r="AA21" i="7"/>
  <c r="B23" i="7"/>
  <c r="AH23" i="7" a="1"/>
  <c r="AH23" i="7" s="1"/>
  <c r="AA25" i="7"/>
  <c r="Y6" i="7"/>
  <c r="O15" i="7"/>
  <c r="AR16" i="7"/>
  <c r="Y18" i="7"/>
  <c r="AO19" i="7"/>
  <c r="BA23" i="7"/>
  <c r="G23" i="7"/>
  <c r="Q23" i="7" s="1"/>
  <c r="Z27" i="7"/>
  <c r="Z33" i="8" a="1"/>
  <c r="Z33" i="8" s="1"/>
  <c r="G10" i="7"/>
  <c r="Q10" i="7" s="1"/>
  <c r="O11" i="7"/>
  <c r="AA15" i="7"/>
  <c r="AA18" i="7"/>
  <c r="BA20" i="7"/>
  <c r="BA16" i="7"/>
  <c r="AV9" i="7" l="1"/>
  <c r="AL15" i="4"/>
  <c r="AC73" i="5" s="1"/>
  <c r="D21" i="7"/>
  <c r="BE50" i="1" s="1"/>
  <c r="GN15" i="3"/>
  <c r="H16" i="7" s="1"/>
  <c r="J16" i="7" s="1"/>
  <c r="AT24" i="7"/>
  <c r="AS6" i="7"/>
  <c r="AU6" i="7" s="1"/>
  <c r="AL7" i="4"/>
  <c r="AC65" i="5" s="1"/>
  <c r="P14" i="7"/>
  <c r="P15" i="7"/>
  <c r="D15" i="7"/>
  <c r="BE44" i="1" s="1"/>
  <c r="BG35" i="1"/>
  <c r="AR6" i="7"/>
  <c r="BL23" i="7"/>
  <c r="GN8" i="3"/>
  <c r="H9" i="7" s="1"/>
  <c r="I63" i="1"/>
  <c r="GN5" i="3"/>
  <c r="H6" i="7" s="1"/>
  <c r="J6" i="7" s="1"/>
  <c r="P7" i="7"/>
  <c r="GN13" i="3"/>
  <c r="H14" i="7" s="1"/>
  <c r="J14" i="7" s="1"/>
  <c r="AR8" i="7"/>
  <c r="D22" i="7"/>
  <c r="BE51" i="1" s="1"/>
  <c r="GN22" i="3"/>
  <c r="H23" i="7" s="1"/>
  <c r="J23" i="7" s="1"/>
  <c r="AQ8" i="7"/>
  <c r="GN10" i="3"/>
  <c r="H11" i="7" s="1"/>
  <c r="J11" i="7" s="1"/>
  <c r="AP8" i="7"/>
  <c r="AU8" i="7" s="1"/>
  <c r="GN6" i="3"/>
  <c r="H7" i="7" s="1"/>
  <c r="J7" i="7" s="1"/>
  <c r="BF45" i="1"/>
  <c r="BH46" i="1"/>
  <c r="J17" i="7"/>
  <c r="D18" i="7"/>
  <c r="BE47" i="1" s="1"/>
  <c r="AI5" i="2"/>
  <c r="AJ5" i="2" s="1"/>
  <c r="AT6" i="7" s="1"/>
  <c r="AV12" i="7"/>
  <c r="I66" i="1" s="1"/>
  <c r="BG49" i="1"/>
  <c r="GN9" i="3"/>
  <c r="H10" i="7" s="1"/>
  <c r="BH39" i="1" s="1"/>
  <c r="AP17" i="7"/>
  <c r="AP9" i="7"/>
  <c r="AU9" i="7" s="1"/>
  <c r="AL9" i="4"/>
  <c r="AC67" i="5" s="1"/>
  <c r="GN19" i="3"/>
  <c r="H20" i="7" s="1"/>
  <c r="J20" i="7" s="1"/>
  <c r="K74" i="5" a="1"/>
  <c r="K74" i="5" s="1"/>
  <c r="V74" i="5" s="1"/>
  <c r="AL21" i="4"/>
  <c r="AC79" i="5" s="1"/>
  <c r="GN7" i="3"/>
  <c r="H8" i="7" s="1"/>
  <c r="J8" i="7" s="1"/>
  <c r="M74" i="5" a="1"/>
  <c r="M74" i="5" s="1"/>
  <c r="X74" i="5" s="1"/>
  <c r="Q12" i="7"/>
  <c r="P74" i="5" a="1"/>
  <c r="P74" i="5" s="1"/>
  <c r="AA74" i="5" s="1"/>
  <c r="AS12" i="7"/>
  <c r="AU12" i="7" s="1"/>
  <c r="AQ9" i="7"/>
  <c r="Q21" i="7"/>
  <c r="Q17" i="7"/>
  <c r="H74" i="5" a="1"/>
  <c r="H74" i="5" s="1"/>
  <c r="S74" i="5" s="1"/>
  <c r="AL8" i="4"/>
  <c r="AC66" i="5" s="1"/>
  <c r="AQ12" i="7"/>
  <c r="BG51" i="1"/>
  <c r="J74" i="5" a="1"/>
  <c r="J74" i="5" s="1"/>
  <c r="AR9" i="7"/>
  <c r="Q15"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81" i="5" a="1"/>
  <c r="G81" i="5" s="1"/>
  <c r="R81" i="5" s="1"/>
  <c r="T88" i="5" s="1"/>
  <c r="AQ23" i="7"/>
  <c r="V37" i="8"/>
  <c r="M81" i="5" a="1"/>
  <c r="M81" i="5" s="1"/>
  <c r="X81" i="5" s="1"/>
  <c r="I81" i="5" a="1"/>
  <c r="I81" i="5" s="1"/>
  <c r="T81" i="5" s="1"/>
  <c r="J81" i="5" a="1"/>
  <c r="J81" i="5" s="1"/>
  <c r="U81" i="5" s="1"/>
  <c r="BG52" i="1"/>
  <c r="D135" i="5"/>
  <c r="AW8" i="7"/>
  <c r="G62" i="1" s="1"/>
  <c r="BF35" i="1"/>
  <c r="AR20" i="7"/>
  <c r="AL18" i="4"/>
  <c r="AC76" i="5" s="1"/>
  <c r="AP6" i="7"/>
  <c r="M67" i="5" a="1"/>
  <c r="M67" i="5" s="1"/>
  <c r="X67" i="5" s="1"/>
  <c r="N67" i="5" a="1"/>
  <c r="N67" i="5" s="1"/>
  <c r="Y67" i="5" s="1"/>
  <c r="AP20" i="7"/>
  <c r="BL16" i="7"/>
  <c r="AS20" i="7"/>
  <c r="N75" i="5" a="1"/>
  <c r="N75" i="5" s="1"/>
  <c r="Y75" i="5" s="1"/>
  <c r="AU16" i="7"/>
  <c r="BF41" i="1"/>
  <c r="AU14" i="7"/>
  <c r="Q19" i="7"/>
  <c r="AX24" i="7" a="1"/>
  <c r="AX24" i="7" s="1"/>
  <c r="AU24" i="7"/>
  <c r="P12" i="7"/>
  <c r="AQ20" i="7"/>
  <c r="I126" i="5"/>
  <c r="B126" i="5"/>
  <c r="AR24" i="7"/>
  <c r="H71" i="5" a="1"/>
  <c r="H71" i="5" s="1"/>
  <c r="S71" i="5" s="1"/>
  <c r="AT17" i="7"/>
  <c r="BK17" i="7" s="1"/>
  <c r="J67" i="5" a="1"/>
  <c r="J67" i="5" s="1"/>
  <c r="AS17" i="7"/>
  <c r="G74" i="5" a="1"/>
  <c r="G74" i="5" s="1"/>
  <c r="R74" i="5" s="1"/>
  <c r="M88" i="5" s="1"/>
  <c r="AL10" i="4"/>
  <c r="AC68" i="5" s="1"/>
  <c r="AS24" i="7"/>
  <c r="AW16" i="7"/>
  <c r="G70" i="1" s="1"/>
  <c r="AR12" i="7"/>
  <c r="K64" i="5" a="1"/>
  <c r="K64" i="5" s="1"/>
  <c r="V64" i="5" s="1"/>
  <c r="L74" i="5" a="1"/>
  <c r="L74" i="5" s="1"/>
  <c r="W74" i="5" s="1"/>
  <c r="L64" i="5" a="1"/>
  <c r="L64" i="5" s="1"/>
  <c r="W64" i="5" s="1"/>
  <c r="O69" i="5" a="1"/>
  <c r="O69" i="5" s="1"/>
  <c r="Z69" i="5" s="1"/>
  <c r="AW9" i="7"/>
  <c r="G63" i="1" s="1"/>
  <c r="AS23" i="7"/>
  <c r="AV23" i="7" s="1"/>
  <c r="I77" i="1" s="1"/>
  <c r="AT8" i="7"/>
  <c r="I123" i="5"/>
  <c r="B123" i="5"/>
  <c r="H64" i="5" a="1"/>
  <c r="H64" i="5" s="1"/>
  <c r="S64" i="5" s="1"/>
  <c r="AR17" i="7"/>
  <c r="Q16" i="7"/>
  <c r="Q8"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C6" i="6"/>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J19" i="7"/>
  <c r="AW12" i="7"/>
  <c r="K67" i="5" a="1"/>
  <c r="K67" i="5" s="1"/>
  <c r="V67" i="5" s="1"/>
  <c r="O75" i="5" a="1"/>
  <c r="O75" i="5" s="1"/>
  <c r="Z75" i="5" s="1"/>
  <c r="G71" i="5" a="1"/>
  <c r="G71" i="5" s="1"/>
  <c r="R71" i="5" s="1"/>
  <c r="J88" i="5" s="1"/>
  <c r="J12" i="7"/>
  <c r="BH41" i="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P88" i="5" s="1"/>
  <c r="AL17" i="4"/>
  <c r="AC75" i="5" s="1"/>
  <c r="M77" i="5" a="1"/>
  <c r="M77" i="5" s="1"/>
  <c r="X77" i="5" s="1"/>
  <c r="I75" i="5" a="1"/>
  <c r="I75" i="5" s="1"/>
  <c r="B120" i="5"/>
  <c r="B5" i="1" a="1"/>
  <c r="B5" i="1" s="1"/>
  <c r="K75" i="5" a="1"/>
  <c r="K75" i="5" s="1"/>
  <c r="V75" i="5" s="1"/>
  <c r="G72" i="5" a="1"/>
  <c r="G72" i="5" s="1"/>
  <c r="R72" i="5" s="1"/>
  <c r="K88"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J35" i="8"/>
  <c r="M71" i="5" a="1"/>
  <c r="M71" i="5" s="1"/>
  <c r="X71" i="5" s="1"/>
  <c r="AP23" i="7"/>
  <c r="AL13" i="4"/>
  <c r="AC71" i="5" s="1"/>
  <c r="AV24" i="7"/>
  <c r="AP24" i="7"/>
  <c r="J9" i="7"/>
  <c r="BH38" i="1"/>
  <c r="N70" i="5" a="1"/>
  <c r="N70" i="5" s="1"/>
  <c r="Y70" i="5" s="1"/>
  <c r="G75" i="5" a="1"/>
  <c r="G75" i="5" s="1"/>
  <c r="R75" i="5" s="1"/>
  <c r="N88" i="5" s="1"/>
  <c r="I79" i="5" a="1"/>
  <c r="I79" i="5" s="1"/>
  <c r="T79" i="5" s="1"/>
  <c r="AL16" i="4"/>
  <c r="AC74" i="5" s="1"/>
  <c r="AI19" i="2"/>
  <c r="AJ19" i="2" s="1"/>
  <c r="AT20" i="7" s="1"/>
  <c r="I72" i="5" a="1"/>
  <c r="I72" i="5" s="1"/>
  <c r="T72" i="5" s="1"/>
  <c r="Q18" i="7"/>
  <c r="D126" i="5"/>
  <c r="D139" i="5" a="1"/>
  <c r="D139" i="5" s="1"/>
  <c r="M6" i="5" s="1"/>
  <c r="Q11" i="7"/>
  <c r="J70" i="5" a="1"/>
  <c r="J70" i="5" s="1"/>
  <c r="U70" i="5" s="1"/>
  <c r="G79" i="5" a="1"/>
  <c r="G79" i="5" s="1"/>
  <c r="R79" i="5" s="1"/>
  <c r="R88" i="5" s="1"/>
  <c r="P79" i="5" a="1"/>
  <c r="P79" i="5" s="1"/>
  <c r="O88" i="5"/>
  <c r="V88" i="5"/>
  <c r="U88" i="5"/>
  <c r="F88" i="5"/>
  <c r="N68" i="5" a="1"/>
  <c r="N68" i="5" s="1"/>
  <c r="D122" i="5"/>
  <c r="AL20" i="4"/>
  <c r="AC78" i="5" s="1"/>
  <c r="H65" i="5" a="1"/>
  <c r="H65" i="5" s="1"/>
  <c r="AB17" i="7"/>
  <c r="AB14" i="7"/>
  <c r="AB19" i="7"/>
  <c r="AL22" i="4"/>
  <c r="AC80" i="5" s="1"/>
  <c r="AL12" i="4"/>
  <c r="AC70" i="5" s="1"/>
  <c r="AJ27" i="4"/>
  <c r="AI27" i="4"/>
  <c r="BD11" i="7" a="1"/>
  <c r="BD11" i="7" s="1"/>
  <c r="AL11" i="4"/>
  <c r="AC69" i="5" s="1"/>
  <c r="BB12" i="7" a="1"/>
  <c r="BB12" i="7" s="1"/>
  <c r="BE11" i="7" a="1"/>
  <c r="BE11" i="7" s="1"/>
  <c r="BD9" i="7" a="1"/>
  <c r="BD9" i="7" s="1"/>
  <c r="BH51" i="1"/>
  <c r="J22" i="7"/>
  <c r="J15" i="7"/>
  <c r="BH44" i="1"/>
  <c r="BH50" i="1"/>
  <c r="J21" i="7"/>
  <c r="BH47" i="1"/>
  <c r="J18" i="7"/>
  <c r="BH36" i="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BG42" i="1"/>
  <c r="L67" i="5" a="1"/>
  <c r="L67" i="5" s="1"/>
  <c r="W67" i="5" s="1"/>
  <c r="P70" i="5" a="1"/>
  <c r="P70" i="5" s="1"/>
  <c r="B119" i="5"/>
  <c r="D119" i="5"/>
  <c r="I119" i="5"/>
  <c r="I133" i="5"/>
  <c r="D133" i="5"/>
  <c r="B133" i="5"/>
  <c r="BH42" i="1"/>
  <c r="BE15" i="7" a="1"/>
  <c r="BE15" i="7" s="1"/>
  <c r="BD15" i="7" a="1"/>
  <c r="BD15" i="7" s="1"/>
  <c r="BC15" i="7" a="1"/>
  <c r="BC15" i="7" s="1"/>
  <c r="BB15" i="7" a="1"/>
  <c r="BB15" i="7" s="1"/>
  <c r="BL14" i="7"/>
  <c r="AB8" i="7"/>
  <c r="AH27" i="4"/>
  <c r="BC10" i="7" a="1"/>
  <c r="BC10" i="7" s="1"/>
  <c r="O68" i="5" a="1"/>
  <c r="O68" i="5" s="1"/>
  <c r="Z68" i="5" s="1"/>
  <c r="P68" i="5" a="1"/>
  <c r="P68" i="5" s="1"/>
  <c r="GH7" i="3"/>
  <c r="Q9" i="7"/>
  <c r="BG38" i="1"/>
  <c r="G73" i="5" a="1"/>
  <c r="G73" i="5" s="1"/>
  <c r="R73" i="5" s="1"/>
  <c r="L88" i="5" s="1"/>
  <c r="BL11" i="7"/>
  <c r="AJ6" i="7" a="1"/>
  <c r="AJ6" i="7" s="1"/>
  <c r="L20" i="8" s="1"/>
  <c r="H8" i="8" s="1"/>
  <c r="A12" i="8" s="1"/>
  <c r="D13" i="6" a="1"/>
  <c r="D13" i="6" s="1"/>
  <c r="L8" i="1"/>
  <c r="H6" i="5" a="1"/>
  <c r="H6" i="5" s="1"/>
  <c r="D14" i="5" s="1"/>
  <c r="GH19" i="3"/>
  <c r="F20" i="7" s="1"/>
  <c r="BB10" i="7" a="1"/>
  <c r="BB10" i="7" s="1"/>
  <c r="AB12" i="7"/>
  <c r="AK27" i="4"/>
  <c r="BL13" i="7"/>
  <c r="J66" i="5" a="1"/>
  <c r="J66" i="5" s="1"/>
  <c r="U66" i="5" s="1"/>
  <c r="M66" i="5" a="1"/>
  <c r="M66" i="5" s="1"/>
  <c r="X66" i="5" s="1"/>
  <c r="K66" i="5" a="1"/>
  <c r="K66" i="5" s="1"/>
  <c r="V66" i="5" s="1"/>
  <c r="I66" i="5" a="1"/>
  <c r="I66" i="5" s="1"/>
  <c r="T66" i="5" s="1"/>
  <c r="G66" i="5" a="1"/>
  <c r="G66" i="5" s="1"/>
  <c r="R66" i="5" s="1"/>
  <c r="E88" i="5" s="1"/>
  <c r="L66" i="5" a="1"/>
  <c r="L66" i="5" s="1"/>
  <c r="W66" i="5" s="1"/>
  <c r="G78" i="5" a="1"/>
  <c r="G78" i="5" s="1"/>
  <c r="G70" i="5" a="1"/>
  <c r="G70" i="5" s="1"/>
  <c r="R70" i="5" s="1"/>
  <c r="I88" i="5" s="1"/>
  <c r="N65" i="5" a="1"/>
  <c r="N65" i="5" s="1"/>
  <c r="Y65" i="5" s="1"/>
  <c r="P65" i="5" a="1"/>
  <c r="P65" i="5" s="1"/>
  <c r="AA65" i="5" s="1"/>
  <c r="O65" i="5" a="1"/>
  <c r="O65" i="5" s="1"/>
  <c r="Z65" i="5" s="1"/>
  <c r="G68" i="5" a="1"/>
  <c r="G68" i="5" s="1"/>
  <c r="R68" i="5" s="1"/>
  <c r="G88" i="5" s="1"/>
  <c r="P20" i="7"/>
  <c r="AV20" i="7"/>
  <c r="I74" i="1" s="1"/>
  <c r="AW20" i="7"/>
  <c r="I131" i="5"/>
  <c r="F77" i="5" s="1"/>
  <c r="V33" i="8" s="1"/>
  <c r="B131" i="5"/>
  <c r="D131" i="5"/>
  <c r="J32" i="8"/>
  <c r="I73" i="5" a="1"/>
  <c r="I73" i="5" s="1"/>
  <c r="GH21" i="3"/>
  <c r="F22" i="7" s="1"/>
  <c r="BG39" i="1"/>
  <c r="H68" i="5" a="1"/>
  <c r="H68" i="5" s="1"/>
  <c r="S68" i="5" s="1"/>
  <c r="B132" i="5"/>
  <c r="I132" i="5"/>
  <c r="F78" i="5" s="1"/>
  <c r="V34" i="8" s="1"/>
  <c r="D132" i="5"/>
  <c r="H73" i="5" a="1"/>
  <c r="H73" i="5" s="1"/>
  <c r="S73" i="5" s="1"/>
  <c r="BH40" i="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S88" i="5" s="1"/>
  <c r="L80" i="5" a="1"/>
  <c r="L80" i="5" s="1"/>
  <c r="W80" i="5" s="1"/>
  <c r="N80" i="5" a="1"/>
  <c r="N80" i="5" s="1"/>
  <c r="Y80" i="5" s="1"/>
  <c r="H80" i="5" a="1"/>
  <c r="H80" i="5" s="1"/>
  <c r="I122" i="5"/>
  <c r="B122" i="5"/>
  <c r="Q14" i="7"/>
  <c r="AB13" i="7"/>
  <c r="AB10" i="7"/>
  <c r="H78" i="5" a="1"/>
  <c r="H78" i="5" s="1"/>
  <c r="S78" i="5" s="1"/>
  <c r="H70" i="5" a="1"/>
  <c r="H70" i="5" s="1"/>
  <c r="S70" i="5" s="1"/>
  <c r="I68" i="5" a="1"/>
  <c r="I68" i="5" s="1"/>
  <c r="T68" i="5" s="1"/>
  <c r="M79" i="5" a="1"/>
  <c r="M79" i="5" s="1"/>
  <c r="X79" i="5" s="1"/>
  <c r="BL7" i="7"/>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BL15" i="7"/>
  <c r="GH14" i="3"/>
  <c r="F15" i="7" s="1"/>
  <c r="J78" i="5" a="1"/>
  <c r="J78" i="5" s="1"/>
  <c r="U78" i="5" s="1"/>
  <c r="O70" i="5" a="1"/>
  <c r="O70" i="5" s="1"/>
  <c r="I137" i="5"/>
  <c r="D137" i="5"/>
  <c r="B137" i="5"/>
  <c r="O73" i="5" a="1"/>
  <c r="O73" i="5" s="1"/>
  <c r="Z73" i="5" s="1"/>
  <c r="I78" i="5" a="1"/>
  <c r="I78" i="5" s="1"/>
  <c r="T78" i="5" s="1"/>
  <c r="BL17" i="7"/>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BL8" i="7"/>
  <c r="M80" i="5" a="1"/>
  <c r="M80" i="5" s="1"/>
  <c r="X80" i="5" s="1"/>
  <c r="AI11" i="2"/>
  <c r="AJ11" i="2" s="1"/>
  <c r="AT12" i="7" s="1"/>
  <c r="AB70" i="5" s="1"/>
  <c r="AD70" i="5" s="1"/>
  <c r="GH8" i="3"/>
  <c r="F9" i="7" s="1"/>
  <c r="K65" i="5" a="1"/>
  <c r="K65" i="5" s="1"/>
  <c r="V65" i="5" s="1"/>
  <c r="BL9" i="7"/>
  <c r="BD16" i="7" a="1"/>
  <c r="BD16" i="7" s="1"/>
  <c r="BE16" i="7" a="1"/>
  <c r="BE16" i="7" s="1"/>
  <c r="BC16" i="7" a="1"/>
  <c r="BC16" i="7" s="1"/>
  <c r="BB16" i="7" a="1"/>
  <c r="BB16" i="7" s="1"/>
  <c r="BK24" i="7"/>
  <c r="BM24" i="7" a="1"/>
  <c r="BM24" i="7" s="1"/>
  <c r="BL24" i="7"/>
  <c r="AB15" i="7"/>
  <c r="GH9" i="3"/>
  <c r="F10" i="7" s="1"/>
  <c r="I67" i="5" a="1"/>
  <c r="I67" i="5" s="1"/>
  <c r="T67" i="5" s="1"/>
  <c r="L70" i="5" a="1"/>
  <c r="L70" i="5" s="1"/>
  <c r="W70" i="5" s="1"/>
  <c r="J71" i="5" a="1"/>
  <c r="J71" i="5" s="1"/>
  <c r="U71" i="5" s="1"/>
  <c r="D121" i="5"/>
  <c r="L68" i="5" a="1"/>
  <c r="L68" i="5" s="1"/>
  <c r="J27" i="8"/>
  <c r="BC18" i="7" a="1"/>
  <c r="BC18" i="7" s="1"/>
  <c r="BE18" i="7" a="1"/>
  <c r="BE18" i="7" s="1"/>
  <c r="BD18" i="7" a="1"/>
  <c r="BD18" i="7" s="1"/>
  <c r="BB18" i="7" a="1"/>
  <c r="BB18" i="7" s="1"/>
  <c r="AB11" i="7"/>
  <c r="AL6" i="4"/>
  <c r="BL22" i="7"/>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BL19" i="7"/>
  <c r="BL20" i="7"/>
  <c r="AB6" i="7"/>
  <c r="BD7" i="7" a="1"/>
  <c r="BD7" i="7" s="1"/>
  <c r="BF46" i="1"/>
  <c r="BL6" i="7"/>
  <c r="BG36" i="1"/>
  <c r="J8" i="1"/>
  <c r="AS10" i="7"/>
  <c r="AR10" i="7"/>
  <c r="AW10" i="7"/>
  <c r="AV10" i="7"/>
  <c r="I64" i="1" s="1"/>
  <c r="AT10" i="7"/>
  <c r="AQ10" i="7"/>
  <c r="AP10" i="7"/>
  <c r="BH45" i="1"/>
  <c r="GH15" i="3"/>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F8" i="7" s="1"/>
  <c r="BD8" i="7" a="1"/>
  <c r="BD8" i="7" s="1"/>
  <c r="BC8" i="7" a="1"/>
  <c r="BC8" i="7" s="1"/>
  <c r="GH5" i="3"/>
  <c r="AB18" i="7"/>
  <c r="BB6" i="7" a="1"/>
  <c r="BB6" i="7" s="1"/>
  <c r="AB16" i="7"/>
  <c r="AR22" i="7"/>
  <c r="AS22" i="7"/>
  <c r="AU22" i="7" s="1"/>
  <c r="AQ22" i="7"/>
  <c r="AP22" i="7"/>
  <c r="AV22" i="7"/>
  <c r="I76" i="1" s="1"/>
  <c r="GH13" i="3"/>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GH11" i="3"/>
  <c r="F12" i="7" s="1"/>
  <c r="AB23" i="7"/>
  <c r="GH10" i="3"/>
  <c r="F11" i="7" s="1"/>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BL21" i="7"/>
  <c r="AT18" i="7"/>
  <c r="AR18" i="7"/>
  <c r="AS18" i="7"/>
  <c r="AW18" i="7" s="1"/>
  <c r="AQ18" i="7"/>
  <c r="AP18" i="7"/>
  <c r="AB9" i="7"/>
  <c r="AJ14" i="2"/>
  <c r="AT15" i="7" s="1"/>
  <c r="BK15" i="7" s="1"/>
  <c r="J69" i="5" a="1"/>
  <c r="J69" i="5" s="1"/>
  <c r="U69" i="5" s="1"/>
  <c r="I69" i="5" a="1"/>
  <c r="I69" i="5" s="1"/>
  <c r="T69" i="5" s="1"/>
  <c r="P69" i="5" a="1"/>
  <c r="P69" i="5" s="1"/>
  <c r="AA69" i="5" s="1"/>
  <c r="H69" i="5" a="1"/>
  <c r="H69" i="5" s="1"/>
  <c r="S69" i="5" s="1"/>
  <c r="G69" i="5" a="1"/>
  <c r="G69" i="5" s="1"/>
  <c r="R69" i="5" s="1"/>
  <c r="H88" i="5" s="1"/>
  <c r="L69" i="5" a="1"/>
  <c r="L69" i="5" s="1"/>
  <c r="GH6" i="3"/>
  <c r="F7" i="7"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D88" i="5" s="1"/>
  <c r="I125" i="5"/>
  <c r="D125" i="5"/>
  <c r="B125" i="5"/>
  <c r="BE19" i="7" a="1"/>
  <c r="BE19" i="7" s="1"/>
  <c r="BD19" i="7" a="1"/>
  <c r="BD19" i="7" s="1"/>
  <c r="BC19" i="7" a="1"/>
  <c r="BC19" i="7" s="1"/>
  <c r="BB19" i="7" a="1"/>
  <c r="BB19" i="7" s="1"/>
  <c r="BK16" i="7"/>
  <c r="BD6" i="7" a="1"/>
  <c r="BD6" i="7" s="1"/>
  <c r="BL10" i="7"/>
  <c r="BE36" i="1"/>
  <c r="AR11" i="7"/>
  <c r="AQ11" i="7"/>
  <c r="AS11" i="7"/>
  <c r="AW11" i="7" s="1"/>
  <c r="AP11" i="7"/>
  <c r="AT11" i="7"/>
  <c r="BK11" i="7" s="1"/>
  <c r="BE23" i="7" a="1"/>
  <c r="BE23" i="7" s="1"/>
  <c r="BC23" i="7" a="1"/>
  <c r="BC23" i="7" s="1"/>
  <c r="BB23" i="7" a="1"/>
  <c r="BB23" i="7" s="1"/>
  <c r="BD23" i="7" a="1"/>
  <c r="BD23" i="7" s="1"/>
  <c r="BB9" i="7" a="1"/>
  <c r="BB9" i="7" s="1"/>
  <c r="BL18" i="7"/>
  <c r="AT25" i="7"/>
  <c r="AR25" i="7"/>
  <c r="AD39" i="8"/>
  <c r="AX25" i="7" a="1"/>
  <c r="AX25" i="7" s="1"/>
  <c r="AW25" i="7"/>
  <c r="AV25" i="7"/>
  <c r="AS25" i="7"/>
  <c r="AP25" i="7"/>
  <c r="AU25" i="7"/>
  <c r="AQ25" i="7"/>
  <c r="P11" i="7"/>
  <c r="AR19" i="7"/>
  <c r="AQ19" i="7"/>
  <c r="AP19" i="7"/>
  <c r="AS19" i="7"/>
  <c r="AW19" i="7" s="1"/>
  <c r="AV19" i="7"/>
  <c r="I73" i="1" s="1"/>
  <c r="P21" i="7"/>
  <c r="AV14" i="7"/>
  <c r="I68" i="1" s="1"/>
  <c r="BL12" i="7"/>
  <c r="P73" i="5" a="1"/>
  <c r="P73" i="5" s="1"/>
  <c r="AA73" i="5" s="1"/>
  <c r="J31" i="8"/>
  <c r="I127" i="5"/>
  <c r="D127" i="5"/>
  <c r="B127" i="5"/>
  <c r="BK6" i="7" l="1"/>
  <c r="AU20" i="7"/>
  <c r="BK10" i="7"/>
  <c r="AB74" i="5"/>
  <c r="AD74" i="5" s="1"/>
  <c r="BH35" i="1"/>
  <c r="BK23" i="7"/>
  <c r="BH43" i="1"/>
  <c r="BH52" i="1"/>
  <c r="N8" i="1"/>
  <c r="BK7" i="7"/>
  <c r="AB66" i="5"/>
  <c r="S66" i="5" s="1"/>
  <c r="I12" i="7"/>
  <c r="H66" i="1" s="1"/>
  <c r="J37" i="8"/>
  <c r="D8" i="1"/>
  <c r="AB72" i="5"/>
  <c r="V72" i="5" s="1"/>
  <c r="BH49" i="1"/>
  <c r="J10" i="7"/>
  <c r="L9" i="7" s="1"/>
  <c r="AU17" i="7"/>
  <c r="BH37" i="1"/>
  <c r="B8" i="1"/>
  <c r="BF23" i="7"/>
  <c r="BG23" i="7" s="1"/>
  <c r="BF19" i="7"/>
  <c r="BG19" i="7" s="1"/>
  <c r="I8" i="7"/>
  <c r="H62" i="1" s="1"/>
  <c r="BK8" i="7"/>
  <c r="AB65" i="5"/>
  <c r="AD65" i="5" s="1"/>
  <c r="AB64" i="5"/>
  <c r="R64" i="5" s="1"/>
  <c r="C88" i="5" s="1"/>
  <c r="BK14" i="7"/>
  <c r="AX23" i="7" a="1"/>
  <c r="AX23" i="7" s="1"/>
  <c r="AU19" i="7"/>
  <c r="AU23" i="7"/>
  <c r="AW23" i="7"/>
  <c r="AB81" i="5"/>
  <c r="AD81" i="5" s="1"/>
  <c r="AD66" i="5"/>
  <c r="I9" i="7"/>
  <c r="H63" i="1" s="1"/>
  <c r="G66" i="1"/>
  <c r="M16" i="7"/>
  <c r="AB75" i="5"/>
  <c r="AD75" i="5" s="1"/>
  <c r="J33" i="8"/>
  <c r="AV17" i="7"/>
  <c r="I71" i="1" s="1"/>
  <c r="AU18" i="7"/>
  <c r="AW17" i="7"/>
  <c r="G71" i="1" s="1"/>
  <c r="AB67" i="5"/>
  <c r="S67" i="5" s="1"/>
  <c r="BK9" i="7"/>
  <c r="BK12" i="7"/>
  <c r="AU15" i="7"/>
  <c r="AB78" i="5"/>
  <c r="AD78" i="5" s="1"/>
  <c r="BK20" i="7"/>
  <c r="AX21" i="7" a="1"/>
  <c r="AX21" i="7" s="1"/>
  <c r="J29" i="8"/>
  <c r="J23" i="8"/>
  <c r="AV15" i="7"/>
  <c r="I69" i="1" s="1"/>
  <c r="C35" i="1"/>
  <c r="AW15" i="7"/>
  <c r="G69" i="1" s="1"/>
  <c r="M11" i="7"/>
  <c r="AX13" i="7" a="1"/>
  <c r="AX13" i="7" s="1"/>
  <c r="M17" i="7"/>
  <c r="I16" i="7"/>
  <c r="H70" i="1" s="1"/>
  <c r="AU11" i="7"/>
  <c r="BK13" i="7"/>
  <c r="AV11" i="7"/>
  <c r="I65" i="1" s="1"/>
  <c r="B35" i="1"/>
  <c r="AA70" i="5"/>
  <c r="D35" i="1"/>
  <c r="AX18" i="7" a="1"/>
  <c r="AX18" i="7" s="1"/>
  <c r="Z74" i="5"/>
  <c r="U74" i="5"/>
  <c r="Z70" i="5"/>
  <c r="J36" i="8"/>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BG8" i="7"/>
  <c r="AX22" i="7" a="1"/>
  <c r="AX22" i="7" s="1"/>
  <c r="AD36" i="8" s="1"/>
  <c r="BK22" i="7"/>
  <c r="AB80" i="5"/>
  <c r="AD80" i="5" s="1"/>
  <c r="AX19" i="7" a="1"/>
  <c r="AX19" i="7" s="1"/>
  <c r="G72" i="1"/>
  <c r="AX6" i="7" a="1"/>
  <c r="AX6" i="7" s="1"/>
  <c r="AU13" i="7"/>
  <c r="AB71" i="5"/>
  <c r="L10" i="7"/>
  <c r="M18" i="7"/>
  <c r="J34" i="8"/>
  <c r="AV13" i="7"/>
  <c r="I67" i="1" s="1"/>
  <c r="AB77" i="5"/>
  <c r="AD77" i="5" s="1"/>
  <c r="AU10" i="7"/>
  <c r="AX17" i="7" a="1"/>
  <c r="AX17" i="7" s="1"/>
  <c r="BK21" i="7"/>
  <c r="G64" i="1"/>
  <c r="I10" i="7"/>
  <c r="H64" i="1" s="1"/>
  <c r="AB73" i="5"/>
  <c r="T73" i="5" s="1"/>
  <c r="M9" i="7"/>
  <c r="J24" i="8"/>
  <c r="F8" i="7"/>
  <c r="J22" i="8"/>
  <c r="J26" i="8"/>
  <c r="BK19" i="7"/>
  <c r="AB76" i="5"/>
  <c r="AB69" i="5"/>
  <c r="W69" i="5" s="1"/>
  <c r="AB79" i="5"/>
  <c r="F6" i="7"/>
  <c r="J20" i="8"/>
  <c r="F35" i="1"/>
  <c r="AX14" i="7" a="1"/>
  <c r="AX14" i="7" s="1"/>
  <c r="AD28" i="8" s="1"/>
  <c r="J25" i="8"/>
  <c r="AX7" i="7" a="1"/>
  <c r="AX7" i="7" s="1"/>
  <c r="AD72" i="5"/>
  <c r="AL27" i="4"/>
  <c r="AC64" i="5"/>
  <c r="BF6" i="7"/>
  <c r="BG6" i="7" s="1"/>
  <c r="AW21" i="7"/>
  <c r="AX9" i="7" a="1"/>
  <c r="AX9" i="7" s="1"/>
  <c r="AD23" i="8" s="1"/>
  <c r="I14" i="7"/>
  <c r="H68" i="1" s="1"/>
  <c r="G68" i="1"/>
  <c r="AX15" i="7" a="1"/>
  <c r="AX15" i="7" s="1"/>
  <c r="X68" i="5"/>
  <c r="AB68" i="5"/>
  <c r="W68" i="5" s="1"/>
  <c r="J21" i="8"/>
  <c r="AX10" i="7" a="1"/>
  <c r="AX10" i="7" s="1"/>
  <c r="G65" i="1"/>
  <c r="AW22" i="7"/>
  <c r="BF12" i="7"/>
  <c r="BG12" i="7" s="1"/>
  <c r="AU7" i="7"/>
  <c r="G73" i="1"/>
  <c r="I19" i="7"/>
  <c r="H73" i="1" s="1"/>
  <c r="AX11" i="7" a="1"/>
  <c r="AX11" i="7" s="1"/>
  <c r="F14" i="7"/>
  <c r="J28" i="8"/>
  <c r="BK18" i="7"/>
  <c r="AV18" i="7"/>
  <c r="I72" i="1" s="1"/>
  <c r="AX16" i="7" a="1"/>
  <c r="AX16" i="7" s="1"/>
  <c r="AD30" i="8" s="1"/>
  <c r="AX12" i="7" a="1"/>
  <c r="AX12" i="7" s="1"/>
  <c r="AD26" i="8" s="1"/>
  <c r="AU21" i="7"/>
  <c r="L7" i="7"/>
  <c r="AV7" i="7"/>
  <c r="I61" i="1" s="1"/>
  <c r="AX20" i="7" a="1"/>
  <c r="AX20" i="7" s="1"/>
  <c r="I20" i="7"/>
  <c r="H74" i="1" s="1"/>
  <c r="G74" i="1"/>
  <c r="I6" i="7"/>
  <c r="G60" i="1"/>
  <c r="F16" i="7"/>
  <c r="J30" i="8"/>
  <c r="M15" i="7" l="1"/>
  <c r="M13" i="7"/>
  <c r="M6" i="7"/>
  <c r="AD34" i="8"/>
  <c r="L22" i="7"/>
  <c r="L25" i="7"/>
  <c r="M12" i="7"/>
  <c r="L12" i="7"/>
  <c r="L14" i="7"/>
  <c r="M19" i="7"/>
  <c r="M14" i="7"/>
  <c r="M24" i="7"/>
  <c r="M22" i="7"/>
  <c r="W72" i="5"/>
  <c r="L6" i="7"/>
  <c r="L15" i="7"/>
  <c r="M7" i="7"/>
  <c r="L21" i="7"/>
  <c r="M8" i="7"/>
  <c r="M10" i="7"/>
  <c r="AD31" i="8"/>
  <c r="M23" i="7"/>
  <c r="M25" i="7"/>
  <c r="M21" i="7"/>
  <c r="L23" i="7"/>
  <c r="L17" i="7"/>
  <c r="L20" i="7"/>
  <c r="L16" i="7"/>
  <c r="L24" i="7"/>
  <c r="L19" i="7"/>
  <c r="M20" i="7"/>
  <c r="L11" i="7"/>
  <c r="L18" i="7"/>
  <c r="L8" i="7"/>
  <c r="BM23" i="7" a="1"/>
  <c r="BM23" i="7" s="1"/>
  <c r="L13" i="7"/>
  <c r="AD33" i="8"/>
  <c r="Z81" i="5"/>
  <c r="S65" i="5"/>
  <c r="BM22" i="7" a="1"/>
  <c r="BM22" i="7" s="1"/>
  <c r="BH23" i="7" a="1"/>
  <c r="BH23" i="7" s="1"/>
  <c r="AD32" i="8"/>
  <c r="AA81" i="5"/>
  <c r="Y81" i="5"/>
  <c r="U65" i="5"/>
  <c r="T65" i="5"/>
  <c r="AD64" i="5"/>
  <c r="AD37" i="8"/>
  <c r="I17" i="7"/>
  <c r="H71" i="1" s="1"/>
  <c r="I23" i="7"/>
  <c r="H77" i="1" s="1"/>
  <c r="G77" i="1"/>
  <c r="BM6" i="7" a="1"/>
  <c r="BM6" i="7" s="1"/>
  <c r="T75" i="5"/>
  <c r="AD25" i="8"/>
  <c r="I11" i="7"/>
  <c r="H65" i="1" s="1"/>
  <c r="AD29" i="8"/>
  <c r="Z78" i="5"/>
  <c r="AD21" i="8"/>
  <c r="AD35" i="8"/>
  <c r="R78" i="5"/>
  <c r="Q88" i="5" s="1"/>
  <c r="D25" i="5" s="1"/>
  <c r="M19" i="5" s="1"/>
  <c r="AA78" i="5"/>
  <c r="U67" i="5"/>
  <c r="AD67" i="5"/>
  <c r="Y77" i="5"/>
  <c r="I15" i="7"/>
  <c r="H69" i="1" s="1"/>
  <c r="AD27" i="8"/>
  <c r="AA68" i="5"/>
  <c r="BM9" i="7" a="1"/>
  <c r="BM9" i="7" s="1"/>
  <c r="BM16" i="7" a="1"/>
  <c r="BM16" i="7" s="1"/>
  <c r="BM8" i="7" a="1"/>
  <c r="BM8" i="7" s="1"/>
  <c r="BM12" i="7" a="1"/>
  <c r="BM12" i="7" s="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I21" i="7"/>
  <c r="H75" i="1" s="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I18" i="7"/>
  <c r="H72" i="1" s="1"/>
  <c r="I7" i="7"/>
  <c r="H61" i="1" s="1"/>
  <c r="H60" i="1"/>
  <c r="H9" i="8"/>
  <c r="A13" i="8" s="1"/>
  <c r="BM10" i="7" a="1"/>
  <c r="BM10" i="7" s="1"/>
  <c r="BH15" i="7" a="1"/>
  <c r="BH15" i="7" s="1"/>
  <c r="BM21" i="7" a="1"/>
  <c r="BM21" i="7" s="1"/>
  <c r="BM17" i="7" a="1"/>
  <c r="BM17" i="7" s="1"/>
  <c r="BH20" i="7" a="1"/>
  <c r="BH20" i="7" s="1"/>
  <c r="I13" i="7"/>
  <c r="H67" i="1" s="1"/>
  <c r="H8" i="1"/>
  <c r="H5" i="8" a="1"/>
  <c r="H5" i="8" s="1"/>
  <c r="BM18" i="7" a="1"/>
  <c r="BM18" i="7" s="1"/>
  <c r="T80" i="5"/>
  <c r="BM14" i="7" a="1"/>
  <c r="BM14" i="7" s="1"/>
  <c r="G76" i="1"/>
  <c r="I22" i="7"/>
  <c r="C36" i="9" s="1"/>
  <c r="AA77" i="5"/>
  <c r="BM15" i="7" a="1"/>
  <c r="BM15" i="7" s="1"/>
  <c r="S80" i="5"/>
  <c r="BH11" i="7" a="1"/>
  <c r="BH11" i="7" s="1"/>
  <c r="AD71" i="5"/>
  <c r="Y71" i="5"/>
  <c r="AA71" i="5"/>
  <c r="BH8" i="7" a="1"/>
  <c r="BH8" i="7" s="1"/>
  <c r="AD79" i="5"/>
  <c r="AA79" i="5"/>
  <c r="AD24" i="8"/>
  <c r="BH16" i="7" a="1"/>
  <c r="BH16" i="7" s="1"/>
  <c r="AD69" i="5"/>
  <c r="X69" i="5"/>
  <c r="BM13" i="7" a="1"/>
  <c r="BM13" i="7" s="1"/>
  <c r="BQ11" i="7" l="1" a="1"/>
  <c r="BQ11" i="7" s="1"/>
  <c r="S89" i="5"/>
  <c r="BP7" i="7"/>
  <c r="BP12" i="7"/>
  <c r="P89" i="5"/>
  <c r="U89" i="5"/>
  <c r="H89" i="5"/>
  <c r="V89" i="5"/>
  <c r="D89" i="5"/>
  <c r="T89" i="5"/>
  <c r="R89" i="5"/>
  <c r="Q89" i="5"/>
  <c r="O89" i="5"/>
  <c r="N89" i="5"/>
  <c r="M89" i="5"/>
  <c r="L89" i="5"/>
  <c r="K89" i="5"/>
  <c r="G25" i="5"/>
  <c r="J89" i="5"/>
  <c r="H12" i="8"/>
  <c r="A16" i="8" s="1"/>
  <c r="F25" i="5"/>
  <c r="I89" i="5"/>
  <c r="E25" i="5"/>
  <c r="C18" i="6" a="1"/>
  <c r="C18" i="6" s="1"/>
  <c r="D18" i="6" s="1" a="1"/>
  <c r="D18" i="6" s="1"/>
  <c r="C89" i="5"/>
  <c r="G89" i="5"/>
  <c r="E89" i="5"/>
  <c r="F89" i="5"/>
  <c r="H76" i="1"/>
  <c r="D33" i="9"/>
  <c r="AF24" i="8"/>
  <c r="AF22" i="8"/>
  <c r="V11" i="7"/>
  <c r="P25" i="8" s="1"/>
  <c r="H41" i="1"/>
  <c r="D41" i="1"/>
  <c r="I41" i="1"/>
  <c r="E41" i="1"/>
  <c r="C41" i="1"/>
  <c r="G41" i="1"/>
  <c r="F41" i="1"/>
  <c r="H53" i="1"/>
  <c r="G53" i="1"/>
  <c r="I53" i="1"/>
  <c r="F53" i="1"/>
  <c r="C53" i="1"/>
  <c r="E53" i="1"/>
  <c r="D53" i="1"/>
  <c r="AF21" i="8"/>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A9" i="8"/>
  <c r="BP6" i="7"/>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AJ21" i="8" l="1"/>
  <c r="AJ25" i="8"/>
  <c r="AJ26" i="8"/>
  <c r="E65" i="1"/>
  <c r="AM11" i="7"/>
  <c r="AJ20" i="8"/>
  <c r="R20" i="8"/>
  <c r="D26" i="5"/>
  <c r="S16" i="5" s="1"/>
  <c r="E18" i="6" a="1"/>
  <c r="E18" i="6" s="1"/>
  <c r="F18" i="6" s="1"/>
  <c r="G18" i="6"/>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G90" i="5" l="1"/>
  <c r="K90" i="5"/>
  <c r="V90" i="5"/>
  <c r="T90" i="5"/>
  <c r="G26" i="5"/>
  <c r="O90" i="5"/>
  <c r="R90" i="5"/>
  <c r="H13" i="8"/>
  <c r="A17" i="8" s="1"/>
  <c r="J90" i="5"/>
  <c r="F90" i="5"/>
  <c r="E90" i="5"/>
  <c r="P90" i="5"/>
  <c r="H90" i="5"/>
  <c r="E26" i="5"/>
  <c r="L90" i="5"/>
  <c r="U90" i="5"/>
  <c r="C90" i="5"/>
  <c r="S90" i="5"/>
  <c r="Q90" i="5"/>
  <c r="I90" i="5"/>
  <c r="F26" i="5"/>
  <c r="D90" i="5"/>
  <c r="N90" i="5"/>
  <c r="C19" i="6" a="1"/>
  <c r="C19" i="6" s="1"/>
  <c r="E19" i="6" s="1" a="1"/>
  <c r="E19" i="6" s="1"/>
  <c r="F19" i="6" s="1"/>
  <c r="M90" i="5"/>
  <c r="C39" i="9"/>
  <c r="D34" i="9"/>
  <c r="H6" i="8"/>
  <c r="E66" i="1"/>
  <c r="R21" i="8" l="1"/>
  <c r="G19" i="6"/>
  <c r="D19" i="6" a="1"/>
  <c r="D19" i="6" s="1"/>
  <c r="D27" i="5"/>
  <c r="M16" i="5" s="1"/>
  <c r="A10" i="8"/>
  <c r="H91" i="5" l="1"/>
  <c r="S91" i="5"/>
  <c r="R91" i="5"/>
  <c r="D91" i="5"/>
  <c r="E91" i="5"/>
  <c r="U91" i="5"/>
  <c r="L91" i="5"/>
  <c r="P91" i="5"/>
  <c r="T91" i="5"/>
  <c r="I91" i="5"/>
  <c r="Q91" i="5"/>
  <c r="G91" i="5"/>
  <c r="C91" i="5"/>
  <c r="F91" i="5"/>
  <c r="M91" i="5"/>
  <c r="V91" i="5"/>
  <c r="J91" i="5"/>
  <c r="N91" i="5"/>
  <c r="F27" i="5"/>
  <c r="G27" i="5"/>
  <c r="O91" i="5"/>
  <c r="C20" i="6" a="1"/>
  <c r="C20" i="6" s="1"/>
  <c r="G20" i="6" s="1"/>
  <c r="K91" i="5"/>
  <c r="E27" i="5"/>
  <c r="D20" i="6" l="1" a="1"/>
  <c r="D20" i="6" s="1"/>
  <c r="D28" i="5"/>
  <c r="E28" i="5" s="1"/>
  <c r="R22" i="8"/>
  <c r="E20" i="6" a="1"/>
  <c r="E20" i="6" s="1"/>
  <c r="F20" i="6" s="1"/>
  <c r="J16" i="5"/>
  <c r="S92" i="5" l="1"/>
  <c r="N92" i="5"/>
  <c r="G92" i="5"/>
  <c r="D92" i="5"/>
  <c r="J92" i="5"/>
  <c r="Q92" i="5"/>
  <c r="M92" i="5"/>
  <c r="C92" i="5"/>
  <c r="P92" i="5"/>
  <c r="U92" i="5"/>
  <c r="F92" i="5"/>
  <c r="T92" i="5"/>
  <c r="K92" i="5"/>
  <c r="L92" i="5"/>
  <c r="E92" i="5"/>
  <c r="G28" i="5"/>
  <c r="F28" i="5"/>
  <c r="C21" i="6" a="1"/>
  <c r="C21" i="6" s="1"/>
  <c r="G21" i="6" s="1"/>
  <c r="V92" i="5"/>
  <c r="H92" i="5"/>
  <c r="O92" i="5"/>
  <c r="P16" i="5"/>
  <c r="I92" i="5"/>
  <c r="R92" i="5"/>
  <c r="R23" i="8" l="1"/>
  <c r="D21" i="6" a="1"/>
  <c r="D21" i="6" s="1"/>
  <c r="E21" i="6" a="1"/>
  <c r="E21" i="6" s="1"/>
  <c r="F21" i="6" s="1"/>
  <c r="D29" i="5"/>
  <c r="S13" i="5" s="1"/>
  <c r="G16" i="5"/>
  <c r="J93" i="5" l="1"/>
  <c r="D93" i="5"/>
  <c r="L93" i="5"/>
  <c r="U93" i="5"/>
  <c r="R93" i="5"/>
  <c r="G93" i="5"/>
  <c r="M93" i="5"/>
  <c r="P93" i="5"/>
  <c r="V93" i="5"/>
  <c r="I93" i="5"/>
  <c r="H93" i="5"/>
  <c r="N93" i="5"/>
  <c r="T93" i="5"/>
  <c r="K93" i="5"/>
  <c r="S93" i="5"/>
  <c r="F93" i="5"/>
  <c r="G29" i="5"/>
  <c r="F29" i="5"/>
  <c r="Q93" i="5"/>
  <c r="C22" i="6" a="1"/>
  <c r="C22" i="6" s="1"/>
  <c r="G22" i="6" s="1"/>
  <c r="O93" i="5"/>
  <c r="E93" i="5"/>
  <c r="C93" i="5"/>
  <c r="E29" i="5"/>
  <c r="R24" i="8" l="1"/>
  <c r="D22" i="6" a="1"/>
  <c r="D22" i="6" s="1"/>
  <c r="E22" i="6" a="1"/>
  <c r="E22" i="6" s="1"/>
  <c r="F22" i="6" s="1"/>
  <c r="D30" i="5"/>
  <c r="G13" i="5" s="1"/>
  <c r="M94" i="5" l="1"/>
  <c r="N94" i="5"/>
  <c r="P94" i="5"/>
  <c r="K94" i="5"/>
  <c r="D94" i="5"/>
  <c r="J94" i="5"/>
  <c r="Q94" i="5"/>
  <c r="V94" i="5"/>
  <c r="R94" i="5"/>
  <c r="T94" i="5"/>
  <c r="O94" i="5"/>
  <c r="G30" i="5"/>
  <c r="L94" i="5"/>
  <c r="S94" i="5"/>
  <c r="U94" i="5"/>
  <c r="H94" i="5"/>
  <c r="F94" i="5"/>
  <c r="G94" i="5"/>
  <c r="I94" i="5"/>
  <c r="F30" i="5"/>
  <c r="C23" i="6" a="1"/>
  <c r="C23" i="6" s="1"/>
  <c r="G23" i="6" s="1"/>
  <c r="C94" i="5"/>
  <c r="E94" i="5"/>
  <c r="E30" i="5"/>
  <c r="R25" i="8" l="1"/>
  <c r="D31" i="5"/>
  <c r="Q95" i="5" s="1"/>
  <c r="D23" i="6" a="1"/>
  <c r="D23" i="6" s="1"/>
  <c r="E23" i="6" a="1"/>
  <c r="E23" i="6" s="1"/>
  <c r="F23" i="6" s="1"/>
  <c r="L95" i="5" l="1"/>
  <c r="M95" i="5"/>
  <c r="C95" i="5"/>
  <c r="T95" i="5"/>
  <c r="O95" i="5"/>
  <c r="N95" i="5"/>
  <c r="D95" i="5"/>
  <c r="U95" i="5"/>
  <c r="G95" i="5"/>
  <c r="E95" i="5"/>
  <c r="I95" i="5"/>
  <c r="R95" i="5"/>
  <c r="P95" i="5"/>
  <c r="J95" i="5"/>
  <c r="F95" i="5"/>
  <c r="H95" i="5"/>
  <c r="F31" i="5"/>
  <c r="G31" i="5"/>
  <c r="C24" i="6" a="1"/>
  <c r="C24" i="6" s="1"/>
  <c r="G24" i="6" s="1"/>
  <c r="E31" i="5"/>
  <c r="S95" i="5"/>
  <c r="J13" i="5"/>
  <c r="V95" i="5"/>
  <c r="K95" i="5"/>
  <c r="R26" i="8" l="1"/>
  <c r="D24" i="6" a="1"/>
  <c r="D24" i="6" s="1"/>
  <c r="E24" i="6" a="1"/>
  <c r="E24" i="6" s="1"/>
  <c r="F24" i="6" s="1"/>
  <c r="D32" i="5"/>
  <c r="M13" i="5" s="1"/>
  <c r="U96" i="5" l="1"/>
  <c r="E96" i="5"/>
  <c r="R96" i="5"/>
  <c r="T96" i="5"/>
  <c r="F96" i="5"/>
  <c r="N96" i="5"/>
  <c r="H96" i="5"/>
  <c r="V96" i="5"/>
  <c r="G96" i="5"/>
  <c r="D96" i="5"/>
  <c r="K96" i="5"/>
  <c r="S96" i="5"/>
  <c r="P96" i="5"/>
  <c r="M96" i="5"/>
  <c r="L96" i="5"/>
  <c r="I96" i="5"/>
  <c r="J96" i="5"/>
  <c r="G32" i="5"/>
  <c r="C25" i="6" a="1"/>
  <c r="C25" i="6" s="1"/>
  <c r="G25" i="6" s="1"/>
  <c r="F32" i="5"/>
  <c r="C96" i="5"/>
  <c r="Q96" i="5"/>
  <c r="O96" i="5"/>
  <c r="E32" i="5"/>
  <c r="D25" i="6" l="1" a="1"/>
  <c r="D25" i="6" s="1"/>
  <c r="E25" i="6" a="1"/>
  <c r="E25" i="6" s="1"/>
  <c r="F25" i="6" s="1"/>
  <c r="R27" i="8"/>
  <c r="D33" i="5"/>
  <c r="P13" i="5" s="1"/>
  <c r="S10" i="5"/>
  <c r="J97" i="5" l="1"/>
  <c r="P97" i="5"/>
  <c r="O97" i="5"/>
  <c r="I97" i="5"/>
  <c r="K97" i="5"/>
  <c r="R97" i="5"/>
  <c r="U97" i="5"/>
  <c r="M97" i="5"/>
  <c r="S97" i="5"/>
  <c r="L97" i="5"/>
  <c r="V97" i="5"/>
  <c r="N97" i="5"/>
  <c r="F97" i="5"/>
  <c r="Q97" i="5"/>
  <c r="E97" i="5"/>
  <c r="C26" i="6" a="1"/>
  <c r="C26" i="6" s="1"/>
  <c r="E26" i="6" s="1" a="1"/>
  <c r="E26" i="6" s="1"/>
  <c r="F26" i="6" s="1"/>
  <c r="F33" i="5"/>
  <c r="G33" i="5"/>
  <c r="T97" i="5"/>
  <c r="H97" i="5"/>
  <c r="C97" i="5"/>
  <c r="G97" i="5"/>
  <c r="D97" i="5"/>
  <c r="E33" i="5"/>
  <c r="R28" i="8" l="1"/>
  <c r="G26" i="6"/>
  <c r="D26" i="6" a="1"/>
  <c r="D26" i="6" s="1"/>
  <c r="D34" i="5"/>
  <c r="J10" i="5" s="1"/>
  <c r="M10" i="5"/>
  <c r="U98" i="5" l="1"/>
  <c r="L98" i="5"/>
  <c r="P98" i="5"/>
  <c r="I98" i="5"/>
  <c r="G98" i="5"/>
  <c r="D98" i="5"/>
  <c r="F98" i="5"/>
  <c r="J98" i="5"/>
  <c r="Q98" i="5"/>
  <c r="V98" i="5"/>
  <c r="H98" i="5"/>
  <c r="S98" i="5"/>
  <c r="O98" i="5"/>
  <c r="M98" i="5"/>
  <c r="C98" i="5"/>
  <c r="E98" i="5"/>
  <c r="F34" i="5"/>
  <c r="G34" i="5"/>
  <c r="C27" i="6" a="1"/>
  <c r="C27" i="6" s="1"/>
  <c r="G27" i="6" s="1"/>
  <c r="R98" i="5"/>
  <c r="N98" i="5"/>
  <c r="T98" i="5"/>
  <c r="K98" i="5"/>
  <c r="E34" i="5"/>
  <c r="R29" i="8" l="1"/>
  <c r="D27" i="6" a="1"/>
  <c r="D27" i="6" s="1"/>
  <c r="E27" i="6" a="1"/>
  <c r="E27" i="6" s="1"/>
  <c r="F27" i="6" s="1"/>
  <c r="D35" i="5"/>
  <c r="P10" i="5" s="1"/>
  <c r="G10" i="5"/>
  <c r="C55" i="5" a="1"/>
  <c r="C55" i="5" s="1"/>
  <c r="C45" i="5" a="1"/>
  <c r="C45" i="5" s="1"/>
  <c r="C51" i="5" l="1" a="1"/>
  <c r="C51" i="5" s="1"/>
  <c r="E51" i="5" s="1"/>
  <c r="C43" i="5" a="1"/>
  <c r="C43" i="5" s="1"/>
  <c r="B43" i="5" s="1"/>
  <c r="C54" i="5" a="1"/>
  <c r="C54" i="5" s="1"/>
  <c r="T34" i="8" s="1"/>
  <c r="C53" i="5" a="1"/>
  <c r="C53" i="5" s="1"/>
  <c r="T33" i="8" s="1"/>
  <c r="C47" i="5" a="1"/>
  <c r="C47" i="5" s="1"/>
  <c r="G47" i="5" s="1"/>
  <c r="C48" i="5" a="1"/>
  <c r="C48" i="5" s="1"/>
  <c r="T28" i="8"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C28" i="6" a="1"/>
  <c r="C28" i="6" s="1"/>
  <c r="G28" i="6" s="1"/>
  <c r="E35" i="5"/>
  <c r="F45" i="5"/>
  <c r="E45" i="5"/>
  <c r="D45" i="5"/>
  <c r="B45" i="5"/>
  <c r="G45" i="5"/>
  <c r="T35" i="8"/>
  <c r="B55" i="5"/>
  <c r="D55" i="5"/>
  <c r="E55" i="5"/>
  <c r="G55" i="5"/>
  <c r="F55" i="5"/>
  <c r="B51" i="5" l="1"/>
  <c r="D51" i="5"/>
  <c r="G51" i="5"/>
  <c r="F51" i="5"/>
  <c r="T31" i="8"/>
  <c r="E53" i="5"/>
  <c r="F43" i="5"/>
  <c r="D43" i="5"/>
  <c r="E43" i="5"/>
  <c r="B54" i="5"/>
  <c r="F54" i="5"/>
  <c r="D54" i="5"/>
  <c r="E54" i="5"/>
  <c r="G54" i="5"/>
  <c r="G43" i="5"/>
  <c r="F47" i="5"/>
  <c r="B47" i="5"/>
  <c r="B53" i="5"/>
  <c r="E47" i="5"/>
  <c r="T27" i="8"/>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E28" i="6" a="1"/>
  <c r="E28" i="6" s="1"/>
  <c r="F28" i="6" s="1"/>
  <c r="D42" i="5"/>
  <c r="E42" i="5"/>
  <c r="F42" i="5"/>
  <c r="D28" i="6" a="1"/>
  <c r="D28" i="6" s="1"/>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T25" i="8"/>
  <c r="T23" i="8" l="1"/>
  <c r="T26" i="8"/>
  <c r="T22" i="8"/>
  <c r="T20" i="8"/>
  <c r="T24" i="8"/>
  <c r="T21" i="8"/>
  <c r="H10" i="8" s="1"/>
  <c r="A14" i="8" s="1"/>
  <c r="A4" i="8" l="1"/>
  <c r="B33"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List>
</comments>
</file>

<file path=xl/sharedStrings.xml><?xml version="1.0" encoding="utf-8"?>
<sst xmlns="http://schemas.openxmlformats.org/spreadsheetml/2006/main" count="1233" uniqueCount="524">
  <si>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</si>
  <si>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</si>
  <si>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</si>
  <si>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</si>
  <si>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</si>
  <si>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</si>
  <si>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</si>
  <si>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</si>
  <si>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</si>
  <si>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</si>
  <si>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</si>
  <si>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</si>
  <si>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</si>
  <si>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</si>
  <si>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</si>
  <si>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</si>
  <si>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</si>
  <si>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</si>
  <si>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</si>
  <si>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</si>
  <si>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</si>
  <si>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</si>
  <si>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</si>
  <si>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</si>
  <si>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</si>
  <si>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</si>
  <si>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</si>
  <si>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</si>
  <si>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</si>
  <si>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</si>
  <si>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</si>
  <si>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</si>
  <si>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</si>
  <si>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</si>
  <si>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</si>
  <si>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</si>
  <si>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</si>
  <si>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</si>
  <si>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</si>
  <si>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</si>
  <si>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</si>
  <si>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</si>
  <si>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</si>
  <si>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</si>
  <si>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</si>
  <si>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</si>
  <si>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</si>
  <si>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</si>
  <si>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</si>
  <si>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</si>
  <si>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</si>
  <si>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</si>
  <si>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</si>
  <si>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</si>
  <si>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</si>
  <si>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</si>
  <si>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</si>
  <si>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</si>
  <si>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</si>
  <si>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</si>
  <si>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</si>
  <si>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</si>
  <si>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</si>
  <si>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</si>
  <si>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</si>
  <si>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</si>
  <si>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</si>
  <si>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</si>
  <si>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</si>
  <si>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</si>
  <si>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</si>
  <si>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</si>
  <si>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</si>
  <si>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</si>
  <si>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</si>
  <si>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</si>
  <si>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</si>
  <si>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</si>
  <si>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</si>
  <si>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</si>
  <si>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</si>
  <si>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</si>
  <si>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</si>
  <si>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</si>
  <si>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</si>
  <si>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</si>
  <si>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</si>
  <si>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</si>
  <si>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</si>
  <si>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</si>
  <si>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</si>
  <si>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</si>
  <si>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</si>
  <si>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</si>
  <si>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</si>
  <si>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</si>
  <si>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</si>
  <si>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Marianna</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</si>
  <si>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</si>
  <si>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</si>
  <si>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</si>
  <si>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</si>
  <si>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</si>
  <si>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</si>
  <si>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</si>
  <si>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</si>
  <si>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</si>
  <si>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</si>
  <si>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</si>
  <si>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</si>
  <si>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</si>
  <si>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</si>
  <si>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</si>
  <si>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</si>
  <si>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</si>
  <si>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</si>
  <si>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</si>
  <si>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</si>
  <si>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</si>
  <si>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</si>
  <si>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</si>
  <si>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</si>
  <si>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</si>
  <si>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</si>
  <si>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</si>
  <si>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</si>
  <si>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</si>
  <si>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</si>
  <si>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</si>
  <si>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</si>
  <si>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</si>
  <si>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</si>
  <si>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</si>
  <si>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</si>
  <si>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</si>
  <si>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</si>
  <si>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</si>
  <si>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</si>
  <si>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</si>
  <si>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</si>
  <si>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</si>
  <si>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</si>
  <si>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</si>
  <si>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</si>
  <si>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</si>
  <si>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</si>
  <si>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</si>
  <si>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</si>
  <si>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</si>
  <si>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</si>
  <si>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</si>
  <si>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</si>
  <si>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</si>
  <si>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</si>
  <si>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</si>
  <si>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</si>
  <si>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</si>
  <si>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</si>
  <si>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</si>
  <si>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</si>
  <si>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</si>
  <si>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</si>
  <si>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</si>
  <si>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</si>
  <si>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</si>
  <si>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</si>
  <si>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</si>
  <si>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</si>
  <si>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</si>
  <si>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</si>
  <si>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</si>
  <si>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</si>
  <si>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</si>
  <si>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</si>
  <si>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</si>
  <si>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</si>
  <si>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</si>
  <si>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</si>
  <si>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</si>
  <si>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</si>
  <si>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</si>
  <si>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</si>
  <si>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</si>
  <si>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</si>
  <si>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</si>
  <si>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</si>
  <si>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</si>
  <si>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</si>
  <si>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</si>
  <si>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</si>
  <si>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</si>
  <si>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</si>
  <si>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</si>
  <si>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</si>
  <si>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</si>
  <si>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</si>
  <si>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</si>
  <si>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</si>
  <si>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</si>
  <si>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</si>
  <si>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</si>
  <si>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</si>
  <si>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</si>
  <si>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</si>
  <si>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</si>
  <si>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</si>
  <si>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</si>
  <si>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</si>
  <si>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</si>
  <si>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</si>
  <si>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</si>
  <si>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</si>
  <si>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</si>
  <si>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</si>
  <si>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</si>
  <si>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</si>
  <si>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</si>
  <si>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</si>
  <si>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</si>
  <si>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</si>
  <si>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</si>
  <si>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</si>
  <si>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</si>
  <si>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</si>
  <si>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</si>
  <si>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</si>
  <si>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</si>
  <si>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</si>
  <si>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</si>
  <si>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</si>
  <si>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</si>
  <si>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</si>
  <si>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</si>
  <si>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</si>
  <si>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</si>
  <si>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</si>
  <si>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</si>
  <si>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</si>
  <si>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</si>
  <si>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</si>
  <si>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</si>
  <si>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</si>
  <si>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</si>
  <si>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</si>
  <si>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</si>
  <si>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</si>
  <si>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</si>
  <si>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</si>
  <si>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</si>
  <si>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</si>
  <si>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</si>
  <si>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</si>
  <si>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</si>
  <si>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</si>
  <si>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</si>
  <si>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</si>
  <si>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</si>
  <si>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</si>
  <si>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</si>
  <si>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</si>
  <si>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</si>
  <si>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</si>
  <si>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</si>
  <si>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</si>
  <si>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</si>
  <si>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</si>
  <si>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</si>
  <si>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</si>
  <si>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</si>
  <si>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</si>
  <si>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</si>
  <si>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</si>
  <si>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</si>
  <si>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</si>
  <si>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</si>
  <si>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</si>
  <si>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</si>
  <si>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</si>
  <si>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</si>
  <si>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</si>
  <si>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</si>
  <si>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</si>
  <si>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</si>
  <si>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</si>
  <si>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</si>
  <si>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</si>
  <si>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</si>
  <si>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</si>
  <si>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</si>
  <si>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</si>
  <si>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</si>
  <si>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</si>
  <si>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</si>
  <si>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</si>
  <si>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</si>
  <si>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</si>
  <si>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</si>
  <si>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</si>
  <si>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</si>
  <si>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</si>
  <si>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</si>
  <si>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</si>
  <si>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</si>
  <si>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</si>
  <si>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</si>
  <si>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</si>
  <si>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</si>
  <si>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</si>
  <si>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</si>
  <si>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</si>
  <si>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</si>
  <si>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</si>
  <si>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</si>
  <si>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</si>
  <si>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</si>
  <si>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</si>
  <si>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Lock (manual)</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</si>
  <si>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</si>
  <si>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</si>
  <si>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</si>
  <si>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</si>
  <si>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</si>
  <si>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</si>
  <si>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</si>
  <si>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</si>
  <si>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</si>
  <si>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</si>
  <si>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</si>
  <si>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</si>
  <si>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</si>
  <si>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</si>
  <si>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</si>
  <si>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 xml:space="preserve">Knee injury </t>
  </si>
  <si>
    <t>Available for selection</t>
  </si>
  <si>
    <t>GIRLS YOUTH — 2026/2027 SEASON | MATCH DAY REPORTS</t>
  </si>
  <si>
    <t>Pick a game week below. Opposition, score, minutes, ratings and MOTM are pulled from the Attendance tab; enter the XI, subs and notes in the Match Log at the bottom.</t>
  </si>
  <si>
    <t>7. MATCH LOG — INPUTS: enter the starting XI, subs used and notes for each game week</t>
  </si>
  <si>
    <t>1. MATCH DETAILS</t>
  </si>
  <si>
    <t>GW</t>
  </si>
  <si>
    <t>1. GK</t>
  </si>
  <si>
    <t>2. RB</t>
  </si>
  <si>
    <t>3. CB</t>
  </si>
  <si>
    <t>4. CB</t>
  </si>
  <si>
    <t>5. LB</t>
  </si>
  <si>
    <t>6. DM</t>
  </si>
  <si>
    <t>7. CM</t>
  </si>
  <si>
    <t>8. ACM</t>
  </si>
  <si>
    <t>9. RW</t>
  </si>
  <si>
    <t>10. ST</t>
  </si>
  <si>
    <t>11. LW</t>
  </si>
  <si>
    <t>Sub 1</t>
  </si>
  <si>
    <t>Sub 2</t>
  </si>
  <si>
    <t>Sub 3</t>
  </si>
  <si>
    <t>Sub 4</t>
  </si>
  <si>
    <t>Sub 5</t>
  </si>
  <si>
    <t>Sub 6</t>
  </si>
  <si>
    <t>Sub 7</t>
  </si>
  <si>
    <t>Match notes</t>
  </si>
  <si>
    <t>Key notes / actions</t>
  </si>
  <si>
    <t>Opposition</t>
  </si>
  <si>
    <t>Home / Away</t>
  </si>
  <si>
    <t>Score (us – them)</t>
  </si>
  <si>
    <t>Player of the Match</t>
  </si>
  <si>
    <t>2. STARTING XI  (enter names in the Match Log →  column J onwards)</t>
  </si>
  <si>
    <t>Verdict</t>
  </si>
  <si>
    <t>3. SUBSTITUTES USED</t>
  </si>
  <si>
    <t>RATING KEY — mirrors the Attendance tab key</t>
  </si>
  <si>
    <t>Rating from</t>
  </si>
  <si>
    <t>4. SQUAD RATINGS — every player in this game week</t>
  </si>
  <si>
    <t>8. FIXTURES — INPUTS: enter each match once here; Attendance and Team Selection read from it</t>
  </si>
  <si>
    <t>OPPOSITION CLUBS</t>
  </si>
  <si>
    <t>Club name (type your league here)</t>
  </si>
  <si>
    <t>H</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</si>
  <si>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</si>
  <si>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</si>
  <si>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</si>
  <si>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</si>
  <si>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</si>
  <si>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</si>
  <si>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</si>
  <si>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</si>
  <si>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</si>
  <si>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</si>
  <si>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</si>
  <si>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</si>
  <si>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</si>
  <si>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</si>
  <si>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</si>
  <si>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</si>
  <si>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</si>
  <si>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</si>
  <si>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</si>
  <si>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</si>
  <si>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</si>
  <si>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</si>
  <si>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</si>
  <si>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</si>
  <si>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</si>
  <si>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</si>
  <si>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From</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</si>
  <si>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</si>
  <si>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</si>
  <si>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</si>
  <si>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</si>
  <si>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</si>
  <si>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</si>
  <si>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</si>
  <si>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</si>
  <si>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</si>
  <si>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</si>
  <si>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</si>
  <si>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</si>
  <si>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</si>
  <si>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</si>
  <si>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</si>
  <si>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</si>
  <si>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</si>
  <si>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</si>
  <si>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</si>
  <si>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</si>
  <si>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</si>
  <si>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</si>
  <si>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</si>
  <si>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</si>
  <si>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</si>
  <si>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</si>
  <si>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</si>
  <si>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</si>
  <si>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</si>
  <si>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</si>
  <si>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</si>
  <si>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</si>
  <si>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</si>
  <si>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</si>
  <si>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</si>
  <si>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</si>
  <si>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</si>
  <si>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</si>
  <si>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</si>
  <si>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</si>
  <si>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</si>
  <si>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</si>
  <si>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</si>
  <si>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</si>
  <si>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</si>
  <si>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</si>
  <si>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</si>
  <si>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</si>
  <si>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</si>
  <si>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</si>
  <si>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</si>
  <si>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</si>
  <si>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</si>
  <si>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</si>
  <si>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</si>
  <si>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</si>
  <si>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</si>
  <si>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</si>
  <si>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</si>
  <si>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</si>
  <si>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</si>
  <si>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</si>
  <si>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</si>
  <si>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</si>
  <si>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</si>
  <si>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</si>
  <si>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</si>
  <si>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</si>
  <si>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</si>
  <si>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</si>
  <si>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</si>
  <si>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</si>
  <si>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</si>
  <si>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</si>
  <si>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</si>
  <si>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</si>
  <si>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</si>
  <si>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</si>
  <si>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</si>
  <si>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</si>
  <si>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</si>
  <si>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</si>
  <si>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</si>
  <si>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</si>
  <si>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</si>
  <si>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</si>
  <si>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</si>
  <si>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</si>
  <si>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</si>
  <si>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</si>
  <si>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</si>
  <si>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</si>
  <si>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</si>
  <si>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</si>
  <si>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</si>
  <si>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</si>
  <si>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</si>
  <si>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Mariana</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</si>
  <si>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</si>
  <si>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</si>
  <si>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</si>
  <si>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</si>
  <si>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</si>
  <si>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</si>
  <si>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</si>
  <si>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</si>
  <si>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</si>
  <si>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</si>
  <si>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</si>
  <si>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</si>
  <si>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</si>
  <si>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</si>
  <si>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</si>
  <si>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</si>
  <si>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</si>
  <si>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</si>
  <si>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</si>
  <si>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</si>
  <si>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</si>
  <si>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</si>
  <si>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</si>
  <si>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</si>
  <si>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Rama</t>
  </si>
  <si>
    <t>RW / ST / LW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</si>
</sst>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91"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b/>
      <sz val="10"/>
      <color rgb="FFE4272B"/>
      <name val="Calibri"/>
      <charset val="1"/>
    </font>
    <font>
      <b/>
      <sz val="9"/>
      <color rgb="FFFFFF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s>
  <fills count="28">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s>
  <borders count="37">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s>
  <cellStyleXfs count="2">
    <xf numFmtId="0" fontId="0" fillId="0" borderId="0"/>
    <xf numFmtId="0" fontId="50" fillId="0" borderId="0"/>
  </cellStyleXfs>
  <cellXfs count="451">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4" fillId="2" borderId="5"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0" fontId="62"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169" fontId="44" fillId="0" borderId="7" xfId="0" applyNumberFormat="1" applyFont="1" applyBorder="1" applyAlignment="1">
      <alignment horizontal="center"/>
    </xf>
    <xf numFmtId="0" fontId="67" fillId="0" borderId="7" xfId="0"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169" fontId="44" fillId="3" borderId="7" xfId="0" applyNumberFormat="1" applyFont="1" applyFill="1" applyBorder="1" applyAlignment="1">
      <alignment horizontal="center"/>
    </xf>
    <xf numFmtId="0" fontId="67" fillId="3" borderId="7" xfId="0" applyFont="1" applyFill="1" applyBorder="1" applyAlignment="1">
      <alignment horizontal="center"/>
    </xf>
    <xf numFmtId="0" fontId="68" fillId="13" borderId="7" xfId="0" applyFont="1" applyFill="1" applyBorder="1" applyAlignment="1">
      <alignment horizontal="center"/>
    </xf>
    <xf numFmtId="0" fontId="69" fillId="0" borderId="7" xfId="0" applyFont="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24" fillId="2" borderId="7" xfId="0" applyFont="1" applyFill="1" applyBorder="1" applyAlignment="1">
      <alignment horizontal="center"/>
    </xf>
    <xf numFmtId="172" fontId="66" fillId="10" borderId="7" xfId="0" applyNumberFormat="1" applyFont="1" applyFill="1" applyBorder="1" applyAlignment="1">
      <alignment horizontal="center"/>
    </xf>
    <xf numFmtId="0" fontId="66" fillId="10" borderId="7" xfId="0" applyFont="1" applyFill="1" applyBorder="1" applyAlignment="1">
      <alignment horizontal="left"/>
    </xf>
    <xf numFmtId="0" fontId="66" fillId="10" borderId="7" xfId="0" applyFont="1" applyFill="1" applyBorder="1" applyAlignment="1">
      <alignment horizontal="center"/>
    </xf>
    <xf numFmtId="174" fontId="66" fillId="10" borderId="7" xfId="0" applyNumberFormat="1" applyFont="1" applyFill="1" applyBorder="1" applyAlignment="1">
      <alignment horizontal="center"/>
    </xf>
    <xf numFmtId="0" fontId="70" fillId="0" borderId="7" xfId="0" applyFont="1" applyBorder="1" applyAlignment="1">
      <alignment horizontal="center"/>
    </xf>
    <xf numFmtId="0" fontId="66" fillId="10" borderId="7" xfId="0" applyFont="1" applyFill="1" applyBorder="1"/>
    <xf numFmtId="0" fontId="72" fillId="0" borderId="0" xfId="0" applyFont="1"/>
    <xf numFmtId="178" fontId="31" fillId="0" borderId="0" xfId="0" applyNumberFormat="1" applyFont="1" applyAlignment="1">
      <alignment horizontal="center"/>
    </xf>
    <xf numFmtId="0" fontId="73"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70" fillId="0" borderId="0" xfId="0" applyFont="1"/>
    <xf numFmtId="0" fontId="4" fillId="13" borderId="0" xfId="0" applyFont="1" applyFill="1" applyAlignment="1">
      <alignment horizontal="center" wrapText="1"/>
    </xf>
    <xf numFmtId="0" fontId="72"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4" fillId="0" borderId="0" xfId="0" applyFont="1"/>
    <xf numFmtId="0" fontId="75" fillId="3" borderId="0" xfId="0" applyFont="1" applyFill="1"/>
    <xf numFmtId="0" fontId="76" fillId="0" borderId="0" xfId="0" applyFont="1"/>
    <xf numFmtId="0" fontId="75" fillId="0" borderId="0" xfId="0" applyFont="1"/>
    <xf numFmtId="0" fontId="77" fillId="0" borderId="0" xfId="0" applyFont="1"/>
    <xf numFmtId="0" fontId="78" fillId="0" borderId="0" xfId="0" applyFont="1"/>
    <xf numFmtId="49" fontId="0" fillId="22" borderId="0" xfId="0" applyNumberFormat="1" applyFill="1"/>
    <xf numFmtId="0" fontId="79" fillId="0" borderId="0" xfId="0" applyFont="1" applyAlignment="1">
      <alignment horizontal="center"/>
    </xf>
    <xf numFmtId="0" fontId="80" fillId="0" borderId="0" xfId="0" applyFont="1"/>
    <xf numFmtId="0" fontId="81" fillId="0" borderId="0" xfId="0" applyFont="1"/>
    <xf numFmtId="0" fontId="31" fillId="0" borderId="18" xfId="0" applyFont="1" applyBorder="1"/>
    <xf numFmtId="0" fontId="31" fillId="0" borderId="18" xfId="0" applyFont="1" applyBorder="1" applyAlignment="1">
      <alignment horizontal="center"/>
    </xf>
    <xf numFmtId="0" fontId="80" fillId="0" borderId="19" xfId="0" applyFont="1" applyBorder="1"/>
    <xf numFmtId="0" fontId="80" fillId="0" borderId="19" xfId="0" applyFont="1" applyBorder="1" applyAlignment="1">
      <alignment horizontal="center"/>
    </xf>
    <xf numFmtId="0" fontId="80" fillId="0" borderId="20" xfId="0" applyFont="1" applyBorder="1"/>
    <xf numFmtId="0" fontId="80" fillId="0" borderId="20" xfId="0" applyFont="1" applyBorder="1" applyAlignment="1">
      <alignment horizontal="center"/>
    </xf>
    <xf numFmtId="0" fontId="80" fillId="0" borderId="18" xfId="0" applyFont="1" applyBorder="1"/>
    <xf numFmtId="0" fontId="80"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2" fillId="0" borderId="0" xfId="0" applyFont="1" applyAlignment="1">
      <alignment vertical="top"/>
    </xf>
    <xf numFmtId="0" fontId="78"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80"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80" fillId="0" borderId="19" xfId="0" applyFont="1" applyBorder="1" applyAlignment="1">
      <alignment vertical="top"/>
    </xf>
    <xf numFmtId="0" fontId="80" fillId="0" borderId="19" xfId="0" applyFont="1" applyBorder="1" applyAlignment="1">
      <alignment horizontal="center" vertical="top"/>
    </xf>
    <xf numFmtId="0" fontId="31" fillId="23" borderId="19" xfId="0" applyFont="1" applyFill="1" applyBorder="1" applyAlignment="1">
      <alignment vertical="top"/>
    </xf>
    <xf numFmtId="0" fontId="80" fillId="23" borderId="19" xfId="0" applyFont="1" applyFill="1" applyBorder="1" applyAlignment="1">
      <alignment vertical="top"/>
    </xf>
    <xf numFmtId="0" fontId="85" fillId="23" borderId="19" xfId="0" applyFont="1" applyFill="1" applyBorder="1" applyAlignment="1">
      <alignment horizontal="center" vertical="top"/>
    </xf>
    <xf numFmtId="0" fontId="31" fillId="0" borderId="33" xfId="0" applyFont="1" applyBorder="1" applyAlignment="1">
      <alignment vertical="top"/>
    </xf>
    <xf numFmtId="0" fontId="86"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3" fillId="24" borderId="0" xfId="0" applyFont="1" applyFill="1" applyAlignment="1">
      <alignment vertical="top"/>
    </xf>
    <xf numFmtId="0" fontId="0" fillId="24" borderId="0" xfId="0" applyFill="1" applyAlignment="1">
      <alignment vertical="top"/>
    </xf>
    <xf numFmtId="0" fontId="84"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80" fillId="0" borderId="0" xfId="0" applyFont="1" applyAlignment="1">
      <alignment vertical="top" wrapText="1"/>
    </xf>
    <xf numFmtId="0" fontId="80" fillId="23" borderId="0" xfId="0" applyFont="1" applyFill="1" applyAlignment="1">
      <alignment vertical="top" wrapText="1"/>
    </xf>
    <xf numFmtId="49" fontId="39" fillId="10" borderId="5" xfId="0" applyNumberFormat="1" applyFont="1" applyFill="1" applyBorder="1" applyAlignment="1">
      <alignment horizontal="center"/>
    </xf>
    <xf numFmtId="0" fontId="88" fillId="0" borderId="0" xfId="0" applyFont="1"/>
    <xf numFmtId="49" fontId="31" fillId="0" borderId="0" xfId="0" applyNumberFormat="1" applyFont="1"/>
    <xf numFmtId="1" fontId="90" fillId="10" borderId="7" xfId="0" applyNumberFormat="1" applyFont="1" applyFill="1" applyBorder="1" applyAlignment="1">
      <alignment horizontal="center"/>
    </xf>
    <xf numFmtId="0" fontId="1" fillId="0" borderId="0" xfId="0" applyFont="1"/>
    <xf numFmtId="0" fontId="2" fillId="0" borderId="0" xfId="0" applyFont="1"/>
    <xf numFmtId="0" fontId="6" fillId="4" borderId="0" xfId="0" applyFont="1" applyFill="1"/>
    <xf numFmtId="0" fontId="6" fillId="4" borderId="0" xfId="0" applyFont="1" applyFill="1" applyAlignment="1">
      <alignment horizontal="center"/>
    </xf>
    <xf numFmtId="0" fontId="87" fillId="26" borderId="23" xfId="0" applyFont="1" applyFill="1" applyBorder="1" applyAlignment="1">
      <alignment horizontal="center" vertical="center"/>
    </xf>
    <xf numFmtId="0" fontId="87" fillId="26" borderId="24" xfId="0" applyFont="1" applyFill="1" applyBorder="1" applyAlignment="1">
      <alignment horizontal="center" vertical="center"/>
    </xf>
    <xf numFmtId="0" fontId="87" fillId="26" borderId="25" xfId="0" applyFont="1" applyFill="1" applyBorder="1" applyAlignment="1">
      <alignment horizontal="center" vertical="center"/>
    </xf>
    <xf numFmtId="0" fontId="14" fillId="13" borderId="18" xfId="0" applyFont="1" applyFill="1" applyBorder="1"/>
    <xf numFmtId="0" fontId="16" fillId="0" borderId="26" xfId="0" applyFont="1" applyBorder="1"/>
    <xf numFmtId="0" fontId="16" fillId="0" borderId="18" xfId="0" applyFont="1" applyBorder="1"/>
    <xf numFmtId="0" fontId="89" fillId="27" borderId="34" xfId="0" applyFont="1" applyFill="1" applyBorder="1" applyAlignment="1">
      <alignment horizontal="center" vertical="center"/>
    </xf>
    <xf numFmtId="0" fontId="89" fillId="27" borderId="35" xfId="0" applyFont="1" applyFill="1" applyBorder="1" applyAlignment="1">
      <alignment horizontal="center" vertical="center"/>
    </xf>
    <xf numFmtId="0" fontId="89" fillId="27" borderId="36" xfId="0" applyFont="1" applyFill="1" applyBorder="1" applyAlignment="1">
      <alignment horizontal="center" vertical="center"/>
    </xf>
    <xf numFmtId="0" fontId="14" fillId="13" borderId="19" xfId="0" applyFont="1" applyFill="1" applyBorder="1"/>
    <xf numFmtId="0" fontId="16" fillId="0" borderId="27" xfId="0" applyFont="1" applyBorder="1"/>
    <xf numFmtId="0" fontId="16" fillId="0" borderId="19" xfId="0" applyFont="1" applyBorder="1"/>
    <xf numFmtId="0" fontId="14" fillId="13" borderId="20" xfId="0" applyFont="1" applyFill="1" applyBorder="1"/>
    <xf numFmtId="0" fontId="16" fillId="0" borderId="29" xfId="0" applyFont="1" applyBorder="1"/>
    <xf numFmtId="0" fontId="14"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171" fontId="22" fillId="4" borderId="16"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30" fillId="0" borderId="7" xfId="0" applyFont="1" applyBorder="1" applyAlignment="1">
      <alignment horizontal="center" vertical="center" textRotation="90"/>
    </xf>
    <xf numFmtId="0" fontId="0" fillId="17" borderId="7" xfId="0" applyFill="1" applyBorder="1" applyAlignment="1">
      <alignment horizontal="center"/>
    </xf>
    <xf numFmtId="0" fontId="0" fillId="0" borderId="7" xfId="0" applyBorder="1" applyAlignment="1">
      <alignment horizontal="left"/>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4" fillId="2" borderId="0" xfId="0"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171" fontId="41" fillId="10" borderId="0" xfId="0" applyNumberFormat="1" applyFont="1" applyFill="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44" fillId="10" borderId="0" xfId="0" applyFont="1" applyFill="1" applyAlignment="1">
      <alignment horizontal="center"/>
    </xf>
    <xf numFmtId="0" fontId="45" fillId="0" borderId="0" xfId="0" applyFont="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0" borderId="10" xfId="0" applyFont="1" applyBorder="1"/>
    <xf numFmtId="0" fontId="15" fillId="3" borderId="10" xfId="0" applyFont="1" applyFill="1" applyBorder="1"/>
    <xf numFmtId="171" fontId="4" fillId="13" borderId="18" xfId="0" applyNumberFormat="1" applyFont="1" applyFill="1" applyBorder="1" applyAlignment="1">
      <alignment horizontal="center"/>
    </xf>
    <xf numFmtId="0" fontId="6" fillId="2" borderId="0" xfId="0" applyFont="1" applyFill="1" applyAlignment="1">
      <alignment horizontal="center"/>
    </xf>
    <xf numFmtId="0" fontId="61" fillId="0" borderId="0" xfId="0" applyFont="1"/>
    <xf numFmtId="0" fontId="62" fillId="0" borderId="0" xfId="0" applyFont="1"/>
    <xf numFmtId="0" fontId="63" fillId="0" borderId="0" xfId="0" applyFont="1"/>
    <xf numFmtId="0" fontId="22" fillId="4" borderId="0" xfId="0" applyFont="1" applyFill="1"/>
    <xf numFmtId="0" fontId="22" fillId="4" borderId="18" xfId="0" applyFont="1" applyFill="1" applyBorder="1"/>
    <xf numFmtId="0" fontId="64" fillId="0" borderId="7" xfId="0" applyFont="1" applyBorder="1"/>
    <xf numFmtId="177" fontId="65" fillId="20" borderId="7" xfId="0" applyNumberFormat="1" applyFont="1" applyFill="1" applyBorder="1" applyAlignment="1">
      <alignment horizontal="center"/>
    </xf>
    <xf numFmtId="0" fontId="65" fillId="3" borderId="7" xfId="0" applyFont="1" applyFill="1" applyBorder="1" applyAlignment="1">
      <alignment horizontal="center"/>
    </xf>
    <xf numFmtId="0" fontId="65" fillId="20" borderId="7" xfId="0" applyFont="1" applyFill="1" applyBorder="1" applyAlignment="1">
      <alignment horizontal="center"/>
    </xf>
    <xf numFmtId="0" fontId="71" fillId="0" borderId="7" xfId="0" applyFont="1" applyBorder="1" applyAlignment="1">
      <alignment vertical="top" wrapText="1"/>
    </xf>
    <xf numFmtId="0" fontId="4" fillId="4" borderId="0" xfId="0" applyFont="1" applyFill="1"/>
  </cellXfs>
  <cellStyles count="2">
    <cellStyle name="Hyperlink" xfId="1" builtinId="8"/>
    <cellStyle name="Normal" xfId="0" builtinId="0"/>
  </cellStyles>
  <dxfs count="36">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sz val="11"/>
        <color rgb="FF000000"/>
        <name val="Aptos Narrow"/>
        <family val="2"/>
        <charset val="1"/>
      </font>
      <alignment horizontal="general" vertical="bottom" textRotation="0" wrapText="0" indent="0" shrinkToFit="0"/>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76.7%</c:v>
                </c:pt>
                <c:pt idx="2">
                  <c:v>76.7%</c:v>
                </c:pt>
                <c:pt idx="3">
                  <c:v>76.7%</c:v>
                </c:pt>
                <c:pt idx="4">
                  <c:v>76.7%</c:v>
                </c:pt>
                <c:pt idx="5">
                  <c:v>76.7%</c:v>
                </c:pt>
                <c:pt idx="6">
                  <c:v>76.7%</c:v>
                </c:pt>
                <c:pt idx="7">
                  <c:v>76.7%</c:v>
                </c:pt>
                <c:pt idx="8">
                  <c:v>76.7%</c:v>
                </c:pt>
                <c:pt idx="9">
                  <c:v>76.7%</c:v>
                </c:pt>
                <c:pt idx="10">
                  <c:v>76.7%</c:v>
                </c:pt>
                <c:pt idx="11">
                  <c:v>76.7%</c:v>
                </c:pt>
                <c:pt idx="12">
                  <c:v>76.7%</c:v>
                </c:pt>
                <c:pt idx="13">
                  <c:v>65.0%</c:v>
                </c:pt>
                <c:pt idx="14">
                  <c:v>65.0%</c:v>
                </c:pt>
                <c:pt idx="15">
                  <c:v>0.0%</c:v>
                </c:pt>
                <c:pt idx="16">
                  <c:v>0.0%</c:v>
                </c:pt>
                <c:pt idx="17">
                  <c:v>0.0%</c:v>
                </c:pt>
                <c:pt idx="18">
                  <c:v>0.0%</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2</c:v>
                </c:pt>
                <c:pt idx="2">
                  <c:v>0</c:v>
                </c:pt>
                <c:pt idx="3">
                  <c:v>12</c:v>
                </c:pt>
                <c:pt idx="4">
                  <c:v>1</c:v>
                </c:pt>
                <c:pt idx="5">
                  <c:v>0</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1499040</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1499040</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1499040</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1499040</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86"/>
  <sheetViews>
    <sheetView topLeftCell="A27" zoomScaleNormal="100" workbookViewId="0">
      <selection activeCell="A45" sqref="A45"/>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370" t="s">
        <v>0</v>
      </c>
      <c r="C2" s="370"/>
      <c r="D2" s="370"/>
      <c r="E2" s="370"/>
      <c r="F2" s="370"/>
      <c r="G2" s="370"/>
      <c r="H2" s="370"/>
    </row>
    <row r="3" spans="2:16" x14ac:dyDescent="0.45">
      <c r="B3" s="371" t="s">
        <v>1</v>
      </c>
      <c r="C3" s="371"/>
      <c r="D3" s="371"/>
      <c r="E3" s="371"/>
      <c r="F3" s="371"/>
      <c r="G3" s="371"/>
      <c r="H3" s="371"/>
      <c r="I3" s="371"/>
      <c r="J3" s="371"/>
      <c r="K3" s="371"/>
      <c r="L3" s="371"/>
      <c r="M3" s="371"/>
      <c r="N3" s="371"/>
    </row>
    <row r="5" spans="2:16" ht="25.5" customHeight="1" x14ac:dyDescent="0.5">
      <c r="B5" s="395"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1 of 22  |  1 sessions held  |  0 matches played  |  18 players tracked</v>
      </c>
      <c r="C5" s="395"/>
      <c r="D5" s="395"/>
      <c r="E5" s="395"/>
      <c r="F5" s="395"/>
      <c r="G5" s="395"/>
      <c r="H5" s="395"/>
      <c r="I5" s="395"/>
      <c r="J5" s="395"/>
      <c r="K5" s="395"/>
      <c r="L5" s="395"/>
      <c r="M5" s="395"/>
      <c r="N5" s="395"/>
      <c r="O5" s="395"/>
      <c r="P5" s="395"/>
    </row>
    <row r="7" spans="2:16" ht="31.5" customHeight="1" x14ac:dyDescent="0.45">
      <c r="B7" s="396" t="s">
        <v>2</v>
      </c>
      <c r="C7" s="396"/>
      <c r="D7" s="396" t="s">
        <v>3</v>
      </c>
      <c r="E7" s="396"/>
      <c r="F7" s="396" t="s">
        <v>4</v>
      </c>
      <c r="G7" s="396"/>
      <c r="H7" s="396" t="s">
        <v>5</v>
      </c>
      <c r="I7" s="396"/>
      <c r="J7" s="396" t="s">
        <v>6</v>
      </c>
      <c r="K7" s="396"/>
      <c r="L7" s="396" t="s">
        <v>7</v>
      </c>
      <c r="M7" s="396"/>
      <c r="N7" s="397" t="s">
        <v>8</v>
      </c>
      <c r="O7" s="397"/>
    </row>
    <row r="8" spans="2:16" ht="21.75" customHeight="1" x14ac:dyDescent="0.45">
      <c r="B8" s="401">
        <f>IFERROR(AVERAGE(Workings!$H$6:$H$25),0)</f>
        <v>0.58333333333333337</v>
      </c>
      <c r="C8" s="401"/>
      <c r="D8" s="401">
        <f>IFERROR(AVERAGE(Workings!$D$6:$D$25),0)</f>
        <v>0.77777777777777779</v>
      </c>
      <c r="E8" s="401"/>
      <c r="F8" s="402">
        <f>IFERROR(AVERAGE(Workings!$E$6:$E$25),0)</f>
        <v>2.8571428571428572</v>
      </c>
      <c r="G8" s="402"/>
      <c r="H8" s="401">
        <f>IFERROR(AVERAGE(Workings!$F$6:$F$25),0)</f>
        <v>0</v>
      </c>
      <c r="I8" s="401"/>
      <c r="J8" s="402">
        <f>IFERROR(AVERAGE(Workings!$G$6:$G$25),0)</f>
        <v>0</v>
      </c>
      <c r="K8" s="402"/>
      <c r="L8" s="398" t="str">
        <f>COUNTIF(Attendance!$CP$28:$FY$28,"W")&amp;" - "&amp;COUNTIF(Attendance!$CP$28:$FY$28,"D")&amp;" - "&amp;COUNTIF(Attendance!$CP$28:$FY$28,"L")</f>
        <v>0 - 0 - 0</v>
      </c>
      <c r="M8" s="398"/>
      <c r="N8" s="399">
        <f>COUNTIF(Workings!$D$6:$D$25,1)</f>
        <v>14</v>
      </c>
      <c r="O8" s="399"/>
    </row>
    <row r="9" spans="2:16" ht="15.75" customHeight="1" x14ac:dyDescent="0.45">
      <c r="B9" s="401"/>
      <c r="C9" s="401"/>
      <c r="D9" s="401"/>
      <c r="E9" s="401"/>
      <c r="F9" s="402"/>
      <c r="G9" s="402"/>
      <c r="H9" s="401"/>
      <c r="I9" s="401"/>
      <c r="J9" s="402"/>
      <c r="K9" s="402"/>
      <c r="L9" s="398"/>
      <c r="M9" s="398"/>
      <c r="N9" s="399"/>
      <c r="O9" s="399"/>
    </row>
    <row r="32" spans="2:9" ht="15" customHeight="1" x14ac:dyDescent="0.45">
      <c r="B32" s="1" t="s">
        <v>9</v>
      </c>
      <c r="C32" s="4"/>
      <c r="D32" s="4"/>
      <c r="E32" s="4"/>
      <c r="F32" s="4"/>
      <c r="G32" s="4"/>
      <c r="H32" s="4"/>
      <c r="I32" s="4"/>
    </row>
    <row r="33" spans="2:60" ht="15" customHeight="1" x14ac:dyDescent="0.45">
      <c r="B33" s="5" t="s">
        <v>10</v>
      </c>
      <c r="AF33" s="372" t="s">
        <v>11</v>
      </c>
      <c r="AG33" s="372"/>
      <c r="AH33" s="372"/>
      <c r="AI33" s="372"/>
      <c r="AJ33" s="372"/>
      <c r="AK33" s="372"/>
      <c r="AL33" s="372"/>
      <c r="AM33" s="372"/>
      <c r="AN33" s="372"/>
      <c r="AO33" s="372"/>
      <c r="AP33" s="372"/>
      <c r="AQ33" s="372"/>
      <c r="AR33" s="372"/>
      <c r="AS33" s="372"/>
      <c r="AT33" s="372"/>
      <c r="AU33" s="372"/>
      <c r="AV33" s="372"/>
      <c r="AW33" s="372"/>
      <c r="AX33" s="372"/>
      <c r="AY33" s="372"/>
      <c r="AZ33" s="372"/>
      <c r="BA33" s="372"/>
      <c r="BB33" s="372"/>
      <c r="BC33" s="372"/>
      <c r="BD33" s="372"/>
      <c r="BE33" s="372"/>
      <c r="BF33" s="372"/>
      <c r="BG33" s="372"/>
      <c r="BH33" s="372"/>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0.59659090909090906</v>
      </c>
      <c r="D35" s="12">
        <f>IFERROR(AVERAGE(Workings!$AS$6:$AS$25),"")</f>
        <v>3.1520337301587302</v>
      </c>
      <c r="E35" s="10">
        <f>COUNTIF(Workings!$AU$6:$AU$25,"Match Ready")</f>
        <v>4</v>
      </c>
      <c r="F35" s="10">
        <f>COUNTIFS(Workings!$AS$6:$AS$25,"&lt;2.5",Workings!$AS$6:$AS$25,"&gt;0")</f>
        <v>2</v>
      </c>
      <c r="G35" s="10">
        <f>COUNTIF(Workings!$AU$6:$AU$25,"Insufficient data")</f>
        <v>4</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t="str">
        <f ca="1">IF($AF35="","",IFERROR(AVERAGE(OFFSET(Attendance!$A$1,4,5+(2-1)*4),OFFSET(Attendance!$A$1,4,7+(2-1)*4)),""))</f>
        <v/>
      </c>
      <c r="AK35" s="15" t="str">
        <f ca="1">IF($AF35="","",IFERROR(AVERAGE(OFFSET(Attendance!$A$1,4,5+(3-1)*4),OFFSET(Attendance!$A$1,4,7+(3-1)*4)),""))</f>
        <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1</v>
      </c>
      <c r="BF35" s="17">
        <f>IF($AF35="","",IFERROR(Workings!$E6,""))</f>
        <v>3</v>
      </c>
      <c r="BG35" s="17" t="str">
        <f>IF($AF35="","",IFERROR(Workings!$G6,""))</f>
        <v/>
      </c>
      <c r="BH35" s="18">
        <f>IF($AF35="","",IFERROR(Workings!$H6,""))</f>
        <v>0.76666666666666661</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t="str">
        <f ca="1">IF($AF36="","",IFERROR(AVERAGE(OFFSET(Attendance!$A$1,5,5+(2-1)*4),OFFSET(Attendance!$A$1,5,7+(2-1)*4)),""))</f>
        <v/>
      </c>
      <c r="AK36" s="15" t="str">
        <f ca="1">IF($AF36="","",IFERROR(AVERAGE(OFFSET(Attendance!$A$1,5,5+(3-1)*4),OFFSET(Attendance!$A$1,5,7+(3-1)*4)),""))</f>
        <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1</v>
      </c>
      <c r="BF36" s="17">
        <f>IF($AF36="","",IFERROR(Workings!$E7,""))</f>
        <v>3</v>
      </c>
      <c r="BG36" s="17" t="str">
        <f>IF($AF36="","",IFERROR(Workings!$G7,""))</f>
        <v/>
      </c>
      <c r="BH36" s="18">
        <f>IF($AF36="","",IFERROR(Workings!$H7,""))</f>
        <v>0.76666666666666661</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t="str">
        <f ca="1">IF($AF37="","",IFERROR(AVERAGE(OFFSET(Attendance!$A$1,6,5+(2-1)*4),OFFSET(Attendance!$A$1,6,7+(2-1)*4)),""))</f>
        <v/>
      </c>
      <c r="AK37" s="15" t="str">
        <f ca="1">IF($AF37="","",IFERROR(AVERAGE(OFFSET(Attendance!$A$1,6,5+(3-1)*4),OFFSET(Attendance!$A$1,6,7+(3-1)*4)),""))</f>
        <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v>
      </c>
      <c r="BF37" s="17" t="str">
        <f>IF($AF37="","",IFERROR(Workings!$E8,""))</f>
        <v/>
      </c>
      <c r="BG37" s="17" t="str">
        <f>IF($AF37="","",IFERROR(Workings!$G8,""))</f>
        <v/>
      </c>
      <c r="BH37" s="18">
        <f>IF($AF37="","",IFERROR(Workings!$H8,""))</f>
        <v>0</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t="str">
        <f ca="1">IF($AF38="","",IFERROR(AVERAGE(OFFSET(Attendance!$A$1,7,5+(3-1)*4),OFFSET(Attendance!$A$1,7,7+(3-1)*4)),""))</f>
        <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v>
      </c>
      <c r="BF38" s="17" t="str">
        <f>IF($AF38="","",IFERROR(Workings!$E9,""))</f>
        <v/>
      </c>
      <c r="BG38" s="17" t="str">
        <f>IF($AF38="","",IFERROR(Workings!$G9,""))</f>
        <v/>
      </c>
      <c r="BH38" s="18">
        <f>IF($AF38="","",IFERROR(Workings!$H9,""))</f>
        <v>0</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t="str">
        <f ca="1">IF($AF39="","",IFERROR(AVERAGE(OFFSET(Attendance!$A$1,8,5+(2-1)*4),OFFSET(Attendance!$A$1,8,7+(2-1)*4)),""))</f>
        <v/>
      </c>
      <c r="AK39" s="15" t="str">
        <f ca="1">IF($AF39="","",IFERROR(AVERAGE(OFFSET(Attendance!$A$1,8,5+(3-1)*4),OFFSET(Attendance!$A$1,8,7+(3-1)*4)),""))</f>
        <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1</v>
      </c>
      <c r="BF39" s="17">
        <f>IF($AF39="","",IFERROR(Workings!$E10,""))</f>
        <v>3</v>
      </c>
      <c r="BG39" s="17" t="str">
        <f>IF($AF39="","",IFERROR(Workings!$G10,""))</f>
        <v/>
      </c>
      <c r="BH39" s="18">
        <f>IF($AF39="","",IFERROR(Workings!$H10,""))</f>
        <v>0.76666666666666661</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Not Ready for 90 min</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t="str">
        <f ca="1">IF($AF40="","",IFERROR(AVERAGE(OFFSET(Attendance!$A$1,9,5+(2-1)*4),OFFSET(Attendance!$A$1,9,7+(2-1)*4)),""))</f>
        <v/>
      </c>
      <c r="AK40" s="15" t="str">
        <f ca="1">IF($AF40="","",IFERROR(AVERAGE(OFFSET(Attendance!$A$1,9,5+(3-1)*4),OFFSET(Attendance!$A$1,9,7+(3-1)*4)),""))</f>
        <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t="str">
        <f>IF($AF40="","",IFERROR(Workings!$G11,""))</f>
        <v/>
      </c>
      <c r="BH40" s="18">
        <f>IF($AF40="","",IFERROR(Workings!$H11,""))</f>
        <v>0.76666666666666661</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Not Ready for 90 min</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t="str">
        <f ca="1">IF($AF41="","",IFERROR(AVERAGE(OFFSET(Attendance!$A$1,10,5+(2-1)*4),OFFSET(Attendance!$A$1,10,7+(2-1)*4)),""))</f>
        <v/>
      </c>
      <c r="AK41" s="15" t="str">
        <f ca="1">IF($AF41="","",IFERROR(AVERAGE(OFFSET(Attendance!$A$1,10,5+(3-1)*4),OFFSET(Attendance!$A$1,10,7+(3-1)*4)),""))</f>
        <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t="str">
        <f>IF($AF41="","",IFERROR(Workings!$G12,""))</f>
        <v/>
      </c>
      <c r="BH41" s="18">
        <f>IF($AF41="","",IFERROR(Workings!$H12,""))</f>
        <v>0.76666666666666661</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Nearly Ready</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v>
      </c>
      <c r="AJ42" s="15" t="str">
        <f ca="1">IF($AF42="","",IFERROR(AVERAGE(OFFSET(Attendance!$A$1,11,5+(2-1)*4),OFFSET(Attendance!$A$1,11,7+(2-1)*4)),""))</f>
        <v/>
      </c>
      <c r="AK42" s="15" t="str">
        <f ca="1">IF($AF42="","",IFERROR(AVERAGE(OFFSET(Attendance!$A$1,11,5+(3-1)*4),OFFSET(Attendance!$A$1,11,7+(3-1)*4)),""))</f>
        <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1</v>
      </c>
      <c r="BF42" s="17">
        <f>IF($AF42="","",IFERROR(Workings!$E13,""))</f>
        <v>2</v>
      </c>
      <c r="BG42" s="17" t="str">
        <f>IF($AF42="","",IFERROR(Workings!$G13,""))</f>
        <v/>
      </c>
      <c r="BH42" s="18">
        <f>IF($AF42="","",IFERROR(Workings!$H13,""))</f>
        <v>0.65</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t="str">
        <f ca="1">IF($AF43="","",IFERROR(AVERAGE(OFFSET(Attendance!$A$1,12,5+(2-1)*4),OFFSET(Attendance!$A$1,12,7+(2-1)*4)),""))</f>
        <v/>
      </c>
      <c r="AK43" s="15" t="str">
        <f ca="1">IF($AF43="","",IFERROR(AVERAGE(OFFSET(Attendance!$A$1,12,5+(3-1)*4),OFFSET(Attendance!$A$1,12,7+(3-1)*4)),""))</f>
        <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t="str">
        <f>IF($AF43="","",IFERROR(Workings!$G14,""))</f>
        <v/>
      </c>
      <c r="BH43" s="18">
        <f>IF($AF43="","",IFERROR(Workings!$H14,""))</f>
        <v>0.76666666666666661</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Not Ready for 90 min</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t="str">
        <f ca="1">IF($AF44="","",IFERROR(AVERAGE(OFFSET(Attendance!$A$1,13,5+(2-1)*4),OFFSET(Attendance!$A$1,13,7+(2-1)*4)),""))</f>
        <v/>
      </c>
      <c r="AK44" s="15" t="str">
        <f ca="1">IF($AF44="","",IFERROR(AVERAGE(OFFSET(Attendance!$A$1,13,5+(3-1)*4),OFFSET(Attendance!$A$1,13,7+(3-1)*4)),""))</f>
        <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1</v>
      </c>
      <c r="BF44" s="17">
        <f>IF($AF44="","",IFERROR(Workings!$E15,""))</f>
        <v>3</v>
      </c>
      <c r="BG44" s="17" t="str">
        <f>IF($AF44="","",IFERROR(Workings!$G15,""))</f>
        <v/>
      </c>
      <c r="BH44" s="18">
        <f>IF($AF44="","",IFERROR(Workings!$H15,""))</f>
        <v>0.76666666666666661</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Improving</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t="str">
        <f ca="1">IF($AF45="","",IFERROR(AVERAGE(OFFSET(Attendance!$A$1,14,5+(2-1)*4),OFFSET(Attendance!$A$1,14,7+(2-1)*4)),""))</f>
        <v/>
      </c>
      <c r="AK45" s="15" t="str">
        <f ca="1">IF($AF45="","",IFERROR(AVERAGE(OFFSET(Attendance!$A$1,14,5+(3-1)*4),OFFSET(Attendance!$A$1,14,7+(3-1)*4)),""))</f>
        <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t="str">
        <f>IF($AF45="","",IFERROR(Workings!$G16,""))</f>
        <v/>
      </c>
      <c r="BH45" s="18">
        <f>IF($AF45="","",IFERROR(Workings!$H16,""))</f>
        <v>0.76666666666666661</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Not Ready for 90 min</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t="str">
        <f ca="1">IF($AF46="","",IFERROR(AVERAGE(OFFSET(Attendance!$A$1,15,5+(2-1)*4),OFFSET(Attendance!$A$1,15,7+(2-1)*4)),""))</f>
        <v/>
      </c>
      <c r="AK46" s="15" t="str">
        <f ca="1">IF($AF46="","",IFERROR(AVERAGE(OFFSET(Attendance!$A$1,15,5+(3-1)*4),OFFSET(Attendance!$A$1,15,7+(3-1)*4)),""))</f>
        <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v>
      </c>
      <c r="BF46" s="17" t="str">
        <f>IF($AF46="","",IFERROR(Workings!$E17,""))</f>
        <v/>
      </c>
      <c r="BG46" s="17" t="str">
        <f>IF($AF46="","",IFERROR(Workings!$G17,""))</f>
        <v/>
      </c>
      <c r="BH46" s="18">
        <f>IF($AF46="","",IFERROR(Workings!$H17,""))</f>
        <v>0</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Not Ready for 90 min</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t="str">
        <f ca="1">IF($AF47="","",IFERROR(AVERAGE(OFFSET(Attendance!$A$1,16,5+(2-1)*4),OFFSET(Attendance!$A$1,16,7+(2-1)*4)),""))</f>
        <v/>
      </c>
      <c r="AK47" s="15" t="str">
        <f ca="1">IF($AF47="","",IFERROR(AVERAGE(OFFSET(Attendance!$A$1,16,5+(3-1)*4),OFFSET(Attendance!$A$1,16,7+(3-1)*4)),""))</f>
        <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1</v>
      </c>
      <c r="BF47" s="17">
        <f>IF($AF47="","",IFERROR(Workings!$E18,""))</f>
        <v>3</v>
      </c>
      <c r="BG47" s="17" t="str">
        <f>IF($AF47="","",IFERROR(Workings!$G18,""))</f>
        <v/>
      </c>
      <c r="BH47" s="18">
        <f>IF($AF47="","",IFERROR(Workings!$H18,""))</f>
        <v>0.76666666666666661</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Nearly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t="str">
        <f ca="1">IF($AF48="","",IFERROR(AVERAGE(OFFSET(Attendance!$A$1,17,5+(2-1)*4),OFFSET(Attendance!$A$1,17,7+(2-1)*4)),""))</f>
        <v/>
      </c>
      <c r="AK48" s="15" t="str">
        <f ca="1">IF($AF48="","",IFERROR(AVERAGE(OFFSET(Attendance!$A$1,17,5+(3-1)*4),OFFSET(Attendance!$A$1,17,7+(3-1)*4)),""))</f>
        <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1</v>
      </c>
      <c r="BF48" s="17">
        <f>IF($AF48="","",IFERROR(Workings!$E19,""))</f>
        <v>3</v>
      </c>
      <c r="BG48" s="17" t="str">
        <f>IF($AF48="","",IFERROR(Workings!$G19,""))</f>
        <v/>
      </c>
      <c r="BH48" s="18">
        <f>IF($AF48="","",IFERROR(Workings!$H19,""))</f>
        <v>0.76666666666666661</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v>
      </c>
      <c r="AJ49" s="15" t="str">
        <f ca="1">IF($AF49="","",IFERROR(AVERAGE(OFFSET(Attendance!$A$1,18,5+(2-1)*4),OFFSET(Attendance!$A$1,18,7+(2-1)*4)),""))</f>
        <v/>
      </c>
      <c r="AK49" s="15" t="str">
        <f ca="1">IF($AF49="","",IFERROR(AVERAGE(OFFSET(Attendance!$A$1,18,5+(3-1)*4),OFFSET(Attendance!$A$1,18,7+(3-1)*4)),""))</f>
        <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1</v>
      </c>
      <c r="BF49" s="17">
        <f>IF($AF49="","",IFERROR(Workings!$E20,""))</f>
        <v>2</v>
      </c>
      <c r="BG49" s="17" t="str">
        <f>IF($AF49="","",IFERROR(Workings!$G20,""))</f>
        <v/>
      </c>
      <c r="BH49" s="18">
        <f>IF($AF49="","",IFERROR(Workings!$H20,""))</f>
        <v>0.65</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t="str">
        <f ca="1">IF($AF50="","",IFERROR(AVERAGE(OFFSET(Attendance!$A$1,19,5+(1-1)*4),OFFSET(Attendance!$A$1,19,7+(1-1)*4)),""))</f>
        <v/>
      </c>
      <c r="AJ50" s="15" t="str">
        <f ca="1">IF($AF50="","",IFERROR(AVERAGE(OFFSET(Attendance!$A$1,19,5+(2-1)*4),OFFSET(Attendance!$A$1,19,7+(2-1)*4)),""))</f>
        <v/>
      </c>
      <c r="AK50" s="15" t="str">
        <f ca="1">IF($AF50="","",IFERROR(AVERAGE(OFFSET(Attendance!$A$1,19,5+(3-1)*4),OFFSET(Attendance!$A$1,19,7+(3-1)*4)),""))</f>
        <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v>
      </c>
      <c r="BF50" s="17" t="str">
        <f>IF($AF50="","",IFERROR(Workings!$E21,""))</f>
        <v/>
      </c>
      <c r="BG50" s="17" t="str">
        <f>IF($AF50="","",IFERROR(Workings!$G21,""))</f>
        <v/>
      </c>
      <c r="BH50" s="18">
        <f>IF($AF50="","",IFERROR(Workings!$H21,""))</f>
        <v>0</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t="str">
        <f ca="1">IF($AF51="","",IFERROR(AVERAGE(OFFSET(Attendance!$A$1,20,5+(2-1)*4),OFFSET(Attendance!$A$1,20,7+(2-1)*4)),""))</f>
        <v/>
      </c>
      <c r="AK51" s="15" t="str">
        <f ca="1">IF($AF51="","",IFERROR(AVERAGE(OFFSET(Attendance!$A$1,20,5+(3-1)*4),OFFSET(Attendance!$A$1,20,7+(3-1)*4)),""))</f>
        <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t="str">
        <f>IF($AF51="","",IFERROR(Workings!$G22,""))</f>
        <v/>
      </c>
      <c r="BH51" s="18">
        <f>IF($AF51="","",IFERROR(Workings!$H22,""))</f>
        <v>0.76666666666666661</v>
      </c>
    </row>
    <row r="52" spans="2:60" ht="15" customHeight="1" x14ac:dyDescent="0.45">
      <c r="B52" s="19">
        <f>IF(ROW()-37&gt;COUNT(Workings!$AX$6:$AX$25),"",ROW()-37)</f>
        <v>15</v>
      </c>
      <c r="C52" s="20" t="str">
        <f>IF($B52="","",IFERROR(INDEX(Workings!$AO$6:$AO$25,MATCH($B52,Workings!$AX$6:$AX$25,0)),""))</f>
        <v>Zara Power</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2.6666666666666665</v>
      </c>
      <c r="H52" s="23" t="str">
        <f>IF($B52="","",IFERROR(INDEX(Workings!$AU$6:$AU$25,MATCH($B52,Workings!$AX$6:$AX$25,0)),""))</f>
        <v>Insufficient data</v>
      </c>
      <c r="I52" s="24">
        <f>IF($B52="","",IFERROR(INDEX(Workings!$AT$6:$AT$25,MATCH($B52,Workings!$AX$6:$AX$25,0)),""))</f>
        <v>0.22545454545454541</v>
      </c>
      <c r="AF52" s="13" t="str">
        <f>IF(Attendance!$D22="","",Attendance!$D22)</f>
        <v>Rama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t="str">
        <f ca="1">IF($AF52="","",IFERROR(AVERAGE(OFFSET(Attendance!$A$1,21,5+(2-1)*4),OFFSET(Attendance!$A$1,21,7+(2-1)*4)),""))</f>
        <v/>
      </c>
      <c r="AK52" s="15" t="str">
        <f ca="1">IF($AF52="","",IFERROR(AVERAGE(OFFSET(Attendance!$A$1,21,5+(3-1)*4),OFFSET(Attendance!$A$1,21,7+(3-1)*4)),""))</f>
        <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v>
      </c>
      <c r="BG52" s="17" t="str">
        <f>IF($AF52="","",IFERROR(Workings!$G23,""))</f>
        <v/>
      </c>
      <c r="BH52" s="18">
        <f>IF($AF52="","",IFERROR(Workings!$H23,""))</f>
        <v>0.76666666666666661</v>
      </c>
    </row>
    <row r="53" spans="2:60" ht="15" customHeight="1" x14ac:dyDescent="0.45">
      <c r="B53" s="19">
        <f>IF(ROW()-37&gt;COUNT(Workings!$AX$6:$AX$25),"",ROW()-37)</f>
        <v>16</v>
      </c>
      <c r="C53" s="20" t="str">
        <f>IF($B53="","",IFERROR(INDEX(Workings!$AO$6:$AO$25,MATCH($B53,Workings!$AX$6:$AX$25,0)),""))</f>
        <v>Heidi Cerubini Dunne</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v>
      </c>
      <c r="H53" s="23" t="str">
        <f>IF($B53="","",IFERROR(INDEX(Workings!$AU$6:$AU$25,MATCH($B53,Workings!$AX$6:$AX$25,0)),""))</f>
        <v>Insufficient data</v>
      </c>
      <c r="I53" s="24">
        <f>IF($B53="","",IFERROR(INDEX(Workings!$AT$6:$AT$25,MATCH($B53,Workings!$AX$6:$AX$25,0)),""))</f>
        <v>0.19636363636363635</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t="str">
        <f>IF(ROW()-37&gt;COUNT(Workings!$AX$6:$AX$25),"",ROW()-37)</f>
        <v/>
      </c>
      <c r="C54" s="20" t="str">
        <f>IF($B54="","",IFERROR(INDEX(Workings!$AO$6:$AO$25,MATCH($B54,Workings!$AX$6:$AX$25,0)),""))</f>
        <v/>
      </c>
      <c r="D54" s="19" t="str">
        <f>IF($B54="","",IFERROR(INDEX(Workings!$AP$6:$AP$25,MATCH($B54,Workings!$AX$6:$AX$25,0)),""))</f>
        <v/>
      </c>
      <c r="E54" s="19" t="str">
        <f>IF($B54="","",IFERROR(INDEX(Workings!$AQ$6:$AQ$25,MATCH($B54,Workings!$AX$6:$AX$25,0)),""))</f>
        <v/>
      </c>
      <c r="F54" s="21" t="str">
        <f>IF($B54="","",IFERROR(INDEX(Workings!$AR$6:$AR$25,MATCH($B54,Workings!$AX$6:$AX$25,0)),""))</f>
        <v/>
      </c>
      <c r="G54" s="22" t="str">
        <f>IF($B54="","",IFERROR(INDEX(Workings!$AS$6:$AS$25,MATCH($B54,Workings!$AX$6:$AX$25,0)),""))</f>
        <v/>
      </c>
      <c r="H54" s="23" t="str">
        <f>IF($B54="","",IFERROR(INDEX(Workings!$AU$6:$AU$25,MATCH($B54,Workings!$AX$6:$AX$25,0)),""))</f>
        <v/>
      </c>
      <c r="I54" s="24" t="str">
        <f>IF($B54="","",IFERROR(INDEX(Workings!$AT$6:$AT$25,MATCH($B54,Workings!$AX$6:$AX$25,0)),""))</f>
        <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t="str">
        <f>IF(ROW()-37&gt;COUNT(Workings!$AX$6:$AX$25),"",ROW()-37)</f>
        <v/>
      </c>
      <c r="C55" s="20" t="str">
        <f>IF($B55="","",IFERROR(INDEX(Workings!$AO$6:$AO$25,MATCH($B55,Workings!$AX$6:$AX$25,0)),""))</f>
        <v/>
      </c>
      <c r="D55" s="19" t="str">
        <f>IF($B55="","",IFERROR(INDEX(Workings!$AP$6:$AP$25,MATCH($B55,Workings!$AX$6:$AX$25,0)),""))</f>
        <v/>
      </c>
      <c r="E55" s="19" t="str">
        <f>IF($B55="","",IFERROR(INDEX(Workings!$AQ$6:$AQ$25,MATCH($B55,Workings!$AX$6:$AX$25,0)),""))</f>
        <v/>
      </c>
      <c r="F55" s="21" t="str">
        <f>IF($B55="","",IFERROR(INDEX(Workings!$AR$6:$AR$25,MATCH($B55,Workings!$AX$6:$AX$25,0)),""))</f>
        <v/>
      </c>
      <c r="G55" s="22" t="str">
        <f>IF($B55="","",IFERROR(INDEX(Workings!$AS$6:$AS$25,MATCH($B55,Workings!$AX$6:$AX$25,0)),""))</f>
        <v/>
      </c>
      <c r="H55" s="23" t="str">
        <f>IF($B55="","",IFERROR(INDEX(Workings!$AU$6:$AU$25,MATCH($B55,Workings!$AX$6:$AX$25,0)),""))</f>
        <v/>
      </c>
      <c r="I55" s="24" t="str">
        <f>IF($B55="","",IFERROR(INDEX(Workings!$AT$6:$AT$25,MATCH($B55,Workings!$AX$6:$AX$25,0)),""))</f>
        <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372" t="s">
        <v>31</v>
      </c>
      <c r="C58" s="372"/>
      <c r="D58" s="372"/>
      <c r="E58" s="372"/>
      <c r="F58" s="372"/>
      <c r="G58" s="372"/>
      <c r="H58" s="372"/>
      <c r="I58" s="372"/>
      <c r="J58" s="372"/>
      <c r="K58" s="372"/>
      <c r="L58" s="372"/>
      <c r="M58" s="372"/>
      <c r="N58" s="372"/>
      <c r="O58" s="372"/>
      <c r="P58" s="372"/>
    </row>
    <row r="59" spans="2:60" ht="35.25" customHeight="1" x14ac:dyDescent="0.45">
      <c r="B59" s="400" t="s">
        <v>32</v>
      </c>
      <c r="C59" s="400"/>
      <c r="D59" s="8" t="s">
        <v>4</v>
      </c>
      <c r="E59" s="9" t="s">
        <v>33</v>
      </c>
      <c r="F59" s="7" t="s">
        <v>18</v>
      </c>
      <c r="G59" s="8" t="s">
        <v>4</v>
      </c>
      <c r="H59" s="9" t="s">
        <v>32</v>
      </c>
      <c r="I59" s="31" t="s">
        <v>34</v>
      </c>
    </row>
    <row r="60" spans="2:60" x14ac:dyDescent="0.45">
      <c r="B60" s="403" t="str">
        <f>Workings!$S6</f>
        <v>Critical</v>
      </c>
      <c r="C60" s="403"/>
      <c r="D60" s="32" t="str">
        <f>TEXT(Workings!$T6,"0.00")&amp;" – "&amp;TEXT(Workings!$U6,"0.00")</f>
        <v>0.00 – 1.50</v>
      </c>
      <c r="E60" s="33">
        <f>Workings!$V6</f>
        <v>0</v>
      </c>
      <c r="F60" s="34" t="str">
        <f>IF(Workings!$C6="","",Workings!$C6)</f>
        <v>Aoife Kennan</v>
      </c>
      <c r="G60" s="35">
        <f>IF($F60="","",IFERROR(Workings!$AW6,""))</f>
        <v>3</v>
      </c>
      <c r="H60" s="36" t="str">
        <f>IF($F60="","",Workings!$I6)</f>
        <v>Nearly Ready</v>
      </c>
      <c r="I60" s="37" t="str">
        <f>IF($F60="","",IFERROR(Workings!$AV6,""))</f>
        <v>In-season</v>
      </c>
    </row>
    <row r="61" spans="2:60" x14ac:dyDescent="0.45">
      <c r="B61" s="404" t="str">
        <f>Workings!$S7</f>
        <v>Not Ready</v>
      </c>
      <c r="C61" s="404"/>
      <c r="D61" s="32" t="str">
        <f>TEXT(Workings!$T7,"0.00")&amp;" – "&amp;TEXT(Workings!$U7,"0.00")</f>
        <v>1.51 – 2.00</v>
      </c>
      <c r="E61" s="33">
        <f>Workings!$V7</f>
        <v>2</v>
      </c>
      <c r="F61" s="34" t="str">
        <f>IF(Workings!$C7="","",Workings!$C7)</f>
        <v>Stella McEvoy</v>
      </c>
      <c r="G61" s="35">
        <f>IF($F61="","",IFERROR(Workings!$AW7,""))</f>
        <v>3</v>
      </c>
      <c r="H61" s="36" t="str">
        <f>IF($F61="","",Workings!$I7)</f>
        <v>Nearly Ready</v>
      </c>
      <c r="I61" s="37" t="str">
        <f>IF($F61="","",IFERROR(Workings!$AV7,""))</f>
        <v>In-season</v>
      </c>
    </row>
    <row r="62" spans="2:60" x14ac:dyDescent="0.45">
      <c r="B62" s="405" t="str">
        <f>Workings!$S8</f>
        <v>Improving</v>
      </c>
      <c r="C62" s="405"/>
      <c r="D62" s="32" t="str">
        <f>TEXT(Workings!$T8,"0.00")&amp;" – "&amp;TEXT(Workings!$U8,"0.00")</f>
        <v>2.01 – 2.50</v>
      </c>
      <c r="E62" s="33">
        <f>Workings!$V8</f>
        <v>0</v>
      </c>
      <c r="F62" s="34" t="str">
        <f>IF(Workings!$C8="","",Workings!$C8)</f>
        <v>Zara Power</v>
      </c>
      <c r="G62" s="35">
        <f>IF($F62="","",IFERROR(Workings!$AW8,""))</f>
        <v>2.6666666666666665</v>
      </c>
      <c r="H62" s="36" t="str">
        <f>IF($F62="","",Workings!$I8)</f>
        <v>Insufficient data</v>
      </c>
      <c r="I62" s="37" t="str">
        <f>IF($F62="","",IFERROR(Workings!$AV8,""))</f>
        <v>Pre-season</v>
      </c>
    </row>
    <row r="63" spans="2:60" x14ac:dyDescent="0.45">
      <c r="B63" s="406" t="str">
        <f>Workings!$S9</f>
        <v>Nearly Ready</v>
      </c>
      <c r="C63" s="406"/>
      <c r="D63" s="32" t="str">
        <f>TEXT(Workings!$T9,"0.00")&amp;" – "&amp;TEXT(Workings!$U9,"0.00")</f>
        <v>2.51 – 3.00</v>
      </c>
      <c r="E63" s="33">
        <f>Workings!$V9</f>
        <v>12</v>
      </c>
      <c r="F63" s="34" t="str">
        <f>IF(Workings!$C9="","",Workings!$C9)</f>
        <v>Heidi Cerubini Dunne</v>
      </c>
      <c r="G63" s="35">
        <f>IF($F63="","",IFERROR(Workings!$AW9,""))</f>
        <v>2</v>
      </c>
      <c r="H63" s="36" t="str">
        <f>IF($F63="","",Workings!$I9)</f>
        <v>Insufficient data</v>
      </c>
      <c r="I63" s="37" t="str">
        <f>IF($F63="","",IFERROR(Workings!$AV9,""))</f>
        <v>Pre-season</v>
      </c>
    </row>
    <row r="64" spans="2:60" x14ac:dyDescent="0.45">
      <c r="B64" s="407" t="str">
        <f>Workings!$S10</f>
        <v>Not Ready for 90 min</v>
      </c>
      <c r="C64" s="407"/>
      <c r="D64" s="32" t="str">
        <f>TEXT(Workings!$T10,"0.00")&amp;" – "&amp;TEXT(Workings!$U10,"0.00")</f>
        <v>3.01 – 3.49</v>
      </c>
      <c r="E64" s="33">
        <f>Workings!$V10</f>
        <v>1</v>
      </c>
      <c r="F64" s="34" t="str">
        <f>IF(Workings!$C10="","",Workings!$C10)</f>
        <v>Roisin Offenhausen</v>
      </c>
      <c r="G64" s="35">
        <f>IF($F64="","",IFERROR(Workings!$AW10,""))</f>
        <v>3</v>
      </c>
      <c r="H64" s="36" t="str">
        <f>IF($F64="","",Workings!$I10)</f>
        <v>Nearly Ready</v>
      </c>
      <c r="I64" s="37" t="str">
        <f>IF($F64="","",IFERROR(Workings!$AV10,""))</f>
        <v>In-season</v>
      </c>
    </row>
    <row r="65" spans="2:9" x14ac:dyDescent="0.45">
      <c r="B65" s="408" t="str">
        <f>Workings!$S11</f>
        <v>Match Ready</v>
      </c>
      <c r="C65" s="408"/>
      <c r="D65" s="32" t="str">
        <f>TEXT(Workings!$T11,"0.00")&amp;" – "&amp;TEXT(Workings!$U11,"0.00")</f>
        <v>3.50 – 5.00</v>
      </c>
      <c r="E65" s="33">
        <f>Workings!$V11</f>
        <v>0</v>
      </c>
      <c r="F65" s="34" t="str">
        <f>IF(Workings!$C11="","",Workings!$C11)</f>
        <v>Naomi Adewoyin</v>
      </c>
      <c r="G65" s="35">
        <f>IF($F65="","",IFERROR(Workings!$AW11,""))</f>
        <v>3</v>
      </c>
      <c r="H65" s="36" t="str">
        <f>IF($F65="","",Workings!$I11)</f>
        <v>Nearly Ready</v>
      </c>
      <c r="I65" s="37" t="str">
        <f>IF($F65="","",IFERROR(Workings!$AV11,""))</f>
        <v>In-season</v>
      </c>
    </row>
    <row r="66" spans="2:9" x14ac:dyDescent="0.45">
      <c r="B66" s="409" t="s">
        <v>35</v>
      </c>
      <c r="C66" s="409"/>
      <c r="D66" s="38"/>
      <c r="E66" s="39">
        <f>SUM(E60:E65)</f>
        <v>15</v>
      </c>
      <c r="F66" s="34" t="str">
        <f>IF(Workings!$C12="","",Workings!$C12)</f>
        <v>Amber Kilalee</v>
      </c>
      <c r="G66" s="35">
        <f>IF($F66="","",IFERROR(Workings!$AW12,""))</f>
        <v>3</v>
      </c>
      <c r="H66" s="36" t="str">
        <f>IF($F66="","",Workings!$I12)</f>
        <v>Nearly Ready</v>
      </c>
      <c r="I66" s="37" t="str">
        <f>IF($F66="","",IFERROR(Workings!$AV12,""))</f>
        <v>In-season</v>
      </c>
    </row>
    <row r="67" spans="2:9" x14ac:dyDescent="0.45">
      <c r="F67" s="34" t="str">
        <f>IF(Workings!$C13="","",Workings!$C13)</f>
        <v>Shauna Kavanagh</v>
      </c>
      <c r="G67" s="35">
        <f>IF($F67="","",IFERROR(Workings!$AW13,""))</f>
        <v>2</v>
      </c>
      <c r="H67" s="36" t="str">
        <f>IF($F67="","",Workings!$I13)</f>
        <v>Not Ready</v>
      </c>
      <c r="I67" s="37" t="str">
        <f>IF($F67="","",IFERROR(Workings!$AV13,""))</f>
        <v>In-season</v>
      </c>
    </row>
    <row r="68" spans="2:9" x14ac:dyDescent="0.45">
      <c r="F68" s="34" t="str">
        <f>IF(Workings!$C14="","",Workings!$C14)</f>
        <v>Tara Brannigan</v>
      </c>
      <c r="G68" s="35">
        <f>IF($F68="","",IFERROR(Workings!$AW14,""))</f>
        <v>3</v>
      </c>
      <c r="H68" s="36" t="str">
        <f>IF($F68="","",Workings!$I14)</f>
        <v>Nearly Ready</v>
      </c>
      <c r="I68" s="37" t="str">
        <f>IF($F68="","",IFERROR(Workings!$AV14,""))</f>
        <v>In-season</v>
      </c>
    </row>
    <row r="69" spans="2:9" x14ac:dyDescent="0.45">
      <c r="F69" s="34" t="str">
        <f>IF(Workings!$C15="","",Workings!$C15)</f>
        <v>Semilore Adesanya</v>
      </c>
      <c r="G69" s="35">
        <f>IF($F69="","",IFERROR(Workings!$AW15,""))</f>
        <v>3</v>
      </c>
      <c r="H69" s="36" t="str">
        <f>IF($F69="","",Workings!$I15)</f>
        <v>Nearly Ready</v>
      </c>
      <c r="I69" s="37" t="str">
        <f>IF($F69="","",IFERROR(Workings!$AV15,""))</f>
        <v>In-season</v>
      </c>
    </row>
    <row r="70" spans="2:9" x14ac:dyDescent="0.45">
      <c r="F70" s="34" t="str">
        <f>IF(Workings!$C16="","",Workings!$C16)</f>
        <v>Hannah Fleming</v>
      </c>
      <c r="G70" s="35">
        <f>IF($F70="","",IFERROR(Workings!$AW16,""))</f>
        <v>3</v>
      </c>
      <c r="H70" s="36" t="str">
        <f>IF($F70="","",Workings!$I16)</f>
        <v>Nearly Ready</v>
      </c>
      <c r="I70" s="37" t="str">
        <f>IF($F70="","",IFERROR(Workings!$AV16,""))</f>
        <v>In-season</v>
      </c>
    </row>
    <row r="71" spans="2:9" x14ac:dyDescent="0.45">
      <c r="F71" s="34" t="str">
        <f>IF(Workings!$C17="","",Workings!$C17)</f>
        <v>Emma Kelly</v>
      </c>
      <c r="G71" s="35">
        <f>IF($F71="","",IFERROR(Workings!$AW17,""))</f>
        <v>3.2857142857142856</v>
      </c>
      <c r="H71" s="36" t="str">
        <f>IF($F71="","",Workings!$I17)</f>
        <v>Not Ready for 90 min</v>
      </c>
      <c r="I71" s="37" t="str">
        <f>IF($F71="","",IFERROR(Workings!$AV17,""))</f>
        <v>Pre-season</v>
      </c>
    </row>
    <row r="72" spans="2:9" x14ac:dyDescent="0.45">
      <c r="F72" s="34" t="str">
        <f>IF(Workings!$C18="","",Workings!$C18)</f>
        <v>Roma Memon</v>
      </c>
      <c r="G72" s="35">
        <f>IF($F72="","",IFERROR(Workings!$AW18,""))</f>
        <v>3</v>
      </c>
      <c r="H72" s="36" t="str">
        <f>IF($F72="","",Workings!$I18)</f>
        <v>Nearly Ready</v>
      </c>
      <c r="I72" s="37" t="str">
        <f>IF($F72="","",IFERROR(Workings!$AV18,""))</f>
        <v>In-season</v>
      </c>
    </row>
    <row r="73" spans="2:9" x14ac:dyDescent="0.45">
      <c r="F73" s="34" t="str">
        <f>IF(Workings!$C19="","",Workings!$C19)</f>
        <v>Emma Dromgoole</v>
      </c>
      <c r="G73" s="35">
        <f>IF($F73="","",IFERROR(Workings!$AW19,""))</f>
        <v>3</v>
      </c>
      <c r="H73" s="36" t="str">
        <f>IF($F73="","",Workings!$I19)</f>
        <v>Nearly Ready</v>
      </c>
      <c r="I73" s="37" t="str">
        <f>IF($F73="","",IFERROR(Workings!$AV19,""))</f>
        <v>In-season</v>
      </c>
    </row>
    <row r="74" spans="2:9" x14ac:dyDescent="0.45">
      <c r="F74" s="34" t="str">
        <f>IF(Workings!$C20="","",Workings!$C20)</f>
        <v>Elsie Morrison</v>
      </c>
      <c r="G74" s="35">
        <f>IF($F74="","",IFERROR(Workings!$AW20,""))</f>
        <v>2</v>
      </c>
      <c r="H74" s="36" t="str">
        <f>IF($F74="","",Workings!$I20)</f>
        <v>Not Ready</v>
      </c>
      <c r="I74" s="37" t="str">
        <f>IF($F74="","",IFERROR(Workings!$AV20,""))</f>
        <v>In-season</v>
      </c>
    </row>
    <row r="75" spans="2:9" x14ac:dyDescent="0.45">
      <c r="F75" s="34" t="str">
        <f>IF(Workings!$C21="","",Workings!$C21)</f>
        <v>Zara Freeman</v>
      </c>
      <c r="G75" s="35">
        <f>IF($F75="","",IFERROR(Workings!$AW21,""))</f>
        <v>3.3333333333333335</v>
      </c>
      <c r="H75" s="36" t="str">
        <f>IF($F75="","",Workings!$I21)</f>
        <v>Insufficient data</v>
      </c>
      <c r="I75" s="37" t="str">
        <f>IF($F75="","",IFERROR(Workings!$AV21,""))</f>
        <v>Pre-season</v>
      </c>
    </row>
    <row r="76" spans="2:9" x14ac:dyDescent="0.45">
      <c r="F76" s="34" t="str">
        <f>IF(Workings!$C22="","",Workings!$C22)</f>
        <v>Mariana</v>
      </c>
      <c r="G76" s="35">
        <f>IF($F76="","",IFERROR(Workings!$AW22,""))</f>
        <v>3</v>
      </c>
      <c r="H76" s="36" t="str">
        <f>IF($F76="","",Workings!$I22)</f>
        <v>Nearly Ready</v>
      </c>
      <c r="I76" s="37" t="str">
        <f>IF($F76="","",IFERROR(Workings!$AV22,""))</f>
        <v>In-season</v>
      </c>
    </row>
    <row r="77" spans="2:9" x14ac:dyDescent="0.45">
      <c r="F77" s="34" t="str">
        <f>IF(Workings!$C23="","",Workings!$C23)</f>
        <v>Rama</v>
      </c>
      <c r="G77" s="35">
        <f>IF($F77="","",IFERROR(Workings!$AW23,""))</f>
        <v>3</v>
      </c>
      <c r="H77" s="36" t="str">
        <f>IF($F77="","",Workings!$I23)</f>
        <v>Nearly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372" t="s">
        <v>36</v>
      </c>
      <c r="C84" s="372"/>
      <c r="D84" s="372"/>
      <c r="E84" s="372"/>
      <c r="F84" s="372"/>
      <c r="G84" s="372"/>
      <c r="H84" s="372"/>
      <c r="I84" s="372"/>
      <c r="J84" s="372"/>
      <c r="K84" s="372"/>
      <c r="L84" s="372"/>
      <c r="M84" s="372"/>
      <c r="N84" s="372"/>
      <c r="O84" s="372"/>
      <c r="P84" s="372"/>
    </row>
    <row r="86" spans="2:16" ht="15.75" customHeight="1" x14ac:dyDescent="0.5">
      <c r="B86" s="43" t="s">
        <v>18</v>
      </c>
      <c r="C86" s="410"/>
      <c r="D86" s="410"/>
      <c r="F86" s="411"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11"/>
      <c r="H86" s="411"/>
    </row>
  </sheetData>
  <mergeCells count="30">
    <mergeCell ref="B65:C65"/>
    <mergeCell ref="B66:C66"/>
    <mergeCell ref="B84:P84"/>
    <mergeCell ref="C86:D86"/>
    <mergeCell ref="F86:H86"/>
    <mergeCell ref="B60:C60"/>
    <mergeCell ref="B61:C61"/>
    <mergeCell ref="B62:C62"/>
    <mergeCell ref="B63:C63"/>
    <mergeCell ref="B64:C64"/>
    <mergeCell ref="L8:M9"/>
    <mergeCell ref="N8:O9"/>
    <mergeCell ref="AF33:BH33"/>
    <mergeCell ref="B58:P58"/>
    <mergeCell ref="B59:C59"/>
    <mergeCell ref="B8:C9"/>
    <mergeCell ref="D8:E9"/>
    <mergeCell ref="F8:G9"/>
    <mergeCell ref="H8:I9"/>
    <mergeCell ref="J8:K9"/>
    <mergeCell ref="B2:H2"/>
    <mergeCell ref="B3:N3"/>
    <mergeCell ref="B5:P5"/>
    <mergeCell ref="B7:C7"/>
    <mergeCell ref="D7:E7"/>
    <mergeCell ref="F7:G7"/>
    <mergeCell ref="H7:I7"/>
    <mergeCell ref="J7:K7"/>
    <mergeCell ref="L7:M7"/>
    <mergeCell ref="N7:O7"/>
  </mergeCells>
  <conditionalFormatting sqref="H38:H56">
    <cfRule type="containsText" dxfId="35" priority="3" operator="containsText" text="Insufficient data">
      <formula>NOT(ISERROR(SEARCH("Insufficient data",H38)))</formula>
    </cfRule>
    <cfRule type="containsText" dxfId="34" priority="4" operator="containsText" text="Critical">
      <formula>NOT(ISERROR(SEARCH("Critical",H38)))</formula>
    </cfRule>
    <cfRule type="containsText" dxfId="33" priority="5" operator="containsText" text="Not Ready for 90 min">
      <formula>NOT(ISERROR(SEARCH("Not Ready for 90 min",H38)))</formula>
    </cfRule>
    <cfRule type="containsText" dxfId="32" priority="6" operator="containsText" text="Not Ready">
      <formula>NOT(ISERROR(SEARCH("Not Ready",H38)))</formula>
    </cfRule>
    <cfRule type="containsText" dxfId="31" priority="7" operator="containsText" text="Improving">
      <formula>NOT(ISERROR(SEARCH("Improving",H38)))</formula>
    </cfRule>
    <cfRule type="containsText" dxfId="30" priority="8" operator="containsText" text="Nearly Ready">
      <formula>NOT(ISERROR(SEARCH("Nearly Ready",H38)))</formula>
    </cfRule>
    <cfRule type="containsText" dxfId="29"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H1" zoomScaleNormal="100" workbookViewId="0">
      <selection activeCell="AP12" sqref="AP12"/>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17"/>
      <c r="C2" s="417"/>
      <c r="D2" s="418" t="s">
        <v>38</v>
      </c>
      <c r="E2" s="418"/>
      <c r="F2" s="418"/>
      <c r="G2" s="418"/>
      <c r="H2" s="418"/>
      <c r="I2" s="418"/>
      <c r="J2" s="418"/>
      <c r="K2" s="418"/>
      <c r="L2" s="418"/>
      <c r="M2" s="418"/>
      <c r="N2" s="418"/>
      <c r="O2" s="418"/>
      <c r="P2" s="418"/>
      <c r="AL2" t="s">
        <v>39</v>
      </c>
      <c r="AM2" s="46">
        <v>0.4</v>
      </c>
    </row>
    <row r="3" spans="2:42" x14ac:dyDescent="0.45">
      <c r="B3" s="417"/>
      <c r="C3" s="417"/>
      <c r="D3" s="419" t="s">
        <v>18</v>
      </c>
      <c r="E3" s="420">
        <v>46217</v>
      </c>
      <c r="F3" s="420"/>
      <c r="G3" s="412">
        <v>46219</v>
      </c>
      <c r="H3" s="412"/>
      <c r="I3" s="412">
        <v>46224</v>
      </c>
      <c r="J3" s="412"/>
      <c r="K3" s="412">
        <v>46226</v>
      </c>
      <c r="L3" s="412"/>
      <c r="M3" s="412">
        <v>46231</v>
      </c>
      <c r="N3" s="412"/>
      <c r="O3" s="412">
        <v>46233</v>
      </c>
      <c r="P3" s="412"/>
      <c r="Q3" s="412">
        <v>46238</v>
      </c>
      <c r="R3" s="412"/>
      <c r="S3" s="412">
        <v>46240</v>
      </c>
      <c r="T3" s="412"/>
      <c r="U3" s="412">
        <v>46245</v>
      </c>
      <c r="V3" s="412"/>
      <c r="W3" s="412">
        <v>46247</v>
      </c>
      <c r="X3" s="412"/>
      <c r="Y3" s="412">
        <v>46252</v>
      </c>
      <c r="Z3" s="412"/>
      <c r="AA3" s="412">
        <v>46254</v>
      </c>
      <c r="AB3" s="412"/>
      <c r="AL3" t="s">
        <v>40</v>
      </c>
      <c r="AM3" s="47">
        <f>1-AM2</f>
        <v>0.6</v>
      </c>
    </row>
    <row r="4" spans="2:42" s="48" customFormat="1" ht="18" customHeight="1" x14ac:dyDescent="0.55000000000000004">
      <c r="B4" s="417"/>
      <c r="C4" s="417"/>
      <c r="D4" s="419"/>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13"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498</v>
      </c>
      <c r="AP5" s="67" t="s">
        <v>499</v>
      </c>
    </row>
    <row r="6" spans="2:42" ht="15.75" customHeight="1" x14ac:dyDescent="0.45">
      <c r="B6" s="413"/>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13"/>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13"/>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500</v>
      </c>
      <c r="AP8" s="67" t="s">
        <v>64</v>
      </c>
    </row>
    <row r="9" spans="2:42" ht="15.75" customHeight="1" x14ac:dyDescent="0.45">
      <c r="B9" s="413"/>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13"/>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501</v>
      </c>
      <c r="AP10" s="67" t="s">
        <v>69</v>
      </c>
    </row>
    <row r="11" spans="2:42" ht="15.75" customHeight="1" x14ac:dyDescent="0.45">
      <c r="B11" s="413"/>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502</v>
      </c>
      <c r="AP11" s="67" t="s">
        <v>71</v>
      </c>
    </row>
    <row r="12" spans="2:42" ht="15.75" customHeight="1" x14ac:dyDescent="0.45">
      <c r="B12" s="413"/>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13"/>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503</v>
      </c>
      <c r="AP13" s="67" t="s">
        <v>75</v>
      </c>
    </row>
    <row r="14" spans="2:42" ht="28.5" customHeight="1" x14ac:dyDescent="0.45">
      <c r="B14" s="413"/>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13"/>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504</v>
      </c>
    </row>
    <row r="16" spans="2:42" ht="28.5" customHeight="1" x14ac:dyDescent="0.45">
      <c r="B16" s="413"/>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13"/>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13"/>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13"/>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14"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14"/>
      <c r="C21" s="54">
        <v>17</v>
      </c>
      <c r="D21" s="70" t="s">
        <v>97</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Marianna</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Marianna</v>
      </c>
      <c r="AO21" s="67" t="s">
        <v>98</v>
      </c>
      <c r="AP21" s="67" t="s">
        <v>99</v>
      </c>
    </row>
    <row r="22" spans="2:42" x14ac:dyDescent="0.45">
      <c r="B22" s="414"/>
      <c r="C22" s="54">
        <v>18</v>
      </c>
      <c r="D22" s="69"/>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
      </c>
      <c r="AE22" s="60" t="str">
        <f t="shared" si="1"/>
        <v/>
      </c>
      <c r="AF22" s="60" t="str">
        <f t="shared" si="2"/>
        <v/>
      </c>
      <c r="AG22" s="61" t="str">
        <f t="shared" si="3"/>
        <v/>
      </c>
      <c r="AH22" s="62" t="str">
        <f t="shared" si="4"/>
        <v/>
      </c>
      <c r="AI22" s="61" t="str">
        <f t="shared" si="5"/>
        <v/>
      </c>
      <c r="AJ22" s="63" t="str">
        <f t="shared" si="6"/>
        <v/>
      </c>
      <c r="AK22" s="64" t="str">
        <f t="shared" si="7"/>
        <v/>
      </c>
      <c r="AN22" s="68" t="str">
        <f t="shared" si="8"/>
        <v/>
      </c>
      <c r="AO22" s="67"/>
      <c r="AP22" s="67"/>
    </row>
    <row r="23" spans="2:42" ht="15.75" customHeight="1" x14ac:dyDescent="0.45">
      <c r="B23" s="414"/>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14"/>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100</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15" t="s">
        <v>101</v>
      </c>
      <c r="C27" s="415"/>
      <c r="D27" s="415"/>
    </row>
    <row r="28" spans="2:42" x14ac:dyDescent="0.45">
      <c r="B28" s="416" t="s">
        <v>102</v>
      </c>
      <c r="C28" s="416"/>
      <c r="D28" s="416"/>
      <c r="E28" s="58" t="s">
        <v>54</v>
      </c>
      <c r="F28" s="58"/>
      <c r="G28" s="58"/>
    </row>
    <row r="29" spans="2:42" x14ac:dyDescent="0.45">
      <c r="B29" s="416" t="s">
        <v>103</v>
      </c>
      <c r="C29" s="416"/>
      <c r="D29" s="416"/>
      <c r="E29" s="58" t="s">
        <v>54</v>
      </c>
      <c r="F29" s="58"/>
      <c r="G29" s="58"/>
    </row>
    <row r="30" spans="2:42" x14ac:dyDescent="0.45">
      <c r="B30" s="416" t="s">
        <v>104</v>
      </c>
      <c r="C30" s="416"/>
      <c r="D30" s="416"/>
      <c r="E30" s="58"/>
      <c r="F30" s="58"/>
      <c r="G30" s="58" t="s">
        <v>54</v>
      </c>
    </row>
    <row r="31" spans="2:42" x14ac:dyDescent="0.45">
      <c r="B31" s="416" t="s">
        <v>105</v>
      </c>
      <c r="C31" s="416"/>
      <c r="D31" s="416"/>
      <c r="E31" s="58"/>
      <c r="F31" s="58" t="s">
        <v>54</v>
      </c>
      <c r="G31" s="58"/>
    </row>
    <row r="32" spans="2:42" x14ac:dyDescent="0.45">
      <c r="B32" s="416" t="s">
        <v>106</v>
      </c>
      <c r="C32" s="416"/>
      <c r="D32" s="416"/>
      <c r="E32" s="58"/>
      <c r="F32" s="58"/>
      <c r="G32" s="58" t="s">
        <v>54</v>
      </c>
    </row>
    <row r="33" spans="2:14" x14ac:dyDescent="0.45">
      <c r="B33" s="416" t="s">
        <v>107</v>
      </c>
      <c r="C33" s="416"/>
      <c r="D33" s="416"/>
      <c r="E33" s="58"/>
      <c r="F33" s="58"/>
      <c r="G33" s="58" t="s">
        <v>54</v>
      </c>
    </row>
    <row r="36" spans="2:14" ht="18" customHeight="1" x14ac:dyDescent="0.55000000000000004">
      <c r="B36" s="83" t="s">
        <v>108</v>
      </c>
    </row>
    <row r="37" spans="2:14" ht="15.75" customHeight="1" x14ac:dyDescent="0.5">
      <c r="C37" s="51" t="s">
        <v>109</v>
      </c>
      <c r="D37" s="51" t="s">
        <v>110</v>
      </c>
      <c r="E37" s="422" t="s">
        <v>111</v>
      </c>
      <c r="F37" s="422"/>
      <c r="G37" s="422"/>
      <c r="H37" s="422"/>
      <c r="I37" s="422"/>
      <c r="J37" s="422"/>
      <c r="K37" s="422"/>
      <c r="L37" s="422"/>
      <c r="M37" s="422"/>
      <c r="N37" s="422"/>
    </row>
    <row r="38" spans="2:14" ht="37.5" customHeight="1" x14ac:dyDescent="0.45">
      <c r="C38" s="84">
        <v>5</v>
      </c>
      <c r="D38" s="85" t="s">
        <v>112</v>
      </c>
      <c r="E38" s="421" t="s">
        <v>113</v>
      </c>
      <c r="F38" s="421"/>
      <c r="G38" s="421"/>
      <c r="H38" s="421"/>
      <c r="I38" s="421"/>
      <c r="J38" s="421"/>
      <c r="K38" s="421"/>
      <c r="L38" s="421"/>
      <c r="M38" s="421"/>
      <c r="N38" s="421"/>
    </row>
    <row r="39" spans="2:14" ht="45" customHeight="1" x14ac:dyDescent="0.45">
      <c r="C39" s="84">
        <v>4</v>
      </c>
      <c r="D39" s="85" t="s">
        <v>114</v>
      </c>
      <c r="E39" s="421" t="s">
        <v>115</v>
      </c>
      <c r="F39" s="421"/>
      <c r="G39" s="421"/>
      <c r="H39" s="421"/>
      <c r="I39" s="421"/>
      <c r="J39" s="421"/>
      <c r="K39" s="421"/>
      <c r="L39" s="421"/>
      <c r="M39" s="421"/>
      <c r="N39" s="421"/>
    </row>
    <row r="40" spans="2:14" ht="32.25" customHeight="1" x14ac:dyDescent="0.45">
      <c r="C40" s="86">
        <v>3</v>
      </c>
      <c r="D40" s="87" t="s">
        <v>116</v>
      </c>
      <c r="E40" s="423" t="s">
        <v>117</v>
      </c>
      <c r="F40" s="423"/>
      <c r="G40" s="423"/>
      <c r="H40" s="423"/>
      <c r="I40" s="423"/>
      <c r="J40" s="423"/>
      <c r="K40" s="423"/>
      <c r="L40" s="423"/>
      <c r="M40" s="423"/>
      <c r="N40" s="423"/>
    </row>
    <row r="41" spans="2:14" ht="39" customHeight="1" x14ac:dyDescent="0.45">
      <c r="C41" s="84">
        <v>2</v>
      </c>
      <c r="D41" s="85" t="s">
        <v>118</v>
      </c>
      <c r="E41" s="421" t="s">
        <v>119</v>
      </c>
      <c r="F41" s="421"/>
      <c r="G41" s="421"/>
      <c r="H41" s="421"/>
      <c r="I41" s="421"/>
      <c r="J41" s="421"/>
      <c r="K41" s="421"/>
      <c r="L41" s="421"/>
      <c r="M41" s="421"/>
      <c r="N41" s="421"/>
    </row>
    <row r="42" spans="2:14" ht="36" customHeight="1" x14ac:dyDescent="0.45">
      <c r="C42" s="84">
        <v>1</v>
      </c>
      <c r="D42" s="85" t="s">
        <v>120</v>
      </c>
      <c r="E42" s="421" t="s">
        <v>121</v>
      </c>
      <c r="F42" s="421"/>
      <c r="G42" s="421"/>
      <c r="H42" s="421"/>
      <c r="I42" s="421"/>
      <c r="J42" s="421"/>
      <c r="K42" s="421"/>
      <c r="L42" s="421"/>
      <c r="M42" s="421"/>
      <c r="N42" s="421"/>
    </row>
  </sheetData>
  <mergeCells count="30">
    <mergeCell ref="E42:N42"/>
    <mergeCell ref="E37:N37"/>
    <mergeCell ref="E38:N38"/>
    <mergeCell ref="E39:N39"/>
    <mergeCell ref="E40:N40"/>
    <mergeCell ref="E41:N41"/>
    <mergeCell ref="B29:D29"/>
    <mergeCell ref="B30:D30"/>
    <mergeCell ref="B31:D31"/>
    <mergeCell ref="B32:D32"/>
    <mergeCell ref="B33:D33"/>
    <mergeCell ref="B20:B24"/>
    <mergeCell ref="B27:D27"/>
    <mergeCell ref="B28:D28"/>
    <mergeCell ref="Q3:R3"/>
    <mergeCell ref="S3:T3"/>
    <mergeCell ref="B2:C4"/>
    <mergeCell ref="D2:P2"/>
    <mergeCell ref="D3:D4"/>
    <mergeCell ref="E3:F3"/>
    <mergeCell ref="G3:H3"/>
    <mergeCell ref="I3:J3"/>
    <mergeCell ref="K3:L3"/>
    <mergeCell ref="M3:N3"/>
    <mergeCell ref="O3:P3"/>
    <mergeCell ref="AA3:AB3"/>
    <mergeCell ref="B5:B19"/>
    <mergeCell ref="U3:V3"/>
    <mergeCell ref="W3:X3"/>
    <mergeCell ref="Y3:Z3"/>
  </mergeCells>
  <conditionalFormatting sqref="D25:D26 E26:E34 G26:G34 E57:E1048576 G57:G1048576">
    <cfRule type="containsText" dxfId="28" priority="16" operator="containsText" text="Left">
      <formula>NOT(ISERROR(SEARCH("Left",D25)))</formula>
    </cfRule>
  </conditionalFormatting>
  <conditionalFormatting sqref="E1 E26:E34 G26:G34 E57:E1048576 G57:G1048576 D25:D26">
    <cfRule type="containsText" dxfId="27" priority="15" operator="containsText" text="Right">
      <formula>NOT(ISERROR(SEARCH("Right",D1)))</formula>
    </cfRule>
  </conditionalFormatting>
  <conditionalFormatting sqref="E1:R1 Q2:R2 Q5:R25 E26:R26 E27:I33 E34:R34 B36:J42 E57:R1048576">
    <cfRule type="containsText" dxfId="26" priority="12" operator="containsText" text="No">
      <formula>NOT(ISERROR(SEARCH("No",B1)))</formula>
    </cfRule>
  </conditionalFormatting>
  <conditionalFormatting sqref="F31">
    <cfRule type="containsText" dxfId="25" priority="8" operator="containsText" text="Right">
      <formula>NOT(ISERROR(SEARCH("Right",F31)))</formula>
    </cfRule>
    <cfRule type="containsText" dxfId="24" priority="9" operator="containsText" text="Left">
      <formula>NOT(ISERROR(SEARCH("Left",F31)))</formula>
    </cfRule>
  </conditionalFormatting>
  <conditionalFormatting sqref="G1">
    <cfRule type="containsText" dxfId="23" priority="13" operator="containsText" text="Right">
      <formula>NOT(ISERROR(SEARCH("Right",G1)))</formula>
    </cfRule>
  </conditionalFormatting>
  <conditionalFormatting sqref="G30">
    <cfRule type="containsText" dxfId="22" priority="2" operator="containsText" text="Right">
      <formula>NOT(ISERROR(SEARCH("Right",G30)))</formula>
    </cfRule>
    <cfRule type="containsText" dxfId="21" priority="3" operator="containsText" text="Left">
      <formula>NOT(ISERROR(SEARCH("Left",G30)))</formula>
    </cfRule>
    <cfRule type="containsText" dxfId="20" priority="4" operator="containsText" text="CDM">
      <formula>NOT(ISERROR(SEARCH("CDM",G30)))</formula>
    </cfRule>
  </conditionalFormatting>
  <conditionalFormatting sqref="G32:G33">
    <cfRule type="containsText" dxfId="19" priority="5" operator="containsText" text="Right">
      <formula>NOT(ISERROR(SEARCH("Right",G32)))</formula>
    </cfRule>
    <cfRule type="containsText" dxfId="18" priority="6" operator="containsText" text="Left">
      <formula>NOT(ISERROR(SEARCH("Left",G32)))</formula>
    </cfRule>
    <cfRule type="containsText" dxfId="17" priority="7" operator="containsText" text="CDM">
      <formula>NOT(ISERROR(SEARCH("CDM",G32)))</formula>
    </cfRule>
  </conditionalFormatting>
  <conditionalFormatting sqref="Q1:R2 Q5:R25 H26:T26 F26:F34 H27:I33 H34:T34 B36:L42 F57:F1048576">
    <cfRule type="containsText" dxfId="16" priority="14" operator="containsText" text="CDM">
      <formula>NOT(ISERROR(SEARCH("CDM",B1)))</formula>
    </cfRule>
  </conditionalFormatting>
  <conditionalFormatting sqref="Q5:R25 E57:R1048576 E27:I33 E1:R1 Q2:R2 E26:R26 E34:R34 B36:J42">
    <cfRule type="containsText" dxfId="15" priority="11" operator="containsText" text="Yes">
      <formula>NOT(ISERROR(SEARCH("Yes",B1)))</formula>
    </cfRule>
  </conditionalFormatting>
  <conditionalFormatting sqref="Q5:T7 Q8:S8 Q9:T20 Q21:R21 Q22:T25 H57:T1048576">
    <cfRule type="containsText" dxfId="14"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P11" sqref="P11"/>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388" t="s">
        <v>122</v>
      </c>
      <c r="CQ1" s="388"/>
      <c r="CR1" s="388"/>
      <c r="CS1" s="388"/>
      <c r="CT1" s="388" t="s">
        <v>123</v>
      </c>
      <c r="CU1" s="388"/>
      <c r="CV1" s="388"/>
      <c r="CW1" s="388"/>
      <c r="CX1" s="388" t="s">
        <v>124</v>
      </c>
      <c r="CY1" s="388"/>
      <c r="CZ1" s="388"/>
      <c r="DA1" s="388"/>
      <c r="DB1" s="388" t="s">
        <v>125</v>
      </c>
      <c r="DC1" s="388"/>
      <c r="DD1" s="388"/>
      <c r="DE1" s="388"/>
      <c r="DF1" s="388" t="s">
        <v>126</v>
      </c>
      <c r="DG1" s="388"/>
      <c r="DH1" s="388"/>
      <c r="DI1" s="388"/>
      <c r="DJ1" s="388" t="s">
        <v>127</v>
      </c>
      <c r="DK1" s="388"/>
      <c r="DL1" s="388"/>
      <c r="DM1" s="388"/>
      <c r="DN1" s="388" t="s">
        <v>128</v>
      </c>
      <c r="DO1" s="388"/>
      <c r="DP1" s="388"/>
      <c r="DQ1" s="388"/>
      <c r="DR1" s="388" t="s">
        <v>129</v>
      </c>
      <c r="DS1" s="388"/>
      <c r="DT1" s="388"/>
      <c r="DU1" s="388"/>
      <c r="DV1" s="388" t="s">
        <v>130</v>
      </c>
      <c r="DW1" s="388"/>
      <c r="DX1" s="388"/>
      <c r="DY1" s="388"/>
      <c r="DZ1" s="388" t="s">
        <v>131</v>
      </c>
      <c r="EA1" s="388"/>
      <c r="EB1" s="388"/>
      <c r="EC1" s="388"/>
      <c r="ED1" s="388" t="s">
        <v>132</v>
      </c>
      <c r="EE1" s="388"/>
      <c r="EF1" s="388"/>
      <c r="EG1" s="388"/>
      <c r="EH1" s="388" t="s">
        <v>133</v>
      </c>
      <c r="EI1" s="388"/>
      <c r="EJ1" s="388"/>
      <c r="EK1" s="388"/>
      <c r="EL1" s="388" t="s">
        <v>134</v>
      </c>
      <c r="EM1" s="388"/>
      <c r="EN1" s="388"/>
      <c r="EO1" s="388"/>
      <c r="EP1" s="388" t="s">
        <v>135</v>
      </c>
      <c r="EQ1" s="388"/>
      <c r="ER1" s="388"/>
      <c r="ES1" s="388"/>
      <c r="ET1" s="388" t="s">
        <v>136</v>
      </c>
      <c r="EU1" s="388"/>
      <c r="EV1" s="388"/>
      <c r="EW1" s="388"/>
      <c r="EX1" s="388" t="s">
        <v>137</v>
      </c>
      <c r="EY1" s="388"/>
      <c r="EZ1" s="388"/>
      <c r="FA1" s="388"/>
      <c r="FB1" s="388" t="s">
        <v>138</v>
      </c>
      <c r="FC1" s="388"/>
      <c r="FD1" s="388"/>
      <c r="FE1" s="388"/>
      <c r="FF1" s="388" t="s">
        <v>139</v>
      </c>
      <c r="FG1" s="388"/>
      <c r="FH1" s="388"/>
      <c r="FI1" s="388"/>
      <c r="FJ1" s="388" t="s">
        <v>140</v>
      </c>
      <c r="FK1" s="388"/>
      <c r="FL1" s="388"/>
      <c r="FM1" s="388"/>
      <c r="FN1" s="388" t="s">
        <v>141</v>
      </c>
      <c r="FO1" s="388"/>
      <c r="FP1" s="388"/>
      <c r="FQ1" s="388"/>
      <c r="FR1" s="388" t="s">
        <v>142</v>
      </c>
      <c r="FS1" s="388"/>
      <c r="FT1" s="388"/>
      <c r="FU1" s="388"/>
      <c r="FV1" s="388" t="s">
        <v>143</v>
      </c>
      <c r="FW1" s="388"/>
      <c r="FX1" s="388"/>
      <c r="FY1" s="388"/>
      <c r="GA1" s="6" t="s">
        <v>144</v>
      </c>
      <c r="GB1" s="6" t="s">
        <v>40</v>
      </c>
      <c r="GC1" s="6" t="s">
        <v>145</v>
      </c>
      <c r="GD1" s="6" t="s">
        <v>146</v>
      </c>
      <c r="GE1" s="6" t="s">
        <v>147</v>
      </c>
      <c r="GF1" s="6" t="s">
        <v>148</v>
      </c>
      <c r="GG1" s="6" t="s">
        <v>149</v>
      </c>
      <c r="GH1" s="424" t="s">
        <v>150</v>
      </c>
      <c r="GI1" s="424"/>
      <c r="GJ1" s="424"/>
    </row>
    <row r="2" spans="2:201" ht="18" customHeight="1" x14ac:dyDescent="0.55000000000000004">
      <c r="B2" s="370" t="s">
        <v>151</v>
      </c>
      <c r="C2" s="370"/>
      <c r="D2" s="370"/>
      <c r="E2" s="388" t="s">
        <v>122</v>
      </c>
      <c r="F2" s="388"/>
      <c r="G2" s="388"/>
      <c r="H2" s="388"/>
      <c r="I2" s="388" t="s">
        <v>123</v>
      </c>
      <c r="J2" s="388"/>
      <c r="K2" s="388"/>
      <c r="L2" s="388"/>
      <c r="M2" s="388" t="s">
        <v>124</v>
      </c>
      <c r="N2" s="388"/>
      <c r="O2" s="388"/>
      <c r="P2" s="388"/>
      <c r="Q2" s="388" t="s">
        <v>125</v>
      </c>
      <c r="R2" s="388"/>
      <c r="S2" s="388"/>
      <c r="T2" s="388"/>
      <c r="U2" s="388" t="s">
        <v>126</v>
      </c>
      <c r="V2" s="388"/>
      <c r="W2" s="388"/>
      <c r="X2" s="388"/>
      <c r="Y2" s="388" t="s">
        <v>127</v>
      </c>
      <c r="Z2" s="388"/>
      <c r="AA2" s="388"/>
      <c r="AB2" s="388"/>
      <c r="AC2" s="388" t="s">
        <v>128</v>
      </c>
      <c r="AD2" s="388"/>
      <c r="AE2" s="388"/>
      <c r="AF2" s="388"/>
      <c r="AG2" s="388" t="s">
        <v>129</v>
      </c>
      <c r="AH2" s="388"/>
      <c r="AI2" s="388"/>
      <c r="AJ2" s="388"/>
      <c r="AK2" s="388" t="s">
        <v>130</v>
      </c>
      <c r="AL2" s="388"/>
      <c r="AM2" s="388"/>
      <c r="AN2" s="388"/>
      <c r="AO2" s="388" t="s">
        <v>131</v>
      </c>
      <c r="AP2" s="388"/>
      <c r="AQ2" s="388"/>
      <c r="AR2" s="388"/>
      <c r="AS2" s="388" t="s">
        <v>132</v>
      </c>
      <c r="AT2" s="388"/>
      <c r="AU2" s="388"/>
      <c r="AV2" s="388"/>
      <c r="AW2" s="388" t="s">
        <v>133</v>
      </c>
      <c r="AX2" s="388"/>
      <c r="AY2" s="388"/>
      <c r="AZ2" s="388"/>
      <c r="BA2" s="388" t="s">
        <v>134</v>
      </c>
      <c r="BB2" s="388"/>
      <c r="BC2" s="388"/>
      <c r="BD2" s="388"/>
      <c r="BE2" s="388" t="s">
        <v>135</v>
      </c>
      <c r="BF2" s="388"/>
      <c r="BG2" s="388"/>
      <c r="BH2" s="388"/>
      <c r="BI2" s="388" t="s">
        <v>136</v>
      </c>
      <c r="BJ2" s="388"/>
      <c r="BK2" s="388"/>
      <c r="BL2" s="388"/>
      <c r="BM2" s="388" t="s">
        <v>137</v>
      </c>
      <c r="BN2" s="388"/>
      <c r="BO2" s="388"/>
      <c r="BP2" s="388"/>
      <c r="BQ2" s="388" t="s">
        <v>138</v>
      </c>
      <c r="BR2" s="388"/>
      <c r="BS2" s="388"/>
      <c r="BT2" s="388"/>
      <c r="BU2" s="388" t="s">
        <v>139</v>
      </c>
      <c r="BV2" s="388"/>
      <c r="BW2" s="388"/>
      <c r="BX2" s="388"/>
      <c r="BY2" s="388" t="s">
        <v>140</v>
      </c>
      <c r="BZ2" s="388"/>
      <c r="CA2" s="388"/>
      <c r="CB2" s="388"/>
      <c r="CC2" s="388" t="s">
        <v>141</v>
      </c>
      <c r="CD2" s="388"/>
      <c r="CE2" s="388"/>
      <c r="CF2" s="388"/>
      <c r="CG2" s="388" t="s">
        <v>142</v>
      </c>
      <c r="CH2" s="388"/>
      <c r="CI2" s="388"/>
      <c r="CJ2" s="388"/>
      <c r="CK2" s="388" t="s">
        <v>143</v>
      </c>
      <c r="CL2" s="388"/>
      <c r="CM2" s="388"/>
      <c r="CN2" s="388"/>
      <c r="CP2" s="425">
        <f>IF('Match Day Reports'!$K45="","",'Match Day Reports'!$K45)</f>
        <v>46264</v>
      </c>
      <c r="CQ2" s="425"/>
      <c r="CR2" s="425"/>
      <c r="CS2" s="425"/>
      <c r="CT2" s="425" t="str">
        <f>IF('Match Day Reports'!$K46="","",'Match Day Reports'!$K46)</f>
        <v/>
      </c>
      <c r="CU2" s="425"/>
      <c r="CV2" s="425"/>
      <c r="CW2" s="425"/>
      <c r="CX2" s="425" t="str">
        <f>IF('Match Day Reports'!$K47="","",'Match Day Reports'!$K47)</f>
        <v/>
      </c>
      <c r="CY2" s="425"/>
      <c r="CZ2" s="425"/>
      <c r="DA2" s="425"/>
      <c r="DB2" s="425" t="str">
        <f>IF('Match Day Reports'!$K48="","",'Match Day Reports'!$K48)</f>
        <v/>
      </c>
      <c r="DC2" s="425"/>
      <c r="DD2" s="425"/>
      <c r="DE2" s="425"/>
      <c r="DF2" s="425" t="str">
        <f>IF('Match Day Reports'!$K49="","",'Match Day Reports'!$K49)</f>
        <v/>
      </c>
      <c r="DG2" s="425"/>
      <c r="DH2" s="425"/>
      <c r="DI2" s="425"/>
      <c r="DJ2" s="425" t="str">
        <f>IF('Match Day Reports'!$K50="","",'Match Day Reports'!$K50)</f>
        <v/>
      </c>
      <c r="DK2" s="425"/>
      <c r="DL2" s="425"/>
      <c r="DM2" s="425"/>
      <c r="DN2" s="425" t="str">
        <f>IF('Match Day Reports'!$K51="","",'Match Day Reports'!$K51)</f>
        <v/>
      </c>
      <c r="DO2" s="425"/>
      <c r="DP2" s="425"/>
      <c r="DQ2" s="425"/>
      <c r="DR2" s="425" t="str">
        <f>IF('Match Day Reports'!$K52="","",'Match Day Reports'!$K52)</f>
        <v/>
      </c>
      <c r="DS2" s="425"/>
      <c r="DT2" s="425"/>
      <c r="DU2" s="425"/>
      <c r="DV2" s="425" t="str">
        <f>IF('Match Day Reports'!$K53="","",'Match Day Reports'!$K53)</f>
        <v/>
      </c>
      <c r="DW2" s="425"/>
      <c r="DX2" s="425"/>
      <c r="DY2" s="425"/>
      <c r="DZ2" s="425" t="str">
        <f>IF('Match Day Reports'!$K54="","",'Match Day Reports'!$K54)</f>
        <v/>
      </c>
      <c r="EA2" s="425"/>
      <c r="EB2" s="425"/>
      <c r="EC2" s="425"/>
      <c r="ED2" s="425" t="str">
        <f>IF('Match Day Reports'!$K55="","",'Match Day Reports'!$K55)</f>
        <v/>
      </c>
      <c r="EE2" s="425"/>
      <c r="EF2" s="425"/>
      <c r="EG2" s="425"/>
      <c r="EH2" s="425" t="str">
        <f>IF('Match Day Reports'!$K56="","",'Match Day Reports'!$K56)</f>
        <v/>
      </c>
      <c r="EI2" s="425"/>
      <c r="EJ2" s="425"/>
      <c r="EK2" s="425"/>
      <c r="EL2" s="425" t="str">
        <f>IF('Match Day Reports'!$K57="","",'Match Day Reports'!$K57)</f>
        <v/>
      </c>
      <c r="EM2" s="425"/>
      <c r="EN2" s="425"/>
      <c r="EO2" s="425"/>
      <c r="EP2" s="425" t="str">
        <f>IF('Match Day Reports'!$K58="","",'Match Day Reports'!$K58)</f>
        <v/>
      </c>
      <c r="EQ2" s="425"/>
      <c r="ER2" s="425"/>
      <c r="ES2" s="425"/>
      <c r="ET2" s="425" t="str">
        <f>IF('Match Day Reports'!$K59="","",'Match Day Reports'!$K59)</f>
        <v/>
      </c>
      <c r="EU2" s="425"/>
      <c r="EV2" s="425"/>
      <c r="EW2" s="425"/>
      <c r="EX2" s="425" t="str">
        <f>IF('Match Day Reports'!$K60="","",'Match Day Reports'!$K60)</f>
        <v/>
      </c>
      <c r="EY2" s="425"/>
      <c r="EZ2" s="425"/>
      <c r="FA2" s="425"/>
      <c r="FB2" s="425" t="str">
        <f>IF('Match Day Reports'!$K61="","",'Match Day Reports'!$K61)</f>
        <v/>
      </c>
      <c r="FC2" s="425"/>
      <c r="FD2" s="425"/>
      <c r="FE2" s="425"/>
      <c r="FF2" s="425" t="str">
        <f>IF('Match Day Reports'!$K62="","",'Match Day Reports'!$K62)</f>
        <v/>
      </c>
      <c r="FG2" s="425"/>
      <c r="FH2" s="425"/>
      <c r="FI2" s="425"/>
      <c r="FJ2" s="425" t="str">
        <f>IF('Match Day Reports'!$K63="","",'Match Day Reports'!$K63)</f>
        <v/>
      </c>
      <c r="FK2" s="425"/>
      <c r="FL2" s="425"/>
      <c r="FM2" s="425"/>
      <c r="FN2" s="425" t="str">
        <f>IF('Match Day Reports'!$K64="","",'Match Day Reports'!$K64)</f>
        <v/>
      </c>
      <c r="FO2" s="425"/>
      <c r="FP2" s="425"/>
      <c r="FQ2" s="425"/>
      <c r="FR2" s="425" t="str">
        <f>IF('Match Day Reports'!$K65="","",'Match Day Reports'!$K65)</f>
        <v/>
      </c>
      <c r="FS2" s="425"/>
      <c r="FT2" s="425"/>
      <c r="FU2" s="425"/>
      <c r="FV2" s="425" t="str">
        <f>IF('Match Day Reports'!$K66="","",'Match Day Reports'!$K66)</f>
        <v/>
      </c>
      <c r="FW2" s="425"/>
      <c r="FX2" s="425"/>
      <c r="FY2" s="425"/>
      <c r="GA2" s="88">
        <v>0.25</v>
      </c>
      <c r="GB2" s="88">
        <v>0.35</v>
      </c>
      <c r="GC2" s="88">
        <v>0.15</v>
      </c>
      <c r="GD2" s="88">
        <v>0.25</v>
      </c>
      <c r="GE2" s="89">
        <f>SUM(GA2:GD2)</f>
        <v>1</v>
      </c>
      <c r="GF2" s="89">
        <f>GA2+GB2</f>
        <v>0.6</v>
      </c>
      <c r="GG2" s="89">
        <f>GC2+GD2</f>
        <v>0.4</v>
      </c>
      <c r="GH2" s="426" t="str">
        <f>IF(ROUND(GE2,4)&lt;&gt;1,"WARNING: weights total "&amp;TEXT(GE2,"0.0%")&amp;" — must equal 100%","OK — weights total 100%")</f>
        <v>OK — weights total 100%</v>
      </c>
      <c r="GI2" s="426"/>
      <c r="GJ2" s="426"/>
    </row>
    <row r="3" spans="2:201" x14ac:dyDescent="0.45">
      <c r="B3" s="371" t="s">
        <v>152</v>
      </c>
      <c r="C3" s="371"/>
      <c r="D3" s="371"/>
      <c r="E3" s="427">
        <v>46259</v>
      </c>
      <c r="F3" s="427"/>
      <c r="G3" s="427"/>
      <c r="H3" s="427"/>
      <c r="I3" s="427"/>
      <c r="J3" s="427"/>
      <c r="K3" s="427"/>
      <c r="L3" s="427"/>
      <c r="M3" s="427"/>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T3" s="427"/>
      <c r="AU3" s="427"/>
      <c r="AV3" s="427"/>
      <c r="AW3" s="427"/>
      <c r="AX3" s="427"/>
      <c r="AY3" s="427"/>
      <c r="AZ3" s="427"/>
      <c r="BA3" s="427"/>
      <c r="BB3" s="427"/>
      <c r="BC3" s="427"/>
      <c r="BD3" s="427"/>
      <c r="BE3" s="427"/>
      <c r="BF3" s="427"/>
      <c r="BG3" s="427"/>
      <c r="BH3" s="427"/>
      <c r="BI3" s="427"/>
      <c r="BJ3" s="427"/>
      <c r="BK3" s="427"/>
      <c r="BL3" s="427"/>
      <c r="BM3" s="427"/>
      <c r="BN3" s="427"/>
      <c r="BO3" s="427"/>
      <c r="BP3" s="427"/>
      <c r="BQ3" s="427"/>
      <c r="BR3" s="427"/>
      <c r="BS3" s="427"/>
      <c r="BT3" s="427"/>
      <c r="BU3" s="427"/>
      <c r="BV3" s="427"/>
      <c r="BW3" s="427"/>
      <c r="BX3" s="427"/>
      <c r="BY3" s="427"/>
      <c r="BZ3" s="427"/>
      <c r="CA3" s="427"/>
      <c r="CB3" s="427"/>
      <c r="CC3" s="427"/>
      <c r="CD3" s="427"/>
      <c r="CE3" s="427"/>
      <c r="CF3" s="427"/>
      <c r="CG3" s="427"/>
      <c r="CH3" s="427"/>
      <c r="CI3" s="427"/>
      <c r="CJ3" s="427"/>
      <c r="CK3" s="427"/>
      <c r="CL3" s="427"/>
      <c r="CM3" s="427"/>
      <c r="CN3" s="427"/>
      <c r="CP3" s="428" t="str">
        <f>IF('Match Day Reports'!$L45="","",'Match Day Reports'!$L45)</f>
        <v>Enniskerry FC</v>
      </c>
      <c r="CQ3" s="428"/>
      <c r="CR3" s="428"/>
      <c r="CS3" s="90" t="str">
        <f>IF('Match Day Reports'!$M45="","",'Match Day Reports'!$M45)</f>
        <v>H</v>
      </c>
      <c r="CT3" s="428" t="str">
        <f>IF('Match Day Reports'!$L46="","",'Match Day Reports'!$L46)</f>
        <v/>
      </c>
      <c r="CU3" s="428"/>
      <c r="CV3" s="428"/>
      <c r="CW3" s="90" t="str">
        <f>IF('Match Day Reports'!$M46="","",'Match Day Reports'!$M46)</f>
        <v/>
      </c>
      <c r="CX3" s="428" t="str">
        <f>IF('Match Day Reports'!$L47="","",'Match Day Reports'!$L47)</f>
        <v/>
      </c>
      <c r="CY3" s="428"/>
      <c r="CZ3" s="428"/>
      <c r="DA3" s="90" t="str">
        <f>IF('Match Day Reports'!$M47="","",'Match Day Reports'!$M47)</f>
        <v/>
      </c>
      <c r="DB3" s="428" t="str">
        <f>IF('Match Day Reports'!$L48="","",'Match Day Reports'!$L48)</f>
        <v/>
      </c>
      <c r="DC3" s="428"/>
      <c r="DD3" s="428"/>
      <c r="DE3" s="90" t="str">
        <f>IF('Match Day Reports'!$M48="","",'Match Day Reports'!$M48)</f>
        <v/>
      </c>
      <c r="DF3" s="428" t="str">
        <f>IF('Match Day Reports'!$L49="","",'Match Day Reports'!$L49)</f>
        <v/>
      </c>
      <c r="DG3" s="428"/>
      <c r="DH3" s="428"/>
      <c r="DI3" s="90" t="str">
        <f>IF('Match Day Reports'!$M49="","",'Match Day Reports'!$M49)</f>
        <v/>
      </c>
      <c r="DJ3" s="428" t="str">
        <f>IF('Match Day Reports'!$L50="","",'Match Day Reports'!$L50)</f>
        <v/>
      </c>
      <c r="DK3" s="428"/>
      <c r="DL3" s="428"/>
      <c r="DM3" s="90" t="str">
        <f>IF('Match Day Reports'!$M50="","",'Match Day Reports'!$M50)</f>
        <v/>
      </c>
      <c r="DN3" s="428" t="str">
        <f>IF('Match Day Reports'!$L51="","",'Match Day Reports'!$L51)</f>
        <v/>
      </c>
      <c r="DO3" s="428"/>
      <c r="DP3" s="428"/>
      <c r="DQ3" s="90" t="str">
        <f>IF('Match Day Reports'!$M51="","",'Match Day Reports'!$M51)</f>
        <v/>
      </c>
      <c r="DR3" s="428" t="str">
        <f>IF('Match Day Reports'!$L52="","",'Match Day Reports'!$L52)</f>
        <v/>
      </c>
      <c r="DS3" s="428"/>
      <c r="DT3" s="428"/>
      <c r="DU3" s="90" t="str">
        <f>IF('Match Day Reports'!$M52="","",'Match Day Reports'!$M52)</f>
        <v/>
      </c>
      <c r="DV3" s="428" t="str">
        <f>IF('Match Day Reports'!$L53="","",'Match Day Reports'!$L53)</f>
        <v/>
      </c>
      <c r="DW3" s="428"/>
      <c r="DX3" s="428"/>
      <c r="DY3" s="90" t="str">
        <f>IF('Match Day Reports'!$M53="","",'Match Day Reports'!$M53)</f>
        <v/>
      </c>
      <c r="DZ3" s="428" t="str">
        <f>IF('Match Day Reports'!$L54="","",'Match Day Reports'!$L54)</f>
        <v/>
      </c>
      <c r="EA3" s="428"/>
      <c r="EB3" s="428"/>
      <c r="EC3" s="90" t="str">
        <f>IF('Match Day Reports'!$M54="","",'Match Day Reports'!$M54)</f>
        <v/>
      </c>
      <c r="ED3" s="428" t="str">
        <f>IF('Match Day Reports'!$L55="","",'Match Day Reports'!$L55)</f>
        <v/>
      </c>
      <c r="EE3" s="428"/>
      <c r="EF3" s="428"/>
      <c r="EG3" s="90" t="str">
        <f>IF('Match Day Reports'!$M55="","",'Match Day Reports'!$M55)</f>
        <v/>
      </c>
      <c r="EH3" s="428" t="str">
        <f>IF('Match Day Reports'!$L56="","",'Match Day Reports'!$L56)</f>
        <v/>
      </c>
      <c r="EI3" s="428"/>
      <c r="EJ3" s="428"/>
      <c r="EK3" s="90" t="str">
        <f>IF('Match Day Reports'!$M56="","",'Match Day Reports'!$M56)</f>
        <v/>
      </c>
      <c r="EL3" s="428" t="str">
        <f>IF('Match Day Reports'!$L57="","",'Match Day Reports'!$L57)</f>
        <v/>
      </c>
      <c r="EM3" s="428"/>
      <c r="EN3" s="428"/>
      <c r="EO3" s="90" t="str">
        <f>IF('Match Day Reports'!$M57="","",'Match Day Reports'!$M57)</f>
        <v/>
      </c>
      <c r="EP3" s="428" t="str">
        <f>IF('Match Day Reports'!$L58="","",'Match Day Reports'!$L58)</f>
        <v/>
      </c>
      <c r="EQ3" s="428"/>
      <c r="ER3" s="428"/>
      <c r="ES3" s="90" t="str">
        <f>IF('Match Day Reports'!$M58="","",'Match Day Reports'!$M58)</f>
        <v/>
      </c>
      <c r="ET3" s="428" t="str">
        <f>IF('Match Day Reports'!$L59="","",'Match Day Reports'!$L59)</f>
        <v/>
      </c>
      <c r="EU3" s="428"/>
      <c r="EV3" s="428"/>
      <c r="EW3" s="90" t="str">
        <f>IF('Match Day Reports'!$M59="","",'Match Day Reports'!$M59)</f>
        <v/>
      </c>
      <c r="EX3" s="428" t="str">
        <f>IF('Match Day Reports'!$L60="","",'Match Day Reports'!$L60)</f>
        <v/>
      </c>
      <c r="EY3" s="428"/>
      <c r="EZ3" s="428"/>
      <c r="FA3" s="90" t="str">
        <f>IF('Match Day Reports'!$M60="","",'Match Day Reports'!$M60)</f>
        <v/>
      </c>
      <c r="FB3" s="428" t="str">
        <f>IF('Match Day Reports'!$L61="","",'Match Day Reports'!$L61)</f>
        <v/>
      </c>
      <c r="FC3" s="428"/>
      <c r="FD3" s="428"/>
      <c r="FE3" s="90" t="str">
        <f>IF('Match Day Reports'!$M61="","",'Match Day Reports'!$M61)</f>
        <v/>
      </c>
      <c r="FF3" s="428" t="str">
        <f>IF('Match Day Reports'!$L62="","",'Match Day Reports'!$L62)</f>
        <v/>
      </c>
      <c r="FG3" s="428"/>
      <c r="FH3" s="428"/>
      <c r="FI3" s="90" t="str">
        <f>IF('Match Day Reports'!$M62="","",'Match Day Reports'!$M62)</f>
        <v/>
      </c>
      <c r="FJ3" s="428" t="str">
        <f>IF('Match Day Reports'!$L63="","",'Match Day Reports'!$L63)</f>
        <v/>
      </c>
      <c r="FK3" s="428"/>
      <c r="FL3" s="428"/>
      <c r="FM3" s="90" t="str">
        <f>IF('Match Day Reports'!$M63="","",'Match Day Reports'!$M63)</f>
        <v/>
      </c>
      <c r="FN3" s="428" t="str">
        <f>IF('Match Day Reports'!$L64="","",'Match Day Reports'!$L64)</f>
        <v/>
      </c>
      <c r="FO3" s="428"/>
      <c r="FP3" s="428"/>
      <c r="FQ3" s="90" t="str">
        <f>IF('Match Day Reports'!$M64="","",'Match Day Reports'!$M64)</f>
        <v/>
      </c>
      <c r="FR3" s="428" t="str">
        <f>IF('Match Day Reports'!$L65="","",'Match Day Reports'!$L65)</f>
        <v/>
      </c>
      <c r="FS3" s="428"/>
      <c r="FT3" s="428"/>
      <c r="FU3" s="90" t="str">
        <f>IF('Match Day Reports'!$M65="","",'Match Day Reports'!$M65)</f>
        <v/>
      </c>
      <c r="FV3" s="428" t="str">
        <f>IF('Match Day Reports'!$L66="","",'Match Day Reports'!$L66)</f>
        <v/>
      </c>
      <c r="FW3" s="428"/>
      <c r="FX3" s="428"/>
      <c r="FY3" s="90" t="str">
        <f>IF('Match Day Reports'!$M66="","",'Match Day Reports'!$M66)</f>
        <v/>
      </c>
    </row>
    <row r="4" spans="2:201" ht="30" customHeight="1" x14ac:dyDescent="0.45">
      <c r="B4" s="91" t="s">
        <v>153</v>
      </c>
      <c r="C4" s="91" t="s">
        <v>154</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155</v>
      </c>
      <c r="CR4" s="93" t="s">
        <v>156</v>
      </c>
      <c r="CS4" s="93" t="s">
        <v>157</v>
      </c>
      <c r="CT4" s="93" t="s">
        <v>41</v>
      </c>
      <c r="CU4" s="93" t="s">
        <v>155</v>
      </c>
      <c r="CV4" s="93" t="s">
        <v>156</v>
      </c>
      <c r="CW4" s="93" t="s">
        <v>157</v>
      </c>
      <c r="CX4" s="93" t="s">
        <v>41</v>
      </c>
      <c r="CY4" s="93" t="s">
        <v>155</v>
      </c>
      <c r="CZ4" s="93" t="s">
        <v>156</v>
      </c>
      <c r="DA4" s="93" t="s">
        <v>157</v>
      </c>
      <c r="DB4" s="93" t="s">
        <v>41</v>
      </c>
      <c r="DC4" s="93" t="s">
        <v>155</v>
      </c>
      <c r="DD4" s="93" t="s">
        <v>156</v>
      </c>
      <c r="DE4" s="93" t="s">
        <v>157</v>
      </c>
      <c r="DF4" s="93" t="s">
        <v>41</v>
      </c>
      <c r="DG4" s="93" t="s">
        <v>155</v>
      </c>
      <c r="DH4" s="93" t="s">
        <v>156</v>
      </c>
      <c r="DI4" s="93" t="s">
        <v>157</v>
      </c>
      <c r="DJ4" s="93" t="s">
        <v>41</v>
      </c>
      <c r="DK4" s="93" t="s">
        <v>155</v>
      </c>
      <c r="DL4" s="93" t="s">
        <v>156</v>
      </c>
      <c r="DM4" s="93" t="s">
        <v>157</v>
      </c>
      <c r="DN4" s="93" t="s">
        <v>41</v>
      </c>
      <c r="DO4" s="93" t="s">
        <v>155</v>
      </c>
      <c r="DP4" s="93" t="s">
        <v>156</v>
      </c>
      <c r="DQ4" s="93" t="s">
        <v>157</v>
      </c>
      <c r="DR4" s="93" t="s">
        <v>41</v>
      </c>
      <c r="DS4" s="93" t="s">
        <v>155</v>
      </c>
      <c r="DT4" s="93" t="s">
        <v>156</v>
      </c>
      <c r="DU4" s="93" t="s">
        <v>157</v>
      </c>
      <c r="DV4" s="93" t="s">
        <v>41</v>
      </c>
      <c r="DW4" s="93" t="s">
        <v>155</v>
      </c>
      <c r="DX4" s="93" t="s">
        <v>156</v>
      </c>
      <c r="DY4" s="93" t="s">
        <v>157</v>
      </c>
      <c r="DZ4" s="93" t="s">
        <v>41</v>
      </c>
      <c r="EA4" s="93" t="s">
        <v>155</v>
      </c>
      <c r="EB4" s="93" t="s">
        <v>156</v>
      </c>
      <c r="EC4" s="93" t="s">
        <v>157</v>
      </c>
      <c r="ED4" s="93" t="s">
        <v>41</v>
      </c>
      <c r="EE4" s="93" t="s">
        <v>155</v>
      </c>
      <c r="EF4" s="93" t="s">
        <v>156</v>
      </c>
      <c r="EG4" s="93" t="s">
        <v>157</v>
      </c>
      <c r="EH4" s="93" t="s">
        <v>41</v>
      </c>
      <c r="EI4" s="93" t="s">
        <v>155</v>
      </c>
      <c r="EJ4" s="93" t="s">
        <v>156</v>
      </c>
      <c r="EK4" s="93" t="s">
        <v>157</v>
      </c>
      <c r="EL4" s="93" t="s">
        <v>41</v>
      </c>
      <c r="EM4" s="93" t="s">
        <v>155</v>
      </c>
      <c r="EN4" s="93" t="s">
        <v>156</v>
      </c>
      <c r="EO4" s="93" t="s">
        <v>157</v>
      </c>
      <c r="EP4" s="93" t="s">
        <v>41</v>
      </c>
      <c r="EQ4" s="93" t="s">
        <v>155</v>
      </c>
      <c r="ER4" s="93" t="s">
        <v>156</v>
      </c>
      <c r="ES4" s="93" t="s">
        <v>157</v>
      </c>
      <c r="ET4" s="93" t="s">
        <v>41</v>
      </c>
      <c r="EU4" s="93" t="s">
        <v>155</v>
      </c>
      <c r="EV4" s="93" t="s">
        <v>156</v>
      </c>
      <c r="EW4" s="93" t="s">
        <v>157</v>
      </c>
      <c r="EX4" s="93" t="s">
        <v>41</v>
      </c>
      <c r="EY4" s="93" t="s">
        <v>155</v>
      </c>
      <c r="EZ4" s="93" t="s">
        <v>156</v>
      </c>
      <c r="FA4" s="93" t="s">
        <v>157</v>
      </c>
      <c r="FB4" s="93" t="s">
        <v>41</v>
      </c>
      <c r="FC4" s="93" t="s">
        <v>155</v>
      </c>
      <c r="FD4" s="93" t="s">
        <v>156</v>
      </c>
      <c r="FE4" s="93" t="s">
        <v>157</v>
      </c>
      <c r="FF4" s="93" t="s">
        <v>41</v>
      </c>
      <c r="FG4" s="93" t="s">
        <v>155</v>
      </c>
      <c r="FH4" s="93" t="s">
        <v>156</v>
      </c>
      <c r="FI4" s="93" t="s">
        <v>157</v>
      </c>
      <c r="FJ4" s="93" t="s">
        <v>41</v>
      </c>
      <c r="FK4" s="93" t="s">
        <v>155</v>
      </c>
      <c r="FL4" s="93" t="s">
        <v>156</v>
      </c>
      <c r="FM4" s="93" t="s">
        <v>157</v>
      </c>
      <c r="FN4" s="93" t="s">
        <v>41</v>
      </c>
      <c r="FO4" s="93" t="s">
        <v>155</v>
      </c>
      <c r="FP4" s="93" t="s">
        <v>156</v>
      </c>
      <c r="FQ4" s="93" t="s">
        <v>157</v>
      </c>
      <c r="FR4" s="93" t="s">
        <v>41</v>
      </c>
      <c r="FS4" s="93" t="s">
        <v>155</v>
      </c>
      <c r="FT4" s="93" t="s">
        <v>156</v>
      </c>
      <c r="FU4" s="93" t="s">
        <v>157</v>
      </c>
      <c r="FV4" s="93" t="s">
        <v>41</v>
      </c>
      <c r="FW4" s="93" t="s">
        <v>155</v>
      </c>
      <c r="FX4" s="93" t="s">
        <v>156</v>
      </c>
      <c r="FY4" s="93" t="s">
        <v>157</v>
      </c>
      <c r="GA4" s="7" t="s">
        <v>43</v>
      </c>
      <c r="GB4" s="8" t="s">
        <v>12</v>
      </c>
      <c r="GC4" s="8" t="s">
        <v>158</v>
      </c>
      <c r="GD4" s="8" t="s">
        <v>4</v>
      </c>
      <c r="GE4" s="8" t="s">
        <v>159</v>
      </c>
      <c r="GF4" s="8" t="s">
        <v>160</v>
      </c>
      <c r="GG4" s="8" t="s">
        <v>161</v>
      </c>
      <c r="GH4" s="8" t="s">
        <v>162</v>
      </c>
      <c r="GI4" s="8" t="s">
        <v>163</v>
      </c>
      <c r="GJ4" s="8" t="s">
        <v>164</v>
      </c>
      <c r="GK4" s="8" t="s">
        <v>6</v>
      </c>
      <c r="GL4" s="8" t="s">
        <v>165</v>
      </c>
      <c r="GM4" s="8" t="s">
        <v>166</v>
      </c>
      <c r="GN4" s="94" t="s">
        <v>167</v>
      </c>
      <c r="GO4" s="8" t="s">
        <v>49</v>
      </c>
      <c r="GP4" s="8" t="s">
        <v>168</v>
      </c>
      <c r="GQ4" s="8" t="s">
        <v>169</v>
      </c>
      <c r="GR4" s="8" t="s">
        <v>50</v>
      </c>
      <c r="GS4" s="9" t="s">
        <v>51</v>
      </c>
    </row>
    <row r="5" spans="2:201" ht="14.25" customHeight="1" x14ac:dyDescent="0.45">
      <c r="B5" s="429" t="s">
        <v>52</v>
      </c>
      <c r="C5" s="95">
        <v>1</v>
      </c>
      <c r="D5" s="96" t="s">
        <v>53</v>
      </c>
      <c r="E5" s="97" t="s">
        <v>54</v>
      </c>
      <c r="F5" s="97">
        <v>3</v>
      </c>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97"/>
      <c r="CS5" s="97"/>
      <c r="CT5" s="97"/>
      <c r="CU5" s="97"/>
      <c r="CV5" s="97"/>
      <c r="CW5" s="97"/>
      <c r="CX5" s="97"/>
      <c r="CY5" s="97"/>
      <c r="CZ5" s="97"/>
      <c r="DA5" s="97"/>
      <c r="DB5" s="97"/>
      <c r="DC5" s="97"/>
      <c r="DD5" s="97"/>
      <c r="DE5" s="97"/>
      <c r="DF5" s="97"/>
      <c r="DG5" s="97"/>
      <c r="DH5" s="97"/>
      <c r="DI5" s="97"/>
      <c r="DJ5" s="97"/>
      <c r="DK5" s="97"/>
      <c r="DL5" s="97"/>
      <c r="DM5" s="97"/>
      <c r="DN5" s="97"/>
      <c r="DO5" s="97"/>
      <c r="DP5" s="97"/>
      <c r="DQ5" s="97"/>
      <c r="DR5" s="97"/>
      <c r="DS5" s="97"/>
      <c r="DT5" s="97"/>
      <c r="DU5" s="97"/>
      <c r="DV5" s="97"/>
      <c r="DW5" s="97"/>
      <c r="DX5" s="97"/>
      <c r="DY5" s="97"/>
      <c r="DZ5" s="97"/>
      <c r="EA5" s="97"/>
      <c r="EB5" s="97"/>
      <c r="EC5" s="97"/>
      <c r="ED5" s="97"/>
      <c r="EE5" s="97"/>
      <c r="EF5" s="97"/>
      <c r="EG5" s="97"/>
      <c r="EH5" s="97"/>
      <c r="EI5" s="97"/>
      <c r="EJ5" s="97"/>
      <c r="EK5" s="97"/>
      <c r="EL5" s="97"/>
      <c r="EM5" s="97"/>
      <c r="EN5" s="97"/>
      <c r="EO5" s="97"/>
      <c r="EP5" s="97"/>
      <c r="EQ5" s="97"/>
      <c r="ER5" s="97"/>
      <c r="ES5" s="97"/>
      <c r="ET5" s="97"/>
      <c r="EU5" s="97"/>
      <c r="EV5" s="97"/>
      <c r="EW5" s="97"/>
      <c r="EX5" s="97"/>
      <c r="EY5" s="97"/>
      <c r="EZ5" s="97"/>
      <c r="FA5" s="97"/>
      <c r="FB5" s="97"/>
      <c r="FC5" s="97"/>
      <c r="FD5" s="97"/>
      <c r="FE5" s="97"/>
      <c r="FF5" s="97"/>
      <c r="FG5" s="97"/>
      <c r="FH5" s="97"/>
      <c r="FI5" s="97"/>
      <c r="FJ5" s="97"/>
      <c r="FK5" s="97"/>
      <c r="FL5" s="97"/>
      <c r="FM5" s="97"/>
      <c r="FN5" s="97"/>
      <c r="FO5" s="97"/>
      <c r="FP5" s="97"/>
      <c r="FQ5" s="97"/>
      <c r="FR5" s="97"/>
      <c r="FS5" s="97"/>
      <c r="FT5" s="97"/>
      <c r="FU5" s="97"/>
      <c r="FV5" s="97"/>
      <c r="FW5" s="97"/>
      <c r="FX5" s="97"/>
      <c r="FY5" s="97"/>
      <c r="GA5" s="98">
        <f t="shared" ref="GA5:GA24" si="0">IF($D5="","",COUNTIFS($E$4:$CN$4,"Att",$E5:$CN5,"Yes"))</f>
        <v>1</v>
      </c>
      <c r="GB5" s="99">
        <f t="array" ref="GB5">IF($D5="","",SUMPRODUCT(($E$4:$CN$4="Att")*($E$3:$CN$3&lt;&gt;"")))</f>
        <v>1</v>
      </c>
      <c r="GC5" s="100">
        <f t="shared" ref="GC5:GC24" si="1">IF($D5="","",IF($GB5=0,"",$GA5/$GB5))</f>
        <v>1</v>
      </c>
      <c r="GD5" s="35">
        <f t="shared" ref="GD5:GD24" si="2">IF($D5="","",IF(COUNTIFS($E$4:$CN$4,"WR",$E5:$CN5,"&gt;0")=0,"",SUMIF($E$4:$CN$4,"WR",$E5:$CN5)/COUNTIFS($E$4:$CN$4,"WR",$E5:$CN5,"&gt;0")))</f>
        <v>3</v>
      </c>
      <c r="GE5" s="100">
        <f t="shared" ref="GE5:GE24" si="3">IF($D5="","",IF($GD5="","",$GD5/5))</f>
        <v>0.6</v>
      </c>
      <c r="GF5" s="99">
        <f t="array" ref="GF5">IF($D5="","",SUMPRODUCT(($CP$4:$FY$4="Att")*($CP$2:$FY$2&lt;&gt;"")*($CP5:$FY5&lt;&gt;"N-A")*($CP5:$FY5&lt;&gt;"")))</f>
        <v>0</v>
      </c>
      <c r="GG5" s="99">
        <f t="shared" ref="GG5:GG24" si="4">IF($D5="","",COUNTIFS($CP$4:$FY$4,"Att",$CP5:$FY5,"Yes"))</f>
        <v>0</v>
      </c>
      <c r="GH5" s="100" t="str">
        <f t="shared" ref="GH5:GH24" si="5">IF($D5="","",IF($GF5=0,"",$GG5/$GF5))</f>
        <v/>
      </c>
      <c r="GI5" s="99">
        <f t="shared" ref="GI5:GI24" si="6">IF($D5="","",SUMIF($CP$4:$FY$4,"Mins",$CP5:$FY5))</f>
        <v>0</v>
      </c>
      <c r="GJ5" s="35" t="str">
        <f t="shared" ref="GJ5:GJ24" si="7">IF($D5="","",IF($GG5=0,"",$GI5/$GG5))</f>
        <v/>
      </c>
      <c r="GK5" s="35" t="str">
        <f t="shared" ref="GK5:GK24" si="8">IF($D5="","",IF(COUNTIFS($CP$4:$FY$4,"Rating",$CP5:$FY5,"&gt;0")=0,"",SUMIF($CP$4:$FY$4,"Rating",$CP5:$FY5)/COUNTIFS($CP$4:$FY$4,"Rating",$CP5:$FY5,"&gt;0")))</f>
        <v/>
      </c>
      <c r="GL5" s="100" t="str">
        <f t="shared" ref="GL5:GL24" si="9">IF($D5="","",IF($GK5="","",$GK5/10))</f>
        <v/>
      </c>
      <c r="GM5" s="99">
        <f t="shared" ref="GM5:GM24" si="10">IF($D5="","",COUNTIFS($CP$4:$FY$4,"MOTM",$CP5:$FY5,"Yes"))</f>
        <v>0</v>
      </c>
      <c r="GN5" s="101">
        <f t="shared" ref="GN5:GN24" si="11">IF($D5="","",IF($GG5=0,(N($GC5)*$GA$2+N($GE5)*$GB$2)/MAX(0.0001,$GA$2+$GB$2),N($GC5)*$GA$2+N($GE5)*$GB$2+N($GH5)*$GC$2+N($GL5)*$GD$2))</f>
        <v>0.76666666666666661</v>
      </c>
      <c r="GO5" s="102" t="str">
        <f t="shared" ref="GO5:GO24" si="12">IF($D5="","",$D5)</f>
        <v>Aoife Kennan</v>
      </c>
      <c r="GP5" s="103"/>
      <c r="GQ5" s="103"/>
      <c r="GR5" s="103"/>
      <c r="GS5" s="104"/>
    </row>
    <row r="6" spans="2:201" x14ac:dyDescent="0.45">
      <c r="B6" s="429"/>
      <c r="C6" s="60">
        <v>2</v>
      </c>
      <c r="D6" s="105" t="s">
        <v>57</v>
      </c>
      <c r="E6" s="97" t="s">
        <v>54</v>
      </c>
      <c r="F6" s="97">
        <v>3</v>
      </c>
      <c r="G6" s="97"/>
      <c r="H6" s="97"/>
      <c r="I6" s="97"/>
      <c r="J6" s="97"/>
      <c r="K6" s="97"/>
      <c r="L6" s="97"/>
      <c r="M6" s="97"/>
      <c r="N6" s="97"/>
      <c r="O6" s="97"/>
      <c r="P6" s="97"/>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97"/>
      <c r="CS6" s="97"/>
      <c r="CT6" s="97"/>
      <c r="CU6" s="97"/>
      <c r="CV6" s="97"/>
      <c r="CW6" s="97"/>
      <c r="CX6" s="97"/>
      <c r="CY6" s="97"/>
      <c r="CZ6" s="97"/>
      <c r="DA6" s="97"/>
      <c r="DB6" s="97"/>
      <c r="DC6" s="97"/>
      <c r="DD6" s="97"/>
      <c r="DE6" s="97"/>
      <c r="DF6" s="97"/>
      <c r="DG6" s="97"/>
      <c r="DH6" s="97"/>
      <c r="DI6" s="97"/>
      <c r="DJ6" s="97"/>
      <c r="DK6" s="97"/>
      <c r="DL6" s="97"/>
      <c r="DM6" s="97"/>
      <c r="DN6" s="97"/>
      <c r="DO6" s="97"/>
      <c r="DP6" s="97"/>
      <c r="DQ6" s="97"/>
      <c r="DR6" s="97"/>
      <c r="DS6" s="97"/>
      <c r="DT6" s="97"/>
      <c r="DU6" s="97"/>
      <c r="DV6" s="97"/>
      <c r="DW6" s="97"/>
      <c r="DX6" s="97"/>
      <c r="DY6" s="97"/>
      <c r="DZ6" s="97"/>
      <c r="EA6" s="97"/>
      <c r="EB6" s="97"/>
      <c r="EC6" s="97"/>
      <c r="ED6" s="97"/>
      <c r="EE6" s="97"/>
      <c r="EF6" s="97"/>
      <c r="EG6" s="97"/>
      <c r="EH6" s="97"/>
      <c r="EI6" s="97"/>
      <c r="EJ6" s="97"/>
      <c r="EK6" s="97"/>
      <c r="EL6" s="97"/>
      <c r="EM6" s="97"/>
      <c r="EN6" s="97"/>
      <c r="EO6" s="97"/>
      <c r="EP6" s="97"/>
      <c r="EQ6" s="97"/>
      <c r="ER6" s="97"/>
      <c r="ES6" s="97"/>
      <c r="ET6" s="97"/>
      <c r="EU6" s="97"/>
      <c r="EV6" s="97"/>
      <c r="EW6" s="97"/>
      <c r="EX6" s="97"/>
      <c r="EY6" s="97"/>
      <c r="EZ6" s="97"/>
      <c r="FA6" s="97"/>
      <c r="FB6" s="97"/>
      <c r="FC6" s="97"/>
      <c r="FD6" s="97"/>
      <c r="FE6" s="97"/>
      <c r="FF6" s="97"/>
      <c r="FG6" s="97"/>
      <c r="FH6" s="97"/>
      <c r="FI6" s="97"/>
      <c r="FJ6" s="97"/>
      <c r="FK6" s="97"/>
      <c r="FL6" s="97"/>
      <c r="FM6" s="97"/>
      <c r="FN6" s="97"/>
      <c r="FO6" s="97"/>
      <c r="FP6" s="97"/>
      <c r="FQ6" s="97"/>
      <c r="FR6" s="97"/>
      <c r="FS6" s="97"/>
      <c r="FT6" s="97"/>
      <c r="FU6" s="97"/>
      <c r="FV6" s="97"/>
      <c r="FW6" s="97"/>
      <c r="FX6" s="97"/>
      <c r="FY6" s="97"/>
      <c r="GA6" s="106">
        <f t="shared" si="0"/>
        <v>1</v>
      </c>
      <c r="GB6" s="107">
        <f t="array" ref="GB6">IF($D6="","",SUMPRODUCT(($E$4:$CN$4="Att")*($E$3:$CN$3&lt;&gt;"")))</f>
        <v>1</v>
      </c>
      <c r="GC6" s="108">
        <f t="shared" si="1"/>
        <v>1</v>
      </c>
      <c r="GD6" s="109">
        <f t="shared" si="2"/>
        <v>3</v>
      </c>
      <c r="GE6" s="108">
        <f t="shared" si="3"/>
        <v>0.6</v>
      </c>
      <c r="GF6" s="107">
        <f t="array" ref="GF6">IF($D6="","",SUMPRODUCT(($CP$4:$FY$4="Att")*($CP$2:$FY$2&lt;&gt;"")*($CP6:$FY6&lt;&gt;"N-A")*($CP6:$FY6&lt;&gt;"")))</f>
        <v>0</v>
      </c>
      <c r="GG6" s="107">
        <f t="shared" si="4"/>
        <v>0</v>
      </c>
      <c r="GH6" s="108" t="str">
        <f t="shared" si="5"/>
        <v/>
      </c>
      <c r="GI6" s="107">
        <f t="shared" si="6"/>
        <v>0</v>
      </c>
      <c r="GJ6" s="109" t="str">
        <f t="shared" si="7"/>
        <v/>
      </c>
      <c r="GK6" s="109" t="str">
        <f t="shared" si="8"/>
        <v/>
      </c>
      <c r="GL6" s="108" t="str">
        <f t="shared" si="9"/>
        <v/>
      </c>
      <c r="GM6" s="107">
        <f t="shared" si="10"/>
        <v>0</v>
      </c>
      <c r="GN6" s="110">
        <f t="shared" si="11"/>
        <v>0.76666666666666661</v>
      </c>
      <c r="GO6" s="111" t="str">
        <f t="shared" si="12"/>
        <v>Stella McEvoy</v>
      </c>
      <c r="GP6" s="103"/>
      <c r="GQ6" s="103"/>
      <c r="GR6" s="103"/>
      <c r="GS6" s="104"/>
    </row>
    <row r="7" spans="2:201" x14ac:dyDescent="0.45">
      <c r="B7" s="429"/>
      <c r="C7" s="60">
        <v>3</v>
      </c>
      <c r="D7" s="105" t="s">
        <v>60</v>
      </c>
      <c r="E7" s="97" t="s">
        <v>55</v>
      </c>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c r="EU7" s="97"/>
      <c r="EV7" s="97"/>
      <c r="EW7" s="97"/>
      <c r="EX7" s="97"/>
      <c r="EY7" s="97"/>
      <c r="EZ7" s="97"/>
      <c r="FA7" s="97"/>
      <c r="FB7" s="97"/>
      <c r="FC7" s="97"/>
      <c r="FD7" s="97"/>
      <c r="FE7" s="97"/>
      <c r="FF7" s="97"/>
      <c r="FG7" s="97"/>
      <c r="FH7" s="97"/>
      <c r="FI7" s="97"/>
      <c r="FJ7" s="97"/>
      <c r="FK7" s="97"/>
      <c r="FL7" s="97"/>
      <c r="FM7" s="97"/>
      <c r="FN7" s="97"/>
      <c r="FO7" s="97"/>
      <c r="FP7" s="97"/>
      <c r="FQ7" s="97"/>
      <c r="FR7" s="97"/>
      <c r="FS7" s="97"/>
      <c r="FT7" s="97"/>
      <c r="FU7" s="97"/>
      <c r="FV7" s="97"/>
      <c r="FW7" s="97"/>
      <c r="FX7" s="97"/>
      <c r="FY7" s="97"/>
      <c r="GA7" s="98">
        <f t="shared" si="0"/>
        <v>0</v>
      </c>
      <c r="GB7" s="99">
        <f t="array" ref="GB7">IF($D7="","",SUMPRODUCT(($E$4:$CN$4="Att")*($E$3:$CN$3&lt;&gt;"")))</f>
        <v>1</v>
      </c>
      <c r="GC7" s="100">
        <f t="shared" si="1"/>
        <v>0</v>
      </c>
      <c r="GD7" s="35" t="str">
        <f t="shared" si="2"/>
        <v/>
      </c>
      <c r="GE7" s="100" t="str">
        <f t="shared" si="3"/>
        <v/>
      </c>
      <c r="GF7" s="99">
        <f t="array" ref="GF7">IF($D7="","",SUMPRODUCT(($CP$4:$FY$4="Att")*($CP$2:$FY$2&lt;&gt;"")*($CP7:$FY7&lt;&gt;"N-A")*($CP7:$FY7&lt;&gt;"")))</f>
        <v>0</v>
      </c>
      <c r="GG7" s="99">
        <f t="shared" si="4"/>
        <v>0</v>
      </c>
      <c r="GH7" s="100" t="str">
        <f t="shared" si="5"/>
        <v/>
      </c>
      <c r="GI7" s="99">
        <f t="shared" si="6"/>
        <v>0</v>
      </c>
      <c r="GJ7" s="35" t="str">
        <f t="shared" si="7"/>
        <v/>
      </c>
      <c r="GK7" s="35" t="str">
        <f t="shared" si="8"/>
        <v/>
      </c>
      <c r="GL7" s="100" t="str">
        <f t="shared" si="9"/>
        <v/>
      </c>
      <c r="GM7" s="99">
        <f t="shared" si="10"/>
        <v>0</v>
      </c>
      <c r="GN7" s="101">
        <f t="shared" si="11"/>
        <v>0</v>
      </c>
      <c r="GO7" s="102" t="str">
        <f t="shared" si="12"/>
        <v>Zara Power</v>
      </c>
      <c r="GP7" s="103"/>
      <c r="GQ7" s="103"/>
      <c r="GR7" s="103"/>
      <c r="GS7" s="104"/>
    </row>
    <row r="8" spans="2:201" x14ac:dyDescent="0.45">
      <c r="B8" s="429"/>
      <c r="C8" s="60">
        <v>4</v>
      </c>
      <c r="D8" s="105" t="s">
        <v>63</v>
      </c>
      <c r="E8" s="97" t="s">
        <v>55</v>
      </c>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c r="EU8" s="97"/>
      <c r="EV8" s="97"/>
      <c r="EW8" s="97"/>
      <c r="EX8" s="97"/>
      <c r="EY8" s="97"/>
      <c r="EZ8" s="97"/>
      <c r="FA8" s="97"/>
      <c r="FB8" s="97"/>
      <c r="FC8" s="97"/>
      <c r="FD8" s="97"/>
      <c r="FE8" s="97"/>
      <c r="FF8" s="97"/>
      <c r="FG8" s="97"/>
      <c r="FH8" s="97"/>
      <c r="FI8" s="97"/>
      <c r="FJ8" s="97"/>
      <c r="FK8" s="97"/>
      <c r="FL8" s="97"/>
      <c r="FM8" s="97"/>
      <c r="FN8" s="97"/>
      <c r="FO8" s="97"/>
      <c r="FP8" s="97"/>
      <c r="FQ8" s="97"/>
      <c r="FR8" s="97"/>
      <c r="FS8" s="97"/>
      <c r="FT8" s="97"/>
      <c r="FU8" s="97"/>
      <c r="FV8" s="97"/>
      <c r="FW8" s="97"/>
      <c r="FX8" s="97"/>
      <c r="FY8" s="97"/>
      <c r="GA8" s="106">
        <f t="shared" si="0"/>
        <v>0</v>
      </c>
      <c r="GB8" s="107">
        <f t="array" ref="GB8">IF($D8="","",SUMPRODUCT(($E$4:$CN$4="Att")*($E$3:$CN$3&lt;&gt;"")))</f>
        <v>1</v>
      </c>
      <c r="GC8" s="108">
        <f t="shared" si="1"/>
        <v>0</v>
      </c>
      <c r="GD8" s="109" t="str">
        <f t="shared" si="2"/>
        <v/>
      </c>
      <c r="GE8" s="108" t="str">
        <f t="shared" si="3"/>
        <v/>
      </c>
      <c r="GF8" s="107">
        <f t="array" ref="GF8">IF($D8="","",SUMPRODUCT(($CP$4:$FY$4="Att")*($CP$2:$FY$2&lt;&gt;"")*($CP8:$FY8&lt;&gt;"N-A")*($CP8:$FY8&lt;&gt;"")))</f>
        <v>0</v>
      </c>
      <c r="GG8" s="107">
        <f t="shared" si="4"/>
        <v>0</v>
      </c>
      <c r="GH8" s="108" t="str">
        <f t="shared" si="5"/>
        <v/>
      </c>
      <c r="GI8" s="107">
        <f t="shared" si="6"/>
        <v>0</v>
      </c>
      <c r="GJ8" s="109" t="str">
        <f t="shared" si="7"/>
        <v/>
      </c>
      <c r="GK8" s="109" t="str">
        <f t="shared" si="8"/>
        <v/>
      </c>
      <c r="GL8" s="108" t="str">
        <f t="shared" si="9"/>
        <v/>
      </c>
      <c r="GM8" s="107">
        <f t="shared" si="10"/>
        <v>0</v>
      </c>
      <c r="GN8" s="110">
        <f t="shared" si="11"/>
        <v>0</v>
      </c>
      <c r="GO8" s="111" t="str">
        <f t="shared" si="12"/>
        <v>Heidi Cerubini Dunne</v>
      </c>
      <c r="GP8" s="103"/>
      <c r="GQ8" s="103"/>
      <c r="GR8" s="103"/>
      <c r="GS8" s="104"/>
    </row>
    <row r="9" spans="2:201" x14ac:dyDescent="0.45">
      <c r="B9" s="429"/>
      <c r="C9" s="60">
        <v>5</v>
      </c>
      <c r="D9" s="105" t="s">
        <v>65</v>
      </c>
      <c r="E9" s="97" t="s">
        <v>54</v>
      </c>
      <c r="F9" s="97">
        <v>3</v>
      </c>
      <c r="G9" s="97"/>
      <c r="H9" s="97"/>
      <c r="I9" s="97"/>
      <c r="J9" s="97"/>
      <c r="K9" s="97"/>
      <c r="L9" s="97"/>
      <c r="M9" s="97"/>
      <c r="N9" s="97"/>
      <c r="O9" s="97"/>
      <c r="P9" s="97"/>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c r="EU9" s="97"/>
      <c r="EV9" s="97"/>
      <c r="EW9" s="97"/>
      <c r="EX9" s="97"/>
      <c r="EY9" s="97"/>
      <c r="EZ9" s="97"/>
      <c r="FA9" s="97"/>
      <c r="FB9" s="97"/>
      <c r="FC9" s="97"/>
      <c r="FD9" s="97"/>
      <c r="FE9" s="97"/>
      <c r="FF9" s="97"/>
      <c r="FG9" s="97"/>
      <c r="FH9" s="97"/>
      <c r="FI9" s="97"/>
      <c r="FJ9" s="97"/>
      <c r="FK9" s="97"/>
      <c r="FL9" s="97"/>
      <c r="FM9" s="97"/>
      <c r="FN9" s="97"/>
      <c r="FO9" s="97"/>
      <c r="FP9" s="97"/>
      <c r="FQ9" s="97"/>
      <c r="FR9" s="97"/>
      <c r="FS9" s="97"/>
      <c r="FT9" s="97"/>
      <c r="FU9" s="97"/>
      <c r="FV9" s="97"/>
      <c r="FW9" s="97"/>
      <c r="FX9" s="97"/>
      <c r="FY9" s="97"/>
      <c r="GA9" s="98">
        <f t="shared" si="0"/>
        <v>1</v>
      </c>
      <c r="GB9" s="99">
        <f t="array" ref="GB9">IF($D9="","",SUMPRODUCT(($E$4:$CN$4="Att")*($E$3:$CN$3&lt;&gt;"")))</f>
        <v>1</v>
      </c>
      <c r="GC9" s="100">
        <f t="shared" si="1"/>
        <v>1</v>
      </c>
      <c r="GD9" s="35">
        <f t="shared" si="2"/>
        <v>3</v>
      </c>
      <c r="GE9" s="100">
        <f t="shared" si="3"/>
        <v>0.6</v>
      </c>
      <c r="GF9" s="99">
        <f t="array" ref="GF9">IF($D9="","",SUMPRODUCT(($CP$4:$FY$4="Att")*($CP$2:$FY$2&lt;&gt;"")*($CP9:$FY9&lt;&gt;"N-A")*($CP9:$FY9&lt;&gt;"")))</f>
        <v>0</v>
      </c>
      <c r="GG9" s="99">
        <f t="shared" si="4"/>
        <v>0</v>
      </c>
      <c r="GH9" s="100" t="str">
        <f t="shared" si="5"/>
        <v/>
      </c>
      <c r="GI9" s="99">
        <f t="shared" si="6"/>
        <v>0</v>
      </c>
      <c r="GJ9" s="35" t="str">
        <f t="shared" si="7"/>
        <v/>
      </c>
      <c r="GK9" s="35" t="str">
        <f t="shared" si="8"/>
        <v/>
      </c>
      <c r="GL9" s="100" t="str">
        <f t="shared" si="9"/>
        <v/>
      </c>
      <c r="GM9" s="99">
        <f t="shared" si="10"/>
        <v>0</v>
      </c>
      <c r="GN9" s="101">
        <f t="shared" si="11"/>
        <v>0.76666666666666661</v>
      </c>
      <c r="GO9" s="102" t="str">
        <f t="shared" si="12"/>
        <v>Roisin Offenhausen</v>
      </c>
      <c r="GP9" s="103"/>
      <c r="GQ9" s="103"/>
      <c r="GR9" s="103"/>
      <c r="GS9" s="104"/>
    </row>
    <row r="10" spans="2:201" x14ac:dyDescent="0.45">
      <c r="B10" s="429"/>
      <c r="C10" s="60">
        <v>6</v>
      </c>
      <c r="D10" s="105" t="s">
        <v>68</v>
      </c>
      <c r="E10" s="97" t="s">
        <v>54</v>
      </c>
      <c r="F10" s="97">
        <v>3</v>
      </c>
      <c r="G10" s="97"/>
      <c r="H10" s="97"/>
      <c r="I10" s="97"/>
      <c r="J10" s="97"/>
      <c r="K10" s="97"/>
      <c r="L10" s="97"/>
      <c r="M10" s="97"/>
      <c r="N10" s="97"/>
      <c r="O10" s="97"/>
      <c r="P10" s="97"/>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c r="EU10" s="97"/>
      <c r="EV10" s="97"/>
      <c r="EW10" s="97"/>
      <c r="EX10" s="97"/>
      <c r="EY10" s="97"/>
      <c r="EZ10" s="97"/>
      <c r="FA10" s="97"/>
      <c r="FB10" s="97"/>
      <c r="FC10" s="97"/>
      <c r="FD10" s="97"/>
      <c r="FE10" s="97"/>
      <c r="FF10" s="97"/>
      <c r="FG10" s="97"/>
      <c r="FH10" s="97"/>
      <c r="FI10" s="97"/>
      <c r="FJ10" s="97"/>
      <c r="FK10" s="97"/>
      <c r="FL10" s="97"/>
      <c r="FM10" s="97"/>
      <c r="FN10" s="97"/>
      <c r="FO10" s="97"/>
      <c r="FP10" s="97"/>
      <c r="FQ10" s="97"/>
      <c r="FR10" s="97"/>
      <c r="FS10" s="97"/>
      <c r="FT10" s="97"/>
      <c r="FU10" s="97"/>
      <c r="FV10" s="97"/>
      <c r="FW10" s="97"/>
      <c r="FX10" s="97"/>
      <c r="FY10" s="97"/>
      <c r="GA10" s="106">
        <f t="shared" si="0"/>
        <v>1</v>
      </c>
      <c r="GB10" s="107">
        <f t="array" ref="GB10">IF($D10="","",SUMPRODUCT(($E$4:$CN$4="Att")*($E$3:$CN$3&lt;&gt;"")))</f>
        <v>1</v>
      </c>
      <c r="GC10" s="108">
        <f t="shared" si="1"/>
        <v>1</v>
      </c>
      <c r="GD10" s="109">
        <f t="shared" si="2"/>
        <v>3</v>
      </c>
      <c r="GE10" s="108">
        <f t="shared" si="3"/>
        <v>0.6</v>
      </c>
      <c r="GF10" s="107">
        <f t="array" ref="GF10">IF($D10="","",SUMPRODUCT(($CP$4:$FY$4="Att")*($CP$2:$FY$2&lt;&gt;"")*($CP10:$FY10&lt;&gt;"N-A")*($CP10:$FY10&lt;&gt;"")))</f>
        <v>0</v>
      </c>
      <c r="GG10" s="107">
        <f t="shared" si="4"/>
        <v>0</v>
      </c>
      <c r="GH10" s="108" t="str">
        <f t="shared" si="5"/>
        <v/>
      </c>
      <c r="GI10" s="107">
        <f t="shared" si="6"/>
        <v>0</v>
      </c>
      <c r="GJ10" s="109" t="str">
        <f t="shared" si="7"/>
        <v/>
      </c>
      <c r="GK10" s="109" t="str">
        <f t="shared" si="8"/>
        <v/>
      </c>
      <c r="GL10" s="108" t="str">
        <f t="shared" si="9"/>
        <v/>
      </c>
      <c r="GM10" s="107">
        <f t="shared" si="10"/>
        <v>0</v>
      </c>
      <c r="GN10" s="110">
        <f t="shared" si="11"/>
        <v>0.76666666666666661</v>
      </c>
      <c r="GO10" s="111" t="str">
        <f t="shared" si="12"/>
        <v>Naomi Adewoyin</v>
      </c>
      <c r="GP10" s="103"/>
      <c r="GQ10" s="103"/>
      <c r="GR10" s="103"/>
      <c r="GS10" s="104"/>
    </row>
    <row r="11" spans="2:201" x14ac:dyDescent="0.45">
      <c r="B11" s="429"/>
      <c r="C11" s="60">
        <v>7</v>
      </c>
      <c r="D11" s="105" t="s">
        <v>70</v>
      </c>
      <c r="E11" s="97" t="s">
        <v>54</v>
      </c>
      <c r="F11" s="97">
        <v>3</v>
      </c>
      <c r="G11" s="97"/>
      <c r="H11" s="97"/>
      <c r="I11" s="97"/>
      <c r="J11" s="97"/>
      <c r="K11" s="97"/>
      <c r="L11" s="97"/>
      <c r="M11" s="97"/>
      <c r="N11" s="97"/>
      <c r="O11" s="97"/>
      <c r="P11" s="97"/>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c r="EU11" s="97"/>
      <c r="EV11" s="97"/>
      <c r="EW11" s="97"/>
      <c r="EX11" s="97"/>
      <c r="EY11" s="97"/>
      <c r="EZ11" s="97"/>
      <c r="FA11" s="97"/>
      <c r="FB11" s="97"/>
      <c r="FC11" s="97"/>
      <c r="FD11" s="97"/>
      <c r="FE11" s="97"/>
      <c r="FF11" s="97"/>
      <c r="FG11" s="97"/>
      <c r="FH11" s="97"/>
      <c r="FI11" s="97"/>
      <c r="FJ11" s="97"/>
      <c r="FK11" s="97"/>
      <c r="FL11" s="97"/>
      <c r="FM11" s="97"/>
      <c r="FN11" s="97"/>
      <c r="FO11" s="97"/>
      <c r="FP11" s="97"/>
      <c r="FQ11" s="97"/>
      <c r="FR11" s="97"/>
      <c r="FS11" s="97"/>
      <c r="FT11" s="97"/>
      <c r="FU11" s="97"/>
      <c r="FV11" s="97"/>
      <c r="FW11" s="97"/>
      <c r="FX11" s="97"/>
      <c r="FY11" s="97"/>
      <c r="GA11" s="98">
        <f t="shared" si="0"/>
        <v>1</v>
      </c>
      <c r="GB11" s="99">
        <f t="array" ref="GB11">IF($D11="","",SUMPRODUCT(($E$4:$CN$4="Att")*($E$3:$CN$3&lt;&gt;"")))</f>
        <v>1</v>
      </c>
      <c r="GC11" s="100">
        <f t="shared" si="1"/>
        <v>1</v>
      </c>
      <c r="GD11" s="35">
        <f t="shared" si="2"/>
        <v>3</v>
      </c>
      <c r="GE11" s="100">
        <f t="shared" si="3"/>
        <v>0.6</v>
      </c>
      <c r="GF11" s="99">
        <f t="array" ref="GF11">IF($D11="","",SUMPRODUCT(($CP$4:$FY$4="Att")*($CP$2:$FY$2&lt;&gt;"")*($CP11:$FY11&lt;&gt;"N-A")*($CP11:$FY11&lt;&gt;"")))</f>
        <v>0</v>
      </c>
      <c r="GG11" s="99">
        <f t="shared" si="4"/>
        <v>0</v>
      </c>
      <c r="GH11" s="100" t="str">
        <f t="shared" si="5"/>
        <v/>
      </c>
      <c r="GI11" s="99">
        <f t="shared" si="6"/>
        <v>0</v>
      </c>
      <c r="GJ11" s="35" t="str">
        <f t="shared" si="7"/>
        <v/>
      </c>
      <c r="GK11" s="35" t="str">
        <f t="shared" si="8"/>
        <v/>
      </c>
      <c r="GL11" s="100" t="str">
        <f t="shared" si="9"/>
        <v/>
      </c>
      <c r="GM11" s="99">
        <f t="shared" si="10"/>
        <v>0</v>
      </c>
      <c r="GN11" s="101">
        <f t="shared" si="11"/>
        <v>0.76666666666666661</v>
      </c>
      <c r="GO11" s="102" t="str">
        <f t="shared" si="12"/>
        <v>Amber Kilalee</v>
      </c>
      <c r="GP11" s="103"/>
      <c r="GQ11" s="103"/>
      <c r="GR11" s="103"/>
      <c r="GS11" s="104"/>
    </row>
    <row r="12" spans="2:201" x14ac:dyDescent="0.45">
      <c r="B12" s="429"/>
      <c r="C12" s="60">
        <v>8</v>
      </c>
      <c r="D12" s="105" t="s">
        <v>72</v>
      </c>
      <c r="E12" s="97" t="s">
        <v>54</v>
      </c>
      <c r="F12" s="97">
        <v>2</v>
      </c>
      <c r="G12" s="97"/>
      <c r="H12" s="97"/>
      <c r="I12" s="97"/>
      <c r="J12" s="97"/>
      <c r="K12" s="97"/>
      <c r="L12" s="97"/>
      <c r="M12" s="97"/>
      <c r="N12" s="97"/>
      <c r="O12" s="97"/>
      <c r="P12" s="97"/>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c r="EU12" s="97"/>
      <c r="EV12" s="97"/>
      <c r="EW12" s="97"/>
      <c r="EX12" s="97"/>
      <c r="EY12" s="97"/>
      <c r="EZ12" s="97"/>
      <c r="FA12" s="97"/>
      <c r="FB12" s="97"/>
      <c r="FC12" s="97"/>
      <c r="FD12" s="97"/>
      <c r="FE12" s="97"/>
      <c r="FF12" s="97"/>
      <c r="FG12" s="97"/>
      <c r="FH12" s="97"/>
      <c r="FI12" s="97"/>
      <c r="FJ12" s="97"/>
      <c r="FK12" s="97"/>
      <c r="FL12" s="97"/>
      <c r="FM12" s="97"/>
      <c r="FN12" s="97"/>
      <c r="FO12" s="97"/>
      <c r="FP12" s="97"/>
      <c r="FQ12" s="97"/>
      <c r="FR12" s="97"/>
      <c r="FS12" s="97"/>
      <c r="FT12" s="97"/>
      <c r="FU12" s="97"/>
      <c r="FV12" s="97"/>
      <c r="FW12" s="97"/>
      <c r="FX12" s="97"/>
      <c r="FY12" s="97"/>
      <c r="GA12" s="106">
        <f t="shared" si="0"/>
        <v>1</v>
      </c>
      <c r="GB12" s="107">
        <f t="array" ref="GB12">IF($D12="","",SUMPRODUCT(($E$4:$CN$4="Att")*($E$3:$CN$3&lt;&gt;"")))</f>
        <v>1</v>
      </c>
      <c r="GC12" s="108">
        <f t="shared" si="1"/>
        <v>1</v>
      </c>
      <c r="GD12" s="109">
        <f t="shared" si="2"/>
        <v>2</v>
      </c>
      <c r="GE12" s="108">
        <f t="shared" si="3"/>
        <v>0.4</v>
      </c>
      <c r="GF12" s="107">
        <f t="array" ref="GF12">IF($D12="","",SUMPRODUCT(($CP$4:$FY$4="Att")*($CP$2:$FY$2&lt;&gt;"")*($CP12:$FY12&lt;&gt;"N-A")*($CP12:$FY12&lt;&gt;"")))</f>
        <v>0</v>
      </c>
      <c r="GG12" s="107">
        <f t="shared" si="4"/>
        <v>0</v>
      </c>
      <c r="GH12" s="108" t="str">
        <f t="shared" si="5"/>
        <v/>
      </c>
      <c r="GI12" s="107">
        <f t="shared" si="6"/>
        <v>0</v>
      </c>
      <c r="GJ12" s="109" t="str">
        <f t="shared" si="7"/>
        <v/>
      </c>
      <c r="GK12" s="109" t="str">
        <f t="shared" si="8"/>
        <v/>
      </c>
      <c r="GL12" s="108" t="str">
        <f t="shared" si="9"/>
        <v/>
      </c>
      <c r="GM12" s="107">
        <f t="shared" si="10"/>
        <v>0</v>
      </c>
      <c r="GN12" s="110">
        <f t="shared" si="11"/>
        <v>0.65</v>
      </c>
      <c r="GO12" s="111" t="str">
        <f t="shared" si="12"/>
        <v>Shauna Kavanagh</v>
      </c>
      <c r="GP12" s="103"/>
      <c r="GQ12" s="103"/>
      <c r="GR12" s="103"/>
      <c r="GS12" s="104"/>
    </row>
    <row r="13" spans="2:201" x14ac:dyDescent="0.45">
      <c r="B13" s="429"/>
      <c r="C13" s="60">
        <v>9</v>
      </c>
      <c r="D13" s="105" t="s">
        <v>74</v>
      </c>
      <c r="E13" s="97" t="s">
        <v>54</v>
      </c>
      <c r="F13" s="97">
        <v>3</v>
      </c>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c r="EV13" s="97"/>
      <c r="EW13" s="97"/>
      <c r="EX13" s="97"/>
      <c r="EY13" s="97"/>
      <c r="EZ13" s="97"/>
      <c r="FA13" s="97"/>
      <c r="FB13" s="97"/>
      <c r="FC13" s="97"/>
      <c r="FD13" s="97"/>
      <c r="FE13" s="97"/>
      <c r="FF13" s="97"/>
      <c r="FG13" s="97"/>
      <c r="FH13" s="97"/>
      <c r="FI13" s="97"/>
      <c r="FJ13" s="97"/>
      <c r="FK13" s="97"/>
      <c r="FL13" s="97"/>
      <c r="FM13" s="97"/>
      <c r="FN13" s="97"/>
      <c r="FO13" s="97"/>
      <c r="FP13" s="97"/>
      <c r="FQ13" s="97"/>
      <c r="FR13" s="97"/>
      <c r="FS13" s="97"/>
      <c r="FT13" s="97"/>
      <c r="FU13" s="97"/>
      <c r="FV13" s="97"/>
      <c r="FW13" s="97"/>
      <c r="FX13" s="97"/>
      <c r="FY13" s="97"/>
      <c r="GA13" s="98">
        <f t="shared" si="0"/>
        <v>1</v>
      </c>
      <c r="GB13" s="99">
        <f t="array" ref="GB13">IF($D13="","",SUMPRODUCT(($E$4:$CN$4="Att")*($E$3:$CN$3&lt;&gt;"")))</f>
        <v>1</v>
      </c>
      <c r="GC13" s="100">
        <f t="shared" si="1"/>
        <v>1</v>
      </c>
      <c r="GD13" s="35">
        <f t="shared" si="2"/>
        <v>3</v>
      </c>
      <c r="GE13" s="100">
        <f t="shared" si="3"/>
        <v>0.6</v>
      </c>
      <c r="GF13" s="99">
        <f t="array" ref="GF13">IF($D13="","",SUMPRODUCT(($CP$4:$FY$4="Att")*($CP$2:$FY$2&lt;&gt;"")*($CP13:$FY13&lt;&gt;"N-A")*($CP13:$FY13&lt;&gt;"")))</f>
        <v>0</v>
      </c>
      <c r="GG13" s="99">
        <f t="shared" si="4"/>
        <v>0</v>
      </c>
      <c r="GH13" s="100" t="str">
        <f t="shared" si="5"/>
        <v/>
      </c>
      <c r="GI13" s="99">
        <f t="shared" si="6"/>
        <v>0</v>
      </c>
      <c r="GJ13" s="35" t="str">
        <f t="shared" si="7"/>
        <v/>
      </c>
      <c r="GK13" s="35" t="str">
        <f t="shared" si="8"/>
        <v/>
      </c>
      <c r="GL13" s="100" t="str">
        <f t="shared" si="9"/>
        <v/>
      </c>
      <c r="GM13" s="99">
        <f t="shared" si="10"/>
        <v>0</v>
      </c>
      <c r="GN13" s="101">
        <f t="shared" si="11"/>
        <v>0.76666666666666661</v>
      </c>
      <c r="GO13" s="102" t="str">
        <f t="shared" si="12"/>
        <v>Tara Brannigan</v>
      </c>
      <c r="GP13" s="103"/>
      <c r="GQ13" s="103"/>
      <c r="GR13" s="103"/>
      <c r="GS13" s="104"/>
    </row>
    <row r="14" spans="2:201" x14ac:dyDescent="0.45">
      <c r="B14" s="429"/>
      <c r="C14" s="60">
        <v>10</v>
      </c>
      <c r="D14" s="105" t="s">
        <v>76</v>
      </c>
      <c r="E14" s="97" t="s">
        <v>54</v>
      </c>
      <c r="F14" s="97">
        <v>3</v>
      </c>
      <c r="G14" s="97"/>
      <c r="H14" s="97"/>
      <c r="I14" s="97"/>
      <c r="J14" s="97"/>
      <c r="K14" s="97"/>
      <c r="L14" s="97"/>
      <c r="M14" s="97"/>
      <c r="N14" s="97"/>
      <c r="O14" s="97"/>
      <c r="P14" s="97"/>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c r="EV14" s="97"/>
      <c r="EW14" s="97"/>
      <c r="EX14" s="97"/>
      <c r="EY14" s="97"/>
      <c r="EZ14" s="97"/>
      <c r="FA14" s="97"/>
      <c r="FB14" s="97"/>
      <c r="FC14" s="97"/>
      <c r="FD14" s="97"/>
      <c r="FE14" s="97"/>
      <c r="FF14" s="97"/>
      <c r="FG14" s="97"/>
      <c r="FH14" s="97"/>
      <c r="FI14" s="97"/>
      <c r="FJ14" s="97"/>
      <c r="FK14" s="97"/>
      <c r="FL14" s="97"/>
      <c r="FM14" s="97"/>
      <c r="FN14" s="97"/>
      <c r="FO14" s="97"/>
      <c r="FP14" s="97"/>
      <c r="FQ14" s="97"/>
      <c r="FR14" s="97"/>
      <c r="FS14" s="97"/>
      <c r="FT14" s="97"/>
      <c r="FU14" s="97"/>
      <c r="FV14" s="97"/>
      <c r="FW14" s="97"/>
      <c r="FX14" s="97"/>
      <c r="FY14" s="97"/>
      <c r="GA14" s="106">
        <f t="shared" si="0"/>
        <v>1</v>
      </c>
      <c r="GB14" s="107">
        <f t="array" ref="GB14">IF($D14="","",SUMPRODUCT(($E$4:$CN$4="Att")*($E$3:$CN$3&lt;&gt;"")))</f>
        <v>1</v>
      </c>
      <c r="GC14" s="108">
        <f t="shared" si="1"/>
        <v>1</v>
      </c>
      <c r="GD14" s="109">
        <f t="shared" si="2"/>
        <v>3</v>
      </c>
      <c r="GE14" s="108">
        <f t="shared" si="3"/>
        <v>0.6</v>
      </c>
      <c r="GF14" s="107">
        <f t="array" ref="GF14">IF($D14="","",SUMPRODUCT(($CP$4:$FY$4="Att")*($CP$2:$FY$2&lt;&gt;"")*($CP14:$FY14&lt;&gt;"N-A")*($CP14:$FY14&lt;&gt;"")))</f>
        <v>0</v>
      </c>
      <c r="GG14" s="107">
        <f t="shared" si="4"/>
        <v>0</v>
      </c>
      <c r="GH14" s="108" t="str">
        <f t="shared" si="5"/>
        <v/>
      </c>
      <c r="GI14" s="107">
        <f t="shared" si="6"/>
        <v>0</v>
      </c>
      <c r="GJ14" s="109" t="str">
        <f t="shared" si="7"/>
        <v/>
      </c>
      <c r="GK14" s="109" t="str">
        <f t="shared" si="8"/>
        <v/>
      </c>
      <c r="GL14" s="108" t="str">
        <f t="shared" si="9"/>
        <v/>
      </c>
      <c r="GM14" s="107">
        <f t="shared" si="10"/>
        <v>0</v>
      </c>
      <c r="GN14" s="110">
        <f t="shared" si="11"/>
        <v>0.76666666666666661</v>
      </c>
      <c r="GO14" s="111" t="str">
        <f t="shared" si="12"/>
        <v>Semilore Adesanya</v>
      </c>
      <c r="GP14" s="103"/>
      <c r="GQ14" s="103"/>
      <c r="GR14" s="103"/>
      <c r="GS14" s="104"/>
    </row>
    <row r="15" spans="2:201" x14ac:dyDescent="0.45">
      <c r="B15" s="429"/>
      <c r="C15" s="60">
        <v>11</v>
      </c>
      <c r="D15" s="105" t="s">
        <v>79</v>
      </c>
      <c r="E15" s="97" t="s">
        <v>54</v>
      </c>
      <c r="F15" s="97">
        <v>3</v>
      </c>
      <c r="G15" s="97"/>
      <c r="H15" s="97"/>
      <c r="I15" s="97"/>
      <c r="J15" s="97"/>
      <c r="K15" s="97"/>
      <c r="L15" s="97"/>
      <c r="M15" s="97"/>
      <c r="N15" s="97"/>
      <c r="O15" s="97"/>
      <c r="P15" s="97"/>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c r="EV15" s="97"/>
      <c r="EW15" s="97"/>
      <c r="EX15" s="97"/>
      <c r="EY15" s="97"/>
      <c r="EZ15" s="97"/>
      <c r="FA15" s="97"/>
      <c r="FB15" s="97"/>
      <c r="FC15" s="97"/>
      <c r="FD15" s="97"/>
      <c r="FE15" s="97"/>
      <c r="FF15" s="97"/>
      <c r="FG15" s="97"/>
      <c r="FH15" s="97"/>
      <c r="FI15" s="97"/>
      <c r="FJ15" s="97"/>
      <c r="FK15" s="97"/>
      <c r="FL15" s="97"/>
      <c r="FM15" s="97"/>
      <c r="FN15" s="97"/>
      <c r="FO15" s="97"/>
      <c r="FP15" s="97"/>
      <c r="FQ15" s="97"/>
      <c r="FR15" s="97"/>
      <c r="FS15" s="97"/>
      <c r="FT15" s="97"/>
      <c r="FU15" s="97"/>
      <c r="FV15" s="97"/>
      <c r="FW15" s="97"/>
      <c r="FX15" s="97"/>
      <c r="FY15" s="97"/>
      <c r="GA15" s="98">
        <f t="shared" si="0"/>
        <v>1</v>
      </c>
      <c r="GB15" s="99">
        <f t="array" ref="GB15">IF($D15="","",SUMPRODUCT(($E$4:$CN$4="Att")*($E$3:$CN$3&lt;&gt;"")))</f>
        <v>1</v>
      </c>
      <c r="GC15" s="100">
        <f t="shared" si="1"/>
        <v>1</v>
      </c>
      <c r="GD15" s="35">
        <f t="shared" si="2"/>
        <v>3</v>
      </c>
      <c r="GE15" s="100">
        <f t="shared" si="3"/>
        <v>0.6</v>
      </c>
      <c r="GF15" s="99">
        <f t="array" ref="GF15">IF($D15="","",SUMPRODUCT(($CP$4:$FY$4="Att")*($CP$2:$FY$2&lt;&gt;"")*($CP15:$FY15&lt;&gt;"N-A")*($CP15:$FY15&lt;&gt;"")))</f>
        <v>0</v>
      </c>
      <c r="GG15" s="99">
        <f t="shared" si="4"/>
        <v>0</v>
      </c>
      <c r="GH15" s="100" t="str">
        <f t="shared" si="5"/>
        <v/>
      </c>
      <c r="GI15" s="99">
        <f t="shared" si="6"/>
        <v>0</v>
      </c>
      <c r="GJ15" s="35" t="str">
        <f t="shared" si="7"/>
        <v/>
      </c>
      <c r="GK15" s="35" t="str">
        <f t="shared" si="8"/>
        <v/>
      </c>
      <c r="GL15" s="100" t="str">
        <f t="shared" si="9"/>
        <v/>
      </c>
      <c r="GM15" s="99">
        <f t="shared" si="10"/>
        <v>0</v>
      </c>
      <c r="GN15" s="101">
        <f t="shared" si="11"/>
        <v>0.76666666666666661</v>
      </c>
      <c r="GO15" s="102" t="str">
        <f t="shared" si="12"/>
        <v>Hannah Fleming</v>
      </c>
      <c r="GP15" s="103"/>
      <c r="GQ15" s="103"/>
      <c r="GR15" s="103"/>
      <c r="GS15" s="104"/>
    </row>
    <row r="16" spans="2:201" x14ac:dyDescent="0.45">
      <c r="B16" s="429"/>
      <c r="C16" s="60">
        <v>12</v>
      </c>
      <c r="D16" s="105" t="s">
        <v>81</v>
      </c>
      <c r="E16" s="97" t="s">
        <v>55</v>
      </c>
      <c r="F16" s="97"/>
      <c r="G16" s="97"/>
      <c r="H16" s="97"/>
      <c r="I16" s="97"/>
      <c r="J16" s="97"/>
      <c r="K16" s="97"/>
      <c r="L16" s="97"/>
      <c r="M16" s="97"/>
      <c r="N16" s="97"/>
      <c r="O16" s="97"/>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c r="EU16" s="97"/>
      <c r="EV16" s="97"/>
      <c r="EW16" s="97"/>
      <c r="EX16" s="97"/>
      <c r="EY16" s="97"/>
      <c r="EZ16" s="97"/>
      <c r="FA16" s="97"/>
      <c r="FB16" s="97"/>
      <c r="FC16" s="97"/>
      <c r="FD16" s="97"/>
      <c r="FE16" s="97"/>
      <c r="FF16" s="97"/>
      <c r="FG16" s="97"/>
      <c r="FH16" s="97"/>
      <c r="FI16" s="97"/>
      <c r="FJ16" s="97"/>
      <c r="FK16" s="97"/>
      <c r="FL16" s="97"/>
      <c r="FM16" s="97"/>
      <c r="FN16" s="97"/>
      <c r="FO16" s="97"/>
      <c r="FP16" s="97"/>
      <c r="FQ16" s="97"/>
      <c r="FR16" s="97"/>
      <c r="FS16" s="97"/>
      <c r="FT16" s="97"/>
      <c r="FU16" s="97"/>
      <c r="FV16" s="97"/>
      <c r="FW16" s="97"/>
      <c r="FX16" s="97"/>
      <c r="FY16" s="97"/>
      <c r="GA16" s="106">
        <f t="shared" si="0"/>
        <v>0</v>
      </c>
      <c r="GB16" s="107">
        <f t="array" ref="GB16">IF($D16="","",SUMPRODUCT(($E$4:$CN$4="Att")*($E$3:$CN$3&lt;&gt;"")))</f>
        <v>1</v>
      </c>
      <c r="GC16" s="108">
        <f t="shared" si="1"/>
        <v>0</v>
      </c>
      <c r="GD16" s="109" t="str">
        <f t="shared" si="2"/>
        <v/>
      </c>
      <c r="GE16" s="108" t="str">
        <f t="shared" si="3"/>
        <v/>
      </c>
      <c r="GF16" s="107">
        <f t="array" ref="GF16">IF($D16="","",SUMPRODUCT(($CP$4:$FY$4="Att")*($CP$2:$FY$2&lt;&gt;"")*($CP16:$FY16&lt;&gt;"N-A")*($CP16:$FY16&lt;&gt;"")))</f>
        <v>0</v>
      </c>
      <c r="GG16" s="107">
        <f t="shared" si="4"/>
        <v>0</v>
      </c>
      <c r="GH16" s="108" t="str">
        <f t="shared" si="5"/>
        <v/>
      </c>
      <c r="GI16" s="107">
        <f t="shared" si="6"/>
        <v>0</v>
      </c>
      <c r="GJ16" s="109" t="str">
        <f t="shared" si="7"/>
        <v/>
      </c>
      <c r="GK16" s="109" t="str">
        <f t="shared" si="8"/>
        <v/>
      </c>
      <c r="GL16" s="108" t="str">
        <f t="shared" si="9"/>
        <v/>
      </c>
      <c r="GM16" s="107">
        <f t="shared" si="10"/>
        <v>0</v>
      </c>
      <c r="GN16" s="110">
        <f t="shared" si="11"/>
        <v>0</v>
      </c>
      <c r="GO16" s="111" t="str">
        <f t="shared" si="12"/>
        <v>Emma Kelly</v>
      </c>
      <c r="GP16" s="103"/>
      <c r="GQ16" s="103"/>
      <c r="GR16" s="103"/>
      <c r="GS16" s="104"/>
    </row>
    <row r="17" spans="2:201" x14ac:dyDescent="0.45">
      <c r="B17" s="429"/>
      <c r="C17" s="60">
        <v>13</v>
      </c>
      <c r="D17" s="105" t="s">
        <v>84</v>
      </c>
      <c r="E17" s="97" t="s">
        <v>54</v>
      </c>
      <c r="F17" s="97">
        <v>3</v>
      </c>
      <c r="G17" s="97"/>
      <c r="H17" s="97"/>
      <c r="I17" s="97"/>
      <c r="J17" s="97"/>
      <c r="K17" s="97"/>
      <c r="L17" s="97"/>
      <c r="M17" s="97"/>
      <c r="N17" s="97"/>
      <c r="O17" s="97"/>
      <c r="P17" s="97"/>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c r="EU17" s="97"/>
      <c r="EV17" s="97"/>
      <c r="EW17" s="97"/>
      <c r="EX17" s="97"/>
      <c r="EY17" s="97"/>
      <c r="EZ17" s="97"/>
      <c r="FA17" s="97"/>
      <c r="FB17" s="97"/>
      <c r="FC17" s="97"/>
      <c r="FD17" s="97"/>
      <c r="FE17" s="97"/>
      <c r="FF17" s="97"/>
      <c r="FG17" s="97"/>
      <c r="FH17" s="97"/>
      <c r="FI17" s="97"/>
      <c r="FJ17" s="97"/>
      <c r="FK17" s="97"/>
      <c r="FL17" s="97"/>
      <c r="FM17" s="97"/>
      <c r="FN17" s="97"/>
      <c r="FO17" s="97"/>
      <c r="FP17" s="97"/>
      <c r="FQ17" s="97"/>
      <c r="FR17" s="97"/>
      <c r="FS17" s="97"/>
      <c r="FT17" s="97"/>
      <c r="FU17" s="97"/>
      <c r="FV17" s="97"/>
      <c r="FW17" s="97"/>
      <c r="FX17" s="97"/>
      <c r="FY17" s="97"/>
      <c r="GA17" s="98">
        <f t="shared" si="0"/>
        <v>1</v>
      </c>
      <c r="GB17" s="99">
        <f t="array" ref="GB17">IF($D17="","",SUMPRODUCT(($E$4:$CN$4="Att")*($E$3:$CN$3&lt;&gt;"")))</f>
        <v>1</v>
      </c>
      <c r="GC17" s="100">
        <f t="shared" si="1"/>
        <v>1</v>
      </c>
      <c r="GD17" s="35">
        <f t="shared" si="2"/>
        <v>3</v>
      </c>
      <c r="GE17" s="100">
        <f t="shared" si="3"/>
        <v>0.6</v>
      </c>
      <c r="GF17" s="99">
        <f t="array" ref="GF17">IF($D17="","",SUMPRODUCT(($CP$4:$FY$4="Att")*($CP$2:$FY$2&lt;&gt;"")*($CP17:$FY17&lt;&gt;"N-A")*($CP17:$FY17&lt;&gt;"")))</f>
        <v>0</v>
      </c>
      <c r="GG17" s="99">
        <f t="shared" si="4"/>
        <v>0</v>
      </c>
      <c r="GH17" s="100" t="str">
        <f t="shared" si="5"/>
        <v/>
      </c>
      <c r="GI17" s="99">
        <f t="shared" si="6"/>
        <v>0</v>
      </c>
      <c r="GJ17" s="35" t="str">
        <f t="shared" si="7"/>
        <v/>
      </c>
      <c r="GK17" s="35" t="str">
        <f t="shared" si="8"/>
        <v/>
      </c>
      <c r="GL17" s="100" t="str">
        <f t="shared" si="9"/>
        <v/>
      </c>
      <c r="GM17" s="99">
        <f t="shared" si="10"/>
        <v>0</v>
      </c>
      <c r="GN17" s="101">
        <f t="shared" si="11"/>
        <v>0.76666666666666661</v>
      </c>
      <c r="GO17" s="102" t="str">
        <f t="shared" si="12"/>
        <v>Roma Memon</v>
      </c>
      <c r="GP17" s="103"/>
      <c r="GQ17" s="103"/>
      <c r="GR17" s="103"/>
      <c r="GS17" s="104"/>
    </row>
    <row r="18" spans="2:201" x14ac:dyDescent="0.45">
      <c r="B18" s="429"/>
      <c r="C18" s="60">
        <v>14</v>
      </c>
      <c r="D18" s="105" t="s">
        <v>87</v>
      </c>
      <c r="E18" s="97" t="s">
        <v>54</v>
      </c>
      <c r="F18" s="97">
        <v>3</v>
      </c>
      <c r="G18" s="97"/>
      <c r="H18" s="97"/>
      <c r="I18" s="97"/>
      <c r="J18" s="97"/>
      <c r="K18" s="97"/>
      <c r="L18" s="97"/>
      <c r="M18" s="97"/>
      <c r="N18" s="97"/>
      <c r="O18" s="97"/>
      <c r="P18" s="97"/>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c r="EU18" s="97"/>
      <c r="EV18" s="97"/>
      <c r="EW18" s="97"/>
      <c r="EX18" s="97"/>
      <c r="EY18" s="97"/>
      <c r="EZ18" s="97"/>
      <c r="FA18" s="97"/>
      <c r="FB18" s="97"/>
      <c r="FC18" s="97"/>
      <c r="FD18" s="97"/>
      <c r="FE18" s="97"/>
      <c r="FF18" s="97"/>
      <c r="FG18" s="97"/>
      <c r="FH18" s="97"/>
      <c r="FI18" s="97"/>
      <c r="FJ18" s="97"/>
      <c r="FK18" s="97"/>
      <c r="FL18" s="97"/>
      <c r="FM18" s="97"/>
      <c r="FN18" s="97"/>
      <c r="FO18" s="97"/>
      <c r="FP18" s="97"/>
      <c r="FQ18" s="97"/>
      <c r="FR18" s="97"/>
      <c r="FS18" s="97"/>
      <c r="FT18" s="97"/>
      <c r="FU18" s="97"/>
      <c r="FV18" s="97"/>
      <c r="FW18" s="97"/>
      <c r="FX18" s="97"/>
      <c r="FY18" s="97"/>
      <c r="GA18" s="106">
        <f t="shared" si="0"/>
        <v>1</v>
      </c>
      <c r="GB18" s="107">
        <f t="array" ref="GB18">IF($D18="","",SUMPRODUCT(($E$4:$CN$4="Att")*($E$3:$CN$3&lt;&gt;"")))</f>
        <v>1</v>
      </c>
      <c r="GC18" s="108">
        <f t="shared" si="1"/>
        <v>1</v>
      </c>
      <c r="GD18" s="109">
        <f t="shared" si="2"/>
        <v>3</v>
      </c>
      <c r="GE18" s="108">
        <f t="shared" si="3"/>
        <v>0.6</v>
      </c>
      <c r="GF18" s="107">
        <f t="array" ref="GF18">IF($D18="","",SUMPRODUCT(($CP$4:$FY$4="Att")*($CP$2:$FY$2&lt;&gt;"")*($CP18:$FY18&lt;&gt;"N-A")*($CP18:$FY18&lt;&gt;"")))</f>
        <v>0</v>
      </c>
      <c r="GG18" s="107">
        <f t="shared" si="4"/>
        <v>0</v>
      </c>
      <c r="GH18" s="108" t="str">
        <f t="shared" si="5"/>
        <v/>
      </c>
      <c r="GI18" s="107">
        <f t="shared" si="6"/>
        <v>0</v>
      </c>
      <c r="GJ18" s="109" t="str">
        <f t="shared" si="7"/>
        <v/>
      </c>
      <c r="GK18" s="109" t="str">
        <f t="shared" si="8"/>
        <v/>
      </c>
      <c r="GL18" s="108" t="str">
        <f t="shared" si="9"/>
        <v/>
      </c>
      <c r="GM18" s="107">
        <f t="shared" si="10"/>
        <v>0</v>
      </c>
      <c r="GN18" s="110">
        <f t="shared" si="11"/>
        <v>0.76666666666666661</v>
      </c>
      <c r="GO18" s="111" t="str">
        <f t="shared" si="12"/>
        <v>Emma Dromgoole</v>
      </c>
      <c r="GP18" s="103"/>
      <c r="GQ18" s="103"/>
      <c r="GR18" s="103"/>
      <c r="GS18" s="104"/>
    </row>
    <row r="19" spans="2:201" x14ac:dyDescent="0.45">
      <c r="B19" s="429"/>
      <c r="C19" s="60">
        <v>15</v>
      </c>
      <c r="D19" s="105" t="s">
        <v>90</v>
      </c>
      <c r="E19" s="97" t="s">
        <v>54</v>
      </c>
      <c r="F19" s="97">
        <v>2</v>
      </c>
      <c r="G19" s="97"/>
      <c r="H19" s="97"/>
      <c r="I19" s="97"/>
      <c r="J19" s="97"/>
      <c r="K19" s="97"/>
      <c r="L19" s="97"/>
      <c r="M19" s="97"/>
      <c r="N19" s="97"/>
      <c r="O19" s="97"/>
      <c r="P19" s="97"/>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c r="EU19" s="97"/>
      <c r="EV19" s="97"/>
      <c r="EW19" s="97"/>
      <c r="EX19" s="97"/>
      <c r="EY19" s="97"/>
      <c r="EZ19" s="97"/>
      <c r="FA19" s="97"/>
      <c r="FB19" s="97"/>
      <c r="FC19" s="97"/>
      <c r="FD19" s="97"/>
      <c r="FE19" s="97"/>
      <c r="FF19" s="97"/>
      <c r="FG19" s="97"/>
      <c r="FH19" s="97"/>
      <c r="FI19" s="97"/>
      <c r="FJ19" s="97"/>
      <c r="FK19" s="97"/>
      <c r="FL19" s="97"/>
      <c r="FM19" s="97"/>
      <c r="FN19" s="97"/>
      <c r="FO19" s="97"/>
      <c r="FP19" s="97"/>
      <c r="FQ19" s="97"/>
      <c r="FR19" s="97"/>
      <c r="FS19" s="97"/>
      <c r="FT19" s="97"/>
      <c r="FU19" s="97"/>
      <c r="FV19" s="97"/>
      <c r="FW19" s="97"/>
      <c r="FX19" s="97"/>
      <c r="FY19" s="97"/>
      <c r="GA19" s="98">
        <f t="shared" si="0"/>
        <v>1</v>
      </c>
      <c r="GB19" s="99">
        <f t="array" ref="GB19">IF($D19="","",SUMPRODUCT(($E$4:$CN$4="Att")*($E$3:$CN$3&lt;&gt;"")))</f>
        <v>1</v>
      </c>
      <c r="GC19" s="100">
        <f t="shared" si="1"/>
        <v>1</v>
      </c>
      <c r="GD19" s="35">
        <f t="shared" si="2"/>
        <v>2</v>
      </c>
      <c r="GE19" s="100">
        <f t="shared" si="3"/>
        <v>0.4</v>
      </c>
      <c r="GF19" s="99">
        <f t="array" ref="GF19">IF($D19="","",SUMPRODUCT(($CP$4:$FY$4="Att")*($CP$2:$FY$2&lt;&gt;"")*($CP19:$FY19&lt;&gt;"N-A")*($CP19:$FY19&lt;&gt;"")))</f>
        <v>0</v>
      </c>
      <c r="GG19" s="99">
        <f t="shared" si="4"/>
        <v>0</v>
      </c>
      <c r="GH19" s="100" t="str">
        <f t="shared" si="5"/>
        <v/>
      </c>
      <c r="GI19" s="99">
        <f t="shared" si="6"/>
        <v>0</v>
      </c>
      <c r="GJ19" s="35" t="str">
        <f t="shared" si="7"/>
        <v/>
      </c>
      <c r="GK19" s="35" t="str">
        <f t="shared" si="8"/>
        <v/>
      </c>
      <c r="GL19" s="100" t="str">
        <f t="shared" si="9"/>
        <v/>
      </c>
      <c r="GM19" s="99">
        <f t="shared" si="10"/>
        <v>0</v>
      </c>
      <c r="GN19" s="101">
        <f t="shared" si="11"/>
        <v>0.65</v>
      </c>
      <c r="GO19" s="102" t="str">
        <f t="shared" si="12"/>
        <v>Elsie Morrison</v>
      </c>
      <c r="GP19" s="103"/>
      <c r="GQ19" s="103"/>
      <c r="GR19" s="103"/>
      <c r="GS19" s="104"/>
    </row>
    <row r="20" spans="2:201" x14ac:dyDescent="0.45">
      <c r="B20" s="429"/>
      <c r="C20" s="60">
        <v>16</v>
      </c>
      <c r="D20" s="105" t="s">
        <v>94</v>
      </c>
      <c r="E20" s="97" t="s">
        <v>55</v>
      </c>
      <c r="F20" s="97"/>
      <c r="G20" s="97"/>
      <c r="H20" s="97"/>
      <c r="I20" s="97"/>
      <c r="J20" s="97"/>
      <c r="K20" s="97"/>
      <c r="L20" s="97"/>
      <c r="M20" s="97"/>
      <c r="N20" s="97"/>
      <c r="O20" s="97"/>
      <c r="P20" s="97"/>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c r="EU20" s="97"/>
      <c r="EV20" s="97"/>
      <c r="EW20" s="97"/>
      <c r="EX20" s="97"/>
      <c r="EY20" s="97"/>
      <c r="EZ20" s="97"/>
      <c r="FA20" s="97"/>
      <c r="FB20" s="97"/>
      <c r="FC20" s="97"/>
      <c r="FD20" s="97"/>
      <c r="FE20" s="97"/>
      <c r="FF20" s="97"/>
      <c r="FG20" s="97"/>
      <c r="FH20" s="97"/>
      <c r="FI20" s="97"/>
      <c r="FJ20" s="97"/>
      <c r="FK20" s="97"/>
      <c r="FL20" s="97"/>
      <c r="FM20" s="97"/>
      <c r="FN20" s="97"/>
      <c r="FO20" s="97"/>
      <c r="FP20" s="97"/>
      <c r="FQ20" s="97"/>
      <c r="FR20" s="97"/>
      <c r="FS20" s="97"/>
      <c r="FT20" s="97"/>
      <c r="FU20" s="97"/>
      <c r="FV20" s="97"/>
      <c r="FW20" s="97"/>
      <c r="FX20" s="97"/>
      <c r="FY20" s="97"/>
      <c r="GA20" s="106">
        <f t="shared" si="0"/>
        <v>0</v>
      </c>
      <c r="GB20" s="107">
        <f t="array" ref="GB20">IF($D20="","",SUMPRODUCT(($E$4:$CN$4="Att")*($E$3:$CN$3&lt;&gt;"")))</f>
        <v>1</v>
      </c>
      <c r="GC20" s="108">
        <f t="shared" si="1"/>
        <v>0</v>
      </c>
      <c r="GD20" s="109" t="str">
        <f t="shared" si="2"/>
        <v/>
      </c>
      <c r="GE20" s="108" t="str">
        <f t="shared" si="3"/>
        <v/>
      </c>
      <c r="GF20" s="107">
        <f t="array" ref="GF20">IF($D20="","",SUMPRODUCT(($CP$4:$FY$4="Att")*($CP$2:$FY$2&lt;&gt;"")*($CP20:$FY20&lt;&gt;"N-A")*($CP20:$FY20&lt;&gt;"")))</f>
        <v>0</v>
      </c>
      <c r="GG20" s="107">
        <f t="shared" si="4"/>
        <v>0</v>
      </c>
      <c r="GH20" s="108" t="str">
        <f t="shared" si="5"/>
        <v/>
      </c>
      <c r="GI20" s="107">
        <f t="shared" si="6"/>
        <v>0</v>
      </c>
      <c r="GJ20" s="109" t="str">
        <f t="shared" si="7"/>
        <v/>
      </c>
      <c r="GK20" s="109" t="str">
        <f t="shared" si="8"/>
        <v/>
      </c>
      <c r="GL20" s="108" t="str">
        <f t="shared" si="9"/>
        <v/>
      </c>
      <c r="GM20" s="107">
        <f t="shared" si="10"/>
        <v>0</v>
      </c>
      <c r="GN20" s="110">
        <f t="shared" si="11"/>
        <v>0</v>
      </c>
      <c r="GO20" s="111" t="str">
        <f t="shared" si="12"/>
        <v>Zara Freeman</v>
      </c>
      <c r="GP20" s="103"/>
      <c r="GQ20" s="103"/>
      <c r="GR20" s="103"/>
      <c r="GS20" s="104"/>
    </row>
    <row r="21" spans="2:201" x14ac:dyDescent="0.45">
      <c r="B21" s="429"/>
      <c r="C21" s="60">
        <v>17</v>
      </c>
      <c r="D21" s="105" t="s">
        <v>497</v>
      </c>
      <c r="E21" s="97" t="s">
        <v>54</v>
      </c>
      <c r="F21" s="97">
        <v>3</v>
      </c>
      <c r="G21" s="97"/>
      <c r="H21" s="97"/>
      <c r="I21" s="97"/>
      <c r="J21" s="97"/>
      <c r="K21" s="97"/>
      <c r="L21" s="97"/>
      <c r="M21" s="97"/>
      <c r="N21" s="97"/>
      <c r="O21" s="97"/>
      <c r="P21" s="97"/>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c r="EU21" s="97"/>
      <c r="EV21" s="97"/>
      <c r="EW21" s="97"/>
      <c r="EX21" s="97"/>
      <c r="EY21" s="97"/>
      <c r="EZ21" s="97"/>
      <c r="FA21" s="97"/>
      <c r="FB21" s="97"/>
      <c r="FC21" s="97"/>
      <c r="FD21" s="97"/>
      <c r="FE21" s="97"/>
      <c r="FF21" s="97"/>
      <c r="FG21" s="97"/>
      <c r="FH21" s="97"/>
      <c r="FI21" s="97"/>
      <c r="FJ21" s="97"/>
      <c r="FK21" s="97"/>
      <c r="FL21" s="97"/>
      <c r="FM21" s="97"/>
      <c r="FN21" s="97"/>
      <c r="FO21" s="97"/>
      <c r="FP21" s="97"/>
      <c r="FQ21" s="97"/>
      <c r="FR21" s="97"/>
      <c r="FS21" s="97"/>
      <c r="FT21" s="97"/>
      <c r="FU21" s="97"/>
      <c r="FV21" s="97"/>
      <c r="FW21" s="97"/>
      <c r="FX21" s="97"/>
      <c r="FY21" s="97"/>
      <c r="GA21" s="98">
        <f t="shared" si="0"/>
        <v>1</v>
      </c>
      <c r="GB21" s="99">
        <f t="array" ref="GB21">IF($D21="","",SUMPRODUCT(($E$4:$CN$4="Att")*($E$3:$CN$3&lt;&gt;"")))</f>
        <v>1</v>
      </c>
      <c r="GC21" s="100">
        <f t="shared" si="1"/>
        <v>1</v>
      </c>
      <c r="GD21" s="35">
        <f t="shared" si="2"/>
        <v>3</v>
      </c>
      <c r="GE21" s="100">
        <f t="shared" si="3"/>
        <v>0.6</v>
      </c>
      <c r="GF21" s="99">
        <f t="array" ref="GF21">IF($D21="","",SUMPRODUCT(($CP$4:$FY$4="Att")*($CP$2:$FY$2&lt;&gt;"")*($CP21:$FY21&lt;&gt;"N-A")*($CP21:$FY21&lt;&gt;"")))</f>
        <v>0</v>
      </c>
      <c r="GG21" s="99">
        <f t="shared" si="4"/>
        <v>0</v>
      </c>
      <c r="GH21" s="100" t="str">
        <f t="shared" si="5"/>
        <v/>
      </c>
      <c r="GI21" s="99">
        <f t="shared" si="6"/>
        <v>0</v>
      </c>
      <c r="GJ21" s="35" t="str">
        <f t="shared" si="7"/>
        <v/>
      </c>
      <c r="GK21" s="35" t="str">
        <f t="shared" si="8"/>
        <v/>
      </c>
      <c r="GL21" s="100" t="str">
        <f t="shared" si="9"/>
        <v/>
      </c>
      <c r="GM21" s="99">
        <f t="shared" si="10"/>
        <v>0</v>
      </c>
      <c r="GN21" s="101">
        <f t="shared" si="11"/>
        <v>0.76666666666666661</v>
      </c>
      <c r="GO21" s="102" t="str">
        <f t="shared" si="12"/>
        <v>Mariana</v>
      </c>
      <c r="GP21" s="103"/>
      <c r="GQ21" s="103"/>
      <c r="GR21" s="103"/>
      <c r="GS21" s="104"/>
    </row>
    <row r="22" spans="2:201" ht="14.25" customHeight="1" x14ac:dyDescent="0.45">
      <c r="B22" s="430" t="s">
        <v>93</v>
      </c>
      <c r="C22" s="60">
        <v>18</v>
      </c>
      <c r="D22" s="105" t="s">
        <v>522</v>
      </c>
      <c r="E22" s="97" t="s">
        <v>54</v>
      </c>
      <c r="F22" s="97">
        <v>3</v>
      </c>
      <c r="G22" s="97"/>
      <c r="H22" s="97"/>
      <c r="I22" s="97"/>
      <c r="J22" s="97"/>
      <c r="K22" s="97"/>
      <c r="L22" s="97"/>
      <c r="M22" s="97"/>
      <c r="N22" s="97"/>
      <c r="O22" s="97"/>
      <c r="P22" s="97"/>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c r="EU22" s="97"/>
      <c r="EV22" s="97"/>
      <c r="EW22" s="97"/>
      <c r="EX22" s="97"/>
      <c r="EY22" s="97"/>
      <c r="EZ22" s="97"/>
      <c r="FA22" s="97"/>
      <c r="FB22" s="97"/>
      <c r="FC22" s="97"/>
      <c r="FD22" s="97"/>
      <c r="FE22" s="97"/>
      <c r="FF22" s="97"/>
      <c r="FG22" s="97"/>
      <c r="FH22" s="97"/>
      <c r="FI22" s="97"/>
      <c r="FJ22" s="97"/>
      <c r="FK22" s="97"/>
      <c r="FL22" s="97"/>
      <c r="FM22" s="97"/>
      <c r="FN22" s="97"/>
      <c r="FO22" s="97"/>
      <c r="FP22" s="97"/>
      <c r="FQ22" s="97"/>
      <c r="FR22" s="97"/>
      <c r="FS22" s="97"/>
      <c r="FT22" s="97"/>
      <c r="FU22" s="97"/>
      <c r="FV22" s="97"/>
      <c r="FW22" s="97"/>
      <c r="FX22" s="97"/>
      <c r="FY22" s="97"/>
      <c r="GA22" s="106">
        <f t="shared" si="0"/>
        <v>1</v>
      </c>
      <c r="GB22" s="107">
        <f t="array" ref="GB22">IF($D22="","",SUMPRODUCT(($E$4:$CN$4="Att")*($E$3:$CN$3&lt;&gt;"")))</f>
        <v>1</v>
      </c>
      <c r="GC22" s="108">
        <f t="shared" si="1"/>
        <v>1</v>
      </c>
      <c r="GD22" s="109">
        <f t="shared" si="2"/>
        <v>3</v>
      </c>
      <c r="GE22" s="108">
        <f t="shared" si="3"/>
        <v>0.6</v>
      </c>
      <c r="GF22" s="107">
        <f t="array" ref="GF22">IF($D22="","",SUMPRODUCT(($CP$4:$FY$4="Att")*($CP$2:$FY$2&lt;&gt;"")*($CP22:$FY22&lt;&gt;"N-A")*($CP22:$FY22&lt;&gt;"")))</f>
        <v>0</v>
      </c>
      <c r="GG22" s="107">
        <f t="shared" si="4"/>
        <v>0</v>
      </c>
      <c r="GH22" s="108" t="str">
        <f t="shared" si="5"/>
        <v/>
      </c>
      <c r="GI22" s="107">
        <f t="shared" si="6"/>
        <v>0</v>
      </c>
      <c r="GJ22" s="109" t="str">
        <f t="shared" si="7"/>
        <v/>
      </c>
      <c r="GK22" s="109" t="str">
        <f t="shared" si="8"/>
        <v/>
      </c>
      <c r="GL22" s="108" t="str">
        <f t="shared" si="9"/>
        <v/>
      </c>
      <c r="GM22" s="107">
        <f t="shared" si="10"/>
        <v>0</v>
      </c>
      <c r="GN22" s="110">
        <f t="shared" si="11"/>
        <v>0.76666666666666661</v>
      </c>
      <c r="GO22" s="111" t="str">
        <f t="shared" si="12"/>
        <v>Rama</v>
      </c>
      <c r="GP22" s="103"/>
      <c r="GQ22" s="103"/>
      <c r="GR22" s="103"/>
      <c r="GS22" s="104"/>
    </row>
    <row r="23" spans="2:201" x14ac:dyDescent="0.45">
      <c r="B23" s="430"/>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c r="EU23" s="97"/>
      <c r="EV23" s="97"/>
      <c r="EW23" s="97"/>
      <c r="EX23" s="97"/>
      <c r="EY23" s="97"/>
      <c r="EZ23" s="97"/>
      <c r="FA23" s="97"/>
      <c r="FB23" s="97"/>
      <c r="FC23" s="97"/>
      <c r="FD23" s="97"/>
      <c r="FE23" s="97"/>
      <c r="FF23" s="97"/>
      <c r="FG23" s="97"/>
      <c r="FH23" s="97"/>
      <c r="FI23" s="97"/>
      <c r="FJ23" s="97"/>
      <c r="FK23" s="97"/>
      <c r="FL23" s="97"/>
      <c r="FM23" s="97"/>
      <c r="FN23" s="97"/>
      <c r="FO23" s="97"/>
      <c r="FP23" s="97"/>
      <c r="FQ23" s="97"/>
      <c r="FR23" s="97"/>
      <c r="FS23" s="97"/>
      <c r="FT23" s="97"/>
      <c r="FU23" s="97"/>
      <c r="FV23" s="97"/>
      <c r="FW23" s="97"/>
      <c r="FX23" s="97"/>
      <c r="FY23" s="97"/>
      <c r="GA23" s="98" t="str">
        <f t="shared" si="0"/>
        <v/>
      </c>
      <c r="GB23" s="99" t="str">
        <f t="array" ref="GB23">IF($D23="","",SUMPRODUCT(($E$4:$CN$4="Att")*($E$3:$CN$3&lt;&gt;"")))</f>
        <v/>
      </c>
      <c r="GC23" s="100" t="str">
        <f t="shared" si="1"/>
        <v/>
      </c>
      <c r="GD23" s="35" t="str">
        <f t="shared" si="2"/>
        <v/>
      </c>
      <c r="GE23" s="100" t="str">
        <f t="shared" si="3"/>
        <v/>
      </c>
      <c r="GF23" s="99" t="str">
        <f t="array" ref="GF23">IF($D23="","",SUMPRODUCT(($CP$4:$FY$4="Att")*($CP$2:$FY$2&lt;&gt;"")*($CP23:$FY23&lt;&gt;"N-A")*($CP23:$FY23&lt;&gt;"")))</f>
        <v/>
      </c>
      <c r="GG23" s="99" t="str">
        <f t="shared" si="4"/>
        <v/>
      </c>
      <c r="GH23" s="100" t="str">
        <f t="shared" si="5"/>
        <v/>
      </c>
      <c r="GI23" s="99" t="str">
        <f t="shared" si="6"/>
        <v/>
      </c>
      <c r="GJ23" s="35" t="str">
        <f t="shared" si="7"/>
        <v/>
      </c>
      <c r="GK23" s="35" t="str">
        <f t="shared" si="8"/>
        <v/>
      </c>
      <c r="GL23" s="100" t="str">
        <f t="shared" si="9"/>
        <v/>
      </c>
      <c r="GM23" s="99" t="str">
        <f t="shared" si="10"/>
        <v/>
      </c>
      <c r="GN23" s="101" t="str">
        <f t="shared" si="11"/>
        <v/>
      </c>
      <c r="GO23" s="102" t="str">
        <f t="shared" si="12"/>
        <v/>
      </c>
      <c r="GP23" s="103"/>
      <c r="GQ23" s="103"/>
      <c r="GR23" s="103"/>
      <c r="GS23" s="104"/>
    </row>
    <row r="24" spans="2:201" x14ac:dyDescent="0.45">
      <c r="B24" s="430"/>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c r="EU24" s="97"/>
      <c r="EV24" s="97"/>
      <c r="EW24" s="97"/>
      <c r="EX24" s="97"/>
      <c r="EY24" s="97"/>
      <c r="EZ24" s="97"/>
      <c r="FA24" s="97"/>
      <c r="FB24" s="97"/>
      <c r="FC24" s="97"/>
      <c r="FD24" s="97"/>
      <c r="FE24" s="97"/>
      <c r="FF24" s="97"/>
      <c r="FG24" s="97"/>
      <c r="FH24" s="97"/>
      <c r="FI24" s="97"/>
      <c r="FJ24" s="97"/>
      <c r="FK24" s="97"/>
      <c r="FL24" s="97"/>
      <c r="FM24" s="97"/>
      <c r="FN24" s="97"/>
      <c r="FO24" s="97"/>
      <c r="FP24" s="97"/>
      <c r="FQ24" s="97"/>
      <c r="FR24" s="97"/>
      <c r="FS24" s="97"/>
      <c r="FT24" s="97"/>
      <c r="FU24" s="97"/>
      <c r="FV24" s="97"/>
      <c r="FW24" s="97"/>
      <c r="FX24" s="97"/>
      <c r="FY24" s="97"/>
      <c r="GA24" s="112" t="str">
        <f t="shared" si="0"/>
        <v/>
      </c>
      <c r="GB24" s="113" t="str">
        <f t="array" ref="GB24">IF($D24="","",SUMPRODUCT(($E$4:$CN$4="Att")*($E$3:$CN$3&lt;&gt;"")))</f>
        <v/>
      </c>
      <c r="GC24" s="114" t="str">
        <f t="shared" si="1"/>
        <v/>
      </c>
      <c r="GD24" s="115" t="str">
        <f t="shared" si="2"/>
        <v/>
      </c>
      <c r="GE24" s="114" t="str">
        <f t="shared" si="3"/>
        <v/>
      </c>
      <c r="GF24" s="113" t="str">
        <f t="array" ref="GF24">IF($D24="","",SUMPRODUCT(($CP$4:$FY$4="Att")*($CP$2:$FY$2&lt;&gt;"")*($CP24:$FY24&lt;&gt;"N-A")*($CP24:$FY24&lt;&gt;"")))</f>
        <v/>
      </c>
      <c r="GG24" s="113" t="str">
        <f t="shared" si="4"/>
        <v/>
      </c>
      <c r="GH24" s="114" t="str">
        <f t="shared" si="5"/>
        <v/>
      </c>
      <c r="GI24" s="113" t="str">
        <f t="shared" si="6"/>
        <v/>
      </c>
      <c r="GJ24" s="115" t="str">
        <f t="shared" si="7"/>
        <v/>
      </c>
      <c r="GK24" s="115" t="str">
        <f t="shared" si="8"/>
        <v/>
      </c>
      <c r="GL24" s="114" t="str">
        <f t="shared" si="9"/>
        <v/>
      </c>
      <c r="GM24" s="113" t="str">
        <f t="shared" si="10"/>
        <v/>
      </c>
      <c r="GN24" s="116" t="str">
        <f t="shared" si="11"/>
        <v/>
      </c>
      <c r="GO24" s="117" t="str">
        <f t="shared" si="12"/>
        <v/>
      </c>
      <c r="GP24" s="118"/>
      <c r="GQ24" s="118"/>
      <c r="GR24" s="118"/>
      <c r="GS24" s="119"/>
    </row>
    <row r="26" spans="2:201" x14ac:dyDescent="0.45">
      <c r="D26" s="120" t="s">
        <v>170</v>
      </c>
      <c r="CP26" s="431" t="str">
        <f>IF('Match Day Reports'!$N45="","",'Match Day Reports'!$N45)</f>
        <v/>
      </c>
      <c r="CQ26" s="431"/>
      <c r="CR26" s="431"/>
      <c r="CS26" s="431"/>
      <c r="CT26" s="431" t="str">
        <f>IF('Match Day Reports'!$N46="","",'Match Day Reports'!$N46)</f>
        <v/>
      </c>
      <c r="CU26" s="431"/>
      <c r="CV26" s="431"/>
      <c r="CW26" s="431"/>
      <c r="CX26" s="431" t="str">
        <f>IF('Match Day Reports'!$N47="","",'Match Day Reports'!$N47)</f>
        <v/>
      </c>
      <c r="CY26" s="431"/>
      <c r="CZ26" s="431"/>
      <c r="DA26" s="431"/>
      <c r="DB26" s="431" t="str">
        <f>IF('Match Day Reports'!$N48="","",'Match Day Reports'!$N48)</f>
        <v/>
      </c>
      <c r="DC26" s="431"/>
      <c r="DD26" s="431"/>
      <c r="DE26" s="431"/>
      <c r="DF26" s="431" t="str">
        <f>IF('Match Day Reports'!$N49="","",'Match Day Reports'!$N49)</f>
        <v/>
      </c>
      <c r="DG26" s="431"/>
      <c r="DH26" s="431"/>
      <c r="DI26" s="431"/>
      <c r="DJ26" s="431" t="str">
        <f>IF('Match Day Reports'!$N50="","",'Match Day Reports'!$N50)</f>
        <v/>
      </c>
      <c r="DK26" s="431"/>
      <c r="DL26" s="431"/>
      <c r="DM26" s="431"/>
      <c r="DN26" s="431" t="str">
        <f>IF('Match Day Reports'!$N51="","",'Match Day Reports'!$N51)</f>
        <v/>
      </c>
      <c r="DO26" s="431"/>
      <c r="DP26" s="431"/>
      <c r="DQ26" s="431"/>
      <c r="DR26" s="431" t="str">
        <f>IF('Match Day Reports'!$N52="","",'Match Day Reports'!$N52)</f>
        <v/>
      </c>
      <c r="DS26" s="431"/>
      <c r="DT26" s="431"/>
      <c r="DU26" s="431"/>
      <c r="DV26" s="431" t="str">
        <f>IF('Match Day Reports'!$N53="","",'Match Day Reports'!$N53)</f>
        <v/>
      </c>
      <c r="DW26" s="431"/>
      <c r="DX26" s="431"/>
      <c r="DY26" s="431"/>
      <c r="DZ26" s="431" t="str">
        <f>IF('Match Day Reports'!$N54="","",'Match Day Reports'!$N54)</f>
        <v/>
      </c>
      <c r="EA26" s="431"/>
      <c r="EB26" s="431"/>
      <c r="EC26" s="431"/>
      <c r="ED26" s="431" t="str">
        <f>IF('Match Day Reports'!$N55="","",'Match Day Reports'!$N55)</f>
        <v/>
      </c>
      <c r="EE26" s="431"/>
      <c r="EF26" s="431"/>
      <c r="EG26" s="431"/>
      <c r="EH26" s="431" t="str">
        <f>IF('Match Day Reports'!$N56="","",'Match Day Reports'!$N56)</f>
        <v/>
      </c>
      <c r="EI26" s="431"/>
      <c r="EJ26" s="431"/>
      <c r="EK26" s="431"/>
      <c r="EL26" s="431" t="str">
        <f>IF('Match Day Reports'!$N57="","",'Match Day Reports'!$N57)</f>
        <v/>
      </c>
      <c r="EM26" s="431"/>
      <c r="EN26" s="431"/>
      <c r="EO26" s="431"/>
      <c r="EP26" s="431" t="str">
        <f>IF('Match Day Reports'!$N58="","",'Match Day Reports'!$N58)</f>
        <v/>
      </c>
      <c r="EQ26" s="431"/>
      <c r="ER26" s="431"/>
      <c r="ES26" s="431"/>
      <c r="ET26" s="431" t="str">
        <f>IF('Match Day Reports'!$N59="","",'Match Day Reports'!$N59)</f>
        <v/>
      </c>
      <c r="EU26" s="431"/>
      <c r="EV26" s="431"/>
      <c r="EW26" s="431"/>
      <c r="EX26" s="431" t="str">
        <f>IF('Match Day Reports'!$N60="","",'Match Day Reports'!$N60)</f>
        <v/>
      </c>
      <c r="EY26" s="431"/>
      <c r="EZ26" s="431"/>
      <c r="FA26" s="431"/>
      <c r="FB26" s="431" t="str">
        <f>IF('Match Day Reports'!$N61="","",'Match Day Reports'!$N61)</f>
        <v/>
      </c>
      <c r="FC26" s="431"/>
      <c r="FD26" s="431"/>
      <c r="FE26" s="431"/>
      <c r="FF26" s="431" t="str">
        <f>IF('Match Day Reports'!$N62="","",'Match Day Reports'!$N62)</f>
        <v/>
      </c>
      <c r="FG26" s="431"/>
      <c r="FH26" s="431"/>
      <c r="FI26" s="431"/>
      <c r="FJ26" s="431" t="str">
        <f>IF('Match Day Reports'!$N63="","",'Match Day Reports'!$N63)</f>
        <v/>
      </c>
      <c r="FK26" s="431"/>
      <c r="FL26" s="431"/>
      <c r="FM26" s="431"/>
      <c r="FN26" s="431" t="str">
        <f>IF('Match Day Reports'!$N64="","",'Match Day Reports'!$N64)</f>
        <v/>
      </c>
      <c r="FO26" s="431"/>
      <c r="FP26" s="431"/>
      <c r="FQ26" s="431"/>
      <c r="FR26" s="431" t="str">
        <f>IF('Match Day Reports'!$N65="","",'Match Day Reports'!$N65)</f>
        <v/>
      </c>
      <c r="FS26" s="431"/>
      <c r="FT26" s="431"/>
      <c r="FU26" s="431"/>
      <c r="FV26" s="431" t="str">
        <f>IF('Match Day Reports'!$N66="","",'Match Day Reports'!$N66)</f>
        <v/>
      </c>
      <c r="FW26" s="431"/>
      <c r="FX26" s="431"/>
      <c r="FY26" s="431"/>
    </row>
    <row r="27" spans="2:201" x14ac:dyDescent="0.45">
      <c r="D27" s="120" t="s">
        <v>171</v>
      </c>
      <c r="CP27" s="431" t="str">
        <f>IF('Match Day Reports'!$O45="","",'Match Day Reports'!$O45)</f>
        <v/>
      </c>
      <c r="CQ27" s="431"/>
      <c r="CR27" s="431"/>
      <c r="CS27" s="431"/>
      <c r="CT27" s="431" t="str">
        <f>IF('Match Day Reports'!$O46="","",'Match Day Reports'!$O46)</f>
        <v/>
      </c>
      <c r="CU27" s="431"/>
      <c r="CV27" s="431"/>
      <c r="CW27" s="431"/>
      <c r="CX27" s="431" t="str">
        <f>IF('Match Day Reports'!$O47="","",'Match Day Reports'!$O47)</f>
        <v/>
      </c>
      <c r="CY27" s="431"/>
      <c r="CZ27" s="431"/>
      <c r="DA27" s="431"/>
      <c r="DB27" s="431" t="str">
        <f>IF('Match Day Reports'!$O48="","",'Match Day Reports'!$O48)</f>
        <v/>
      </c>
      <c r="DC27" s="431"/>
      <c r="DD27" s="431"/>
      <c r="DE27" s="431"/>
      <c r="DF27" s="431" t="str">
        <f>IF('Match Day Reports'!$O49="","",'Match Day Reports'!$O49)</f>
        <v/>
      </c>
      <c r="DG27" s="431"/>
      <c r="DH27" s="431"/>
      <c r="DI27" s="431"/>
      <c r="DJ27" s="431" t="str">
        <f>IF('Match Day Reports'!$O50="","",'Match Day Reports'!$O50)</f>
        <v/>
      </c>
      <c r="DK27" s="431"/>
      <c r="DL27" s="431"/>
      <c r="DM27" s="431"/>
      <c r="DN27" s="431" t="str">
        <f>IF('Match Day Reports'!$O51="","",'Match Day Reports'!$O51)</f>
        <v/>
      </c>
      <c r="DO27" s="431"/>
      <c r="DP27" s="431"/>
      <c r="DQ27" s="431"/>
      <c r="DR27" s="431" t="str">
        <f>IF('Match Day Reports'!$O52="","",'Match Day Reports'!$O52)</f>
        <v/>
      </c>
      <c r="DS27" s="431"/>
      <c r="DT27" s="431"/>
      <c r="DU27" s="431"/>
      <c r="DV27" s="431" t="str">
        <f>IF('Match Day Reports'!$O53="","",'Match Day Reports'!$O53)</f>
        <v/>
      </c>
      <c r="DW27" s="431"/>
      <c r="DX27" s="431"/>
      <c r="DY27" s="431"/>
      <c r="DZ27" s="431" t="str">
        <f>IF('Match Day Reports'!$O54="","",'Match Day Reports'!$O54)</f>
        <v/>
      </c>
      <c r="EA27" s="431"/>
      <c r="EB27" s="431"/>
      <c r="EC27" s="431"/>
      <c r="ED27" s="431" t="str">
        <f>IF('Match Day Reports'!$O55="","",'Match Day Reports'!$O55)</f>
        <v/>
      </c>
      <c r="EE27" s="431"/>
      <c r="EF27" s="431"/>
      <c r="EG27" s="431"/>
      <c r="EH27" s="431" t="str">
        <f>IF('Match Day Reports'!$O56="","",'Match Day Reports'!$O56)</f>
        <v/>
      </c>
      <c r="EI27" s="431"/>
      <c r="EJ27" s="431"/>
      <c r="EK27" s="431"/>
      <c r="EL27" s="431" t="str">
        <f>IF('Match Day Reports'!$O57="","",'Match Day Reports'!$O57)</f>
        <v/>
      </c>
      <c r="EM27" s="431"/>
      <c r="EN27" s="431"/>
      <c r="EO27" s="431"/>
      <c r="EP27" s="431" t="str">
        <f>IF('Match Day Reports'!$O58="","",'Match Day Reports'!$O58)</f>
        <v/>
      </c>
      <c r="EQ27" s="431"/>
      <c r="ER27" s="431"/>
      <c r="ES27" s="431"/>
      <c r="ET27" s="431" t="str">
        <f>IF('Match Day Reports'!$O59="","",'Match Day Reports'!$O59)</f>
        <v/>
      </c>
      <c r="EU27" s="431"/>
      <c r="EV27" s="431"/>
      <c r="EW27" s="431"/>
      <c r="EX27" s="431" t="str">
        <f>IF('Match Day Reports'!$O60="","",'Match Day Reports'!$O60)</f>
        <v/>
      </c>
      <c r="EY27" s="431"/>
      <c r="EZ27" s="431"/>
      <c r="FA27" s="431"/>
      <c r="FB27" s="431" t="str">
        <f>IF('Match Day Reports'!$O61="","",'Match Day Reports'!$O61)</f>
        <v/>
      </c>
      <c r="FC27" s="431"/>
      <c r="FD27" s="431"/>
      <c r="FE27" s="431"/>
      <c r="FF27" s="431" t="str">
        <f>IF('Match Day Reports'!$O62="","",'Match Day Reports'!$O62)</f>
        <v/>
      </c>
      <c r="FG27" s="431"/>
      <c r="FH27" s="431"/>
      <c r="FI27" s="431"/>
      <c r="FJ27" s="431" t="str">
        <f>IF('Match Day Reports'!$O63="","",'Match Day Reports'!$O63)</f>
        <v/>
      </c>
      <c r="FK27" s="431"/>
      <c r="FL27" s="431"/>
      <c r="FM27" s="431"/>
      <c r="FN27" s="431" t="str">
        <f>IF('Match Day Reports'!$O64="","",'Match Day Reports'!$O64)</f>
        <v/>
      </c>
      <c r="FO27" s="431"/>
      <c r="FP27" s="431"/>
      <c r="FQ27" s="431"/>
      <c r="FR27" s="431" t="str">
        <f>IF('Match Day Reports'!$O65="","",'Match Day Reports'!$O65)</f>
        <v/>
      </c>
      <c r="FS27" s="431"/>
      <c r="FT27" s="431"/>
      <c r="FU27" s="431"/>
      <c r="FV27" s="431" t="str">
        <f>IF('Match Day Reports'!$O66="","",'Match Day Reports'!$O66)</f>
        <v/>
      </c>
      <c r="FW27" s="431"/>
      <c r="FX27" s="431"/>
      <c r="FY27" s="431"/>
    </row>
    <row r="28" spans="2:201" x14ac:dyDescent="0.45">
      <c r="D28" s="120" t="s">
        <v>172</v>
      </c>
      <c r="CP28" s="432" t="str">
        <f>IF(OR(CP26="",CP27=""),"",IF(CP26&gt;CP27,"W",IF(CP26=CP27,"D","L")))</f>
        <v/>
      </c>
      <c r="CQ28" s="432"/>
      <c r="CR28" s="432"/>
      <c r="CS28" s="432"/>
      <c r="CT28" s="432" t="str">
        <f>IF(OR(CT26="",CT27=""),"",IF(CT26&gt;CT27,"W",IF(CT26=CT27,"D","L")))</f>
        <v/>
      </c>
      <c r="CU28" s="432"/>
      <c r="CV28" s="432"/>
      <c r="CW28" s="432"/>
      <c r="CX28" s="432" t="str">
        <f>IF(OR(CX26="",CX27=""),"",IF(CX26&gt;CX27,"W",IF(CX26=CX27,"D","L")))</f>
        <v/>
      </c>
      <c r="CY28" s="432"/>
      <c r="CZ28" s="432"/>
      <c r="DA28" s="432"/>
      <c r="DB28" s="432" t="str">
        <f>IF(OR(DB26="",DB27=""),"",IF(DB26&gt;DB27,"W",IF(DB26=DB27,"D","L")))</f>
        <v/>
      </c>
      <c r="DC28" s="432"/>
      <c r="DD28" s="432"/>
      <c r="DE28" s="432"/>
      <c r="DF28" s="432" t="str">
        <f>IF(OR(DF26="",DF27=""),"",IF(DF26&gt;DF27,"W",IF(DF26=DF27,"D","L")))</f>
        <v/>
      </c>
      <c r="DG28" s="432"/>
      <c r="DH28" s="432"/>
      <c r="DI28" s="432"/>
      <c r="DJ28" s="432" t="str">
        <f>IF(OR(DJ26="",DJ27=""),"",IF(DJ26&gt;DJ27,"W",IF(DJ26=DJ27,"D","L")))</f>
        <v/>
      </c>
      <c r="DK28" s="432"/>
      <c r="DL28" s="432"/>
      <c r="DM28" s="432"/>
      <c r="DN28" s="432" t="str">
        <f>IF(OR(DN26="",DN27=""),"",IF(DN26&gt;DN27,"W",IF(DN26=DN27,"D","L")))</f>
        <v/>
      </c>
      <c r="DO28" s="432"/>
      <c r="DP28" s="432"/>
      <c r="DQ28" s="432"/>
      <c r="DR28" s="432" t="str">
        <f>IF(OR(DR26="",DR27=""),"",IF(DR26&gt;DR27,"W",IF(DR26=DR27,"D","L")))</f>
        <v/>
      </c>
      <c r="DS28" s="432"/>
      <c r="DT28" s="432"/>
      <c r="DU28" s="432"/>
      <c r="DV28" s="432" t="str">
        <f>IF(OR(DV26="",DV27=""),"",IF(DV26&gt;DV27,"W",IF(DV26=DV27,"D","L")))</f>
        <v/>
      </c>
      <c r="DW28" s="432"/>
      <c r="DX28" s="432"/>
      <c r="DY28" s="432"/>
      <c r="DZ28" s="432" t="str">
        <f>IF(OR(DZ26="",DZ27=""),"",IF(DZ26&gt;DZ27,"W",IF(DZ26=DZ27,"D","L")))</f>
        <v/>
      </c>
      <c r="EA28" s="432"/>
      <c r="EB28" s="432"/>
      <c r="EC28" s="432"/>
      <c r="ED28" s="432" t="str">
        <f>IF(OR(ED26="",ED27=""),"",IF(ED26&gt;ED27,"W",IF(ED26=ED27,"D","L")))</f>
        <v/>
      </c>
      <c r="EE28" s="432"/>
      <c r="EF28" s="432"/>
      <c r="EG28" s="432"/>
      <c r="EH28" s="432" t="str">
        <f>IF(OR(EH26="",EH27=""),"",IF(EH26&gt;EH27,"W",IF(EH26=EH27,"D","L")))</f>
        <v/>
      </c>
      <c r="EI28" s="432"/>
      <c r="EJ28" s="432"/>
      <c r="EK28" s="432"/>
      <c r="EL28" s="432" t="str">
        <f>IF(OR(EL26="",EL27=""),"",IF(EL26&gt;EL27,"W",IF(EL26=EL27,"D","L")))</f>
        <v/>
      </c>
      <c r="EM28" s="432"/>
      <c r="EN28" s="432"/>
      <c r="EO28" s="432"/>
      <c r="EP28" s="432" t="str">
        <f>IF(OR(EP26="",EP27=""),"",IF(EP26&gt;EP27,"W",IF(EP26=EP27,"D","L")))</f>
        <v/>
      </c>
      <c r="EQ28" s="432"/>
      <c r="ER28" s="432"/>
      <c r="ES28" s="432"/>
      <c r="ET28" s="432" t="str">
        <f>IF(OR(ET26="",ET27=""),"",IF(ET26&gt;ET27,"W",IF(ET26=ET27,"D","L")))</f>
        <v/>
      </c>
      <c r="EU28" s="432"/>
      <c r="EV28" s="432"/>
      <c r="EW28" s="432"/>
      <c r="EX28" s="432" t="str">
        <f>IF(OR(EX26="",EX27=""),"",IF(EX26&gt;EX27,"W",IF(EX26=EX27,"D","L")))</f>
        <v/>
      </c>
      <c r="EY28" s="432"/>
      <c r="EZ28" s="432"/>
      <c r="FA28" s="432"/>
      <c r="FB28" s="432" t="str">
        <f>IF(OR(FB26="",FB27=""),"",IF(FB26&gt;FB27,"W",IF(FB26=FB27,"D","L")))</f>
        <v/>
      </c>
      <c r="FC28" s="432"/>
      <c r="FD28" s="432"/>
      <c r="FE28" s="432"/>
      <c r="FF28" s="432" t="str">
        <f>IF(OR(FF26="",FF27=""),"",IF(FF26&gt;FF27,"W",IF(FF26=FF27,"D","L")))</f>
        <v/>
      </c>
      <c r="FG28" s="432"/>
      <c r="FH28" s="432"/>
      <c r="FI28" s="432"/>
      <c r="FJ28" s="432" t="str">
        <f>IF(OR(FJ26="",FJ27=""),"",IF(FJ26&gt;FJ27,"W",IF(FJ26=FJ27,"D","L")))</f>
        <v/>
      </c>
      <c r="FK28" s="432"/>
      <c r="FL28" s="432"/>
      <c r="FM28" s="432"/>
      <c r="FN28" s="432" t="str">
        <f>IF(OR(FN26="",FN27=""),"",IF(FN26&gt;FN27,"W",IF(FN26=FN27,"D","L")))</f>
        <v/>
      </c>
      <c r="FO28" s="432"/>
      <c r="FP28" s="432"/>
      <c r="FQ28" s="432"/>
      <c r="FR28" s="432" t="str">
        <f>IF(OR(FR26="",FR27=""),"",IF(FR26&gt;FR27,"W",IF(FR26=FR27,"D","L")))</f>
        <v/>
      </c>
      <c r="FS28" s="432"/>
      <c r="FT28" s="432"/>
      <c r="FU28" s="432"/>
      <c r="FV28" s="432" t="str">
        <f>IF(OR(FV26="",FV27=""),"",IF(FV26&gt;FV27,"W",IF(FV26=FV27,"D","L")))</f>
        <v/>
      </c>
      <c r="FW28" s="432"/>
      <c r="FX28" s="432"/>
      <c r="FY28" s="432"/>
    </row>
    <row r="30" spans="2:201" x14ac:dyDescent="0.45">
      <c r="B30" s="372" t="s">
        <v>173</v>
      </c>
      <c r="C30" s="372"/>
      <c r="D30" s="372"/>
    </row>
    <row r="31" spans="2:201" x14ac:dyDescent="0.45">
      <c r="C31" s="121" t="s">
        <v>109</v>
      </c>
      <c r="D31" s="122" t="s">
        <v>110</v>
      </c>
      <c r="E31" s="433" t="s">
        <v>111</v>
      </c>
      <c r="F31" s="433"/>
      <c r="G31" s="433"/>
      <c r="H31" s="433"/>
      <c r="I31" s="433"/>
      <c r="J31" s="433"/>
      <c r="K31" s="433"/>
      <c r="L31" s="433"/>
      <c r="M31" s="433"/>
      <c r="N31" s="433"/>
    </row>
    <row r="32" spans="2:201" x14ac:dyDescent="0.45">
      <c r="C32" s="123">
        <v>5</v>
      </c>
      <c r="D32" s="124" t="s">
        <v>112</v>
      </c>
      <c r="E32" s="434" t="s">
        <v>174</v>
      </c>
      <c r="F32" s="434"/>
      <c r="G32" s="434"/>
      <c r="H32" s="434"/>
      <c r="I32" s="434"/>
      <c r="J32" s="434"/>
      <c r="K32" s="434"/>
      <c r="L32" s="434"/>
      <c r="M32" s="434"/>
      <c r="N32" s="434"/>
    </row>
    <row r="33" spans="2:14" x14ac:dyDescent="0.45">
      <c r="C33" s="125">
        <v>4</v>
      </c>
      <c r="D33" s="126" t="s">
        <v>114</v>
      </c>
      <c r="E33" s="435" t="s">
        <v>175</v>
      </c>
      <c r="F33" s="435"/>
      <c r="G33" s="435"/>
      <c r="H33" s="435"/>
      <c r="I33" s="435"/>
      <c r="J33" s="435"/>
      <c r="K33" s="435"/>
      <c r="L33" s="435"/>
      <c r="M33" s="435"/>
      <c r="N33" s="435"/>
    </row>
    <row r="34" spans="2:14" x14ac:dyDescent="0.45">
      <c r="C34" s="123">
        <v>3</v>
      </c>
      <c r="D34" s="124" t="s">
        <v>116</v>
      </c>
      <c r="E34" s="434" t="s">
        <v>176</v>
      </c>
      <c r="F34" s="434"/>
      <c r="G34" s="434"/>
      <c r="H34" s="434"/>
      <c r="I34" s="434"/>
      <c r="J34" s="434"/>
      <c r="K34" s="434"/>
      <c r="L34" s="434"/>
      <c r="M34" s="434"/>
      <c r="N34" s="434"/>
    </row>
    <row r="35" spans="2:14" x14ac:dyDescent="0.45">
      <c r="C35" s="125">
        <v>2</v>
      </c>
      <c r="D35" s="126" t="s">
        <v>118</v>
      </c>
      <c r="E35" s="435" t="s">
        <v>177</v>
      </c>
      <c r="F35" s="435"/>
      <c r="G35" s="435"/>
      <c r="H35" s="435"/>
      <c r="I35" s="435"/>
      <c r="J35" s="435"/>
      <c r="K35" s="435"/>
      <c r="L35" s="435"/>
      <c r="M35" s="435"/>
      <c r="N35" s="435"/>
    </row>
    <row r="36" spans="2:14" x14ac:dyDescent="0.45">
      <c r="C36" s="127">
        <v>1</v>
      </c>
      <c r="D36" s="128" t="s">
        <v>120</v>
      </c>
      <c r="E36" s="436" t="s">
        <v>178</v>
      </c>
      <c r="F36" s="436"/>
      <c r="G36" s="436"/>
      <c r="H36" s="436"/>
      <c r="I36" s="436"/>
      <c r="J36" s="436"/>
      <c r="K36" s="436"/>
      <c r="L36" s="436"/>
      <c r="M36" s="436"/>
      <c r="N36" s="436"/>
    </row>
    <row r="45" spans="2:14" x14ac:dyDescent="0.45">
      <c r="B45" s="372" t="s">
        <v>179</v>
      </c>
      <c r="C45" s="372"/>
      <c r="D45" s="372"/>
    </row>
    <row r="46" spans="2:14" x14ac:dyDescent="0.45">
      <c r="B46" s="129"/>
      <c r="C46" s="95">
        <v>1</v>
      </c>
      <c r="D46" s="96" t="s">
        <v>180</v>
      </c>
    </row>
    <row r="47" spans="2:14" x14ac:dyDescent="0.45">
      <c r="B47" s="130"/>
      <c r="C47" s="60">
        <v>2</v>
      </c>
      <c r="D47" s="105" t="s">
        <v>181</v>
      </c>
    </row>
    <row r="48" spans="2:14" x14ac:dyDescent="0.45">
      <c r="B48" s="130"/>
      <c r="C48" s="60">
        <v>3</v>
      </c>
      <c r="D48" s="105" t="s">
        <v>182</v>
      </c>
    </row>
    <row r="49" spans="2:14" x14ac:dyDescent="0.45">
      <c r="B49" s="130"/>
      <c r="C49" s="60">
        <v>4</v>
      </c>
      <c r="D49" s="105" t="s">
        <v>183</v>
      </c>
    </row>
    <row r="50" spans="2:14" x14ac:dyDescent="0.45">
      <c r="B50" s="130"/>
      <c r="C50" s="60">
        <v>5</v>
      </c>
      <c r="D50" s="105" t="s">
        <v>184</v>
      </c>
    </row>
    <row r="51" spans="2:14" x14ac:dyDescent="0.45">
      <c r="B51" s="130"/>
      <c r="C51" s="60">
        <v>6</v>
      </c>
      <c r="D51" s="105" t="s">
        <v>185</v>
      </c>
    </row>
    <row r="52" spans="2:14" x14ac:dyDescent="0.45">
      <c r="B52" s="130"/>
      <c r="C52" s="60">
        <v>7</v>
      </c>
      <c r="D52" s="105" t="s">
        <v>186</v>
      </c>
    </row>
    <row r="53" spans="2:14" x14ac:dyDescent="0.45">
      <c r="B53" s="130"/>
      <c r="C53" s="60">
        <v>8</v>
      </c>
      <c r="D53" s="105" t="s">
        <v>187</v>
      </c>
    </row>
    <row r="54" spans="2:14" x14ac:dyDescent="0.45">
      <c r="B54" s="130"/>
      <c r="C54" s="60">
        <v>9</v>
      </c>
      <c r="D54" s="105" t="s">
        <v>188</v>
      </c>
    </row>
    <row r="55" spans="2:14" x14ac:dyDescent="0.45">
      <c r="B55" s="130"/>
      <c r="C55" s="60">
        <v>10</v>
      </c>
      <c r="D55" s="105" t="s">
        <v>189</v>
      </c>
    </row>
    <row r="56" spans="2:14" x14ac:dyDescent="0.45">
      <c r="B56" s="131"/>
      <c r="C56" s="132">
        <v>11</v>
      </c>
      <c r="D56" s="133" t="s">
        <v>190</v>
      </c>
    </row>
    <row r="58" spans="2:14" x14ac:dyDescent="0.45">
      <c r="B58" s="372" t="s">
        <v>191</v>
      </c>
      <c r="C58" s="372"/>
      <c r="D58" s="372"/>
    </row>
    <row r="59" spans="2:14" x14ac:dyDescent="0.45">
      <c r="C59" s="121" t="s">
        <v>156</v>
      </c>
      <c r="D59" s="122" t="s">
        <v>110</v>
      </c>
      <c r="E59" s="433" t="s">
        <v>111</v>
      </c>
      <c r="F59" s="433"/>
      <c r="G59" s="433"/>
      <c r="H59" s="433"/>
      <c r="I59" s="433"/>
      <c r="J59" s="433"/>
      <c r="K59" s="433"/>
      <c r="L59" s="433"/>
      <c r="M59" s="433"/>
      <c r="N59" s="433"/>
    </row>
    <row r="60" spans="2:14" x14ac:dyDescent="0.45">
      <c r="C60" s="123" t="s">
        <v>192</v>
      </c>
      <c r="D60" s="124" t="s">
        <v>112</v>
      </c>
      <c r="E60" s="434" t="s">
        <v>193</v>
      </c>
      <c r="F60" s="434"/>
      <c r="G60" s="434"/>
      <c r="H60" s="434"/>
      <c r="I60" s="434"/>
      <c r="J60" s="434"/>
      <c r="K60" s="434"/>
      <c r="L60" s="434"/>
      <c r="M60" s="434"/>
      <c r="N60" s="434"/>
    </row>
    <row r="61" spans="2:14" x14ac:dyDescent="0.45">
      <c r="C61" s="125" t="s">
        <v>194</v>
      </c>
      <c r="D61" s="126" t="s">
        <v>195</v>
      </c>
      <c r="E61" s="435" t="s">
        <v>196</v>
      </c>
      <c r="F61" s="435"/>
      <c r="G61" s="435"/>
      <c r="H61" s="435"/>
      <c r="I61" s="435"/>
      <c r="J61" s="435"/>
      <c r="K61" s="435"/>
      <c r="L61" s="435"/>
      <c r="M61" s="435"/>
      <c r="N61" s="435"/>
    </row>
    <row r="62" spans="2:14" x14ac:dyDescent="0.45">
      <c r="C62" s="123" t="s">
        <v>197</v>
      </c>
      <c r="D62" s="124" t="s">
        <v>198</v>
      </c>
      <c r="E62" s="434" t="s">
        <v>199</v>
      </c>
      <c r="F62" s="434"/>
      <c r="G62" s="434"/>
      <c r="H62" s="434"/>
      <c r="I62" s="434"/>
      <c r="J62" s="434"/>
      <c r="K62" s="434"/>
      <c r="L62" s="434"/>
      <c r="M62" s="434"/>
      <c r="N62" s="434"/>
    </row>
    <row r="63" spans="2:14" x14ac:dyDescent="0.45">
      <c r="C63" s="125" t="s">
        <v>200</v>
      </c>
      <c r="D63" s="126" t="s">
        <v>201</v>
      </c>
      <c r="E63" s="435" t="s">
        <v>202</v>
      </c>
      <c r="F63" s="435"/>
      <c r="G63" s="435"/>
      <c r="H63" s="435"/>
      <c r="I63" s="435"/>
      <c r="J63" s="435"/>
      <c r="K63" s="435"/>
      <c r="L63" s="435"/>
      <c r="M63" s="435"/>
      <c r="N63" s="435"/>
    </row>
    <row r="64" spans="2:14" x14ac:dyDescent="0.45">
      <c r="C64" s="123" t="s">
        <v>203</v>
      </c>
      <c r="D64" s="124" t="s">
        <v>204</v>
      </c>
      <c r="E64" s="434" t="s">
        <v>205</v>
      </c>
      <c r="F64" s="434"/>
      <c r="G64" s="434"/>
      <c r="H64" s="434"/>
      <c r="I64" s="434"/>
      <c r="J64" s="434"/>
      <c r="K64" s="434"/>
      <c r="L64" s="434"/>
      <c r="M64" s="434"/>
      <c r="N64" s="434"/>
    </row>
    <row r="65" spans="2:92" x14ac:dyDescent="0.45">
      <c r="C65" s="134" t="s">
        <v>206</v>
      </c>
      <c r="D65" s="135" t="s">
        <v>207</v>
      </c>
      <c r="E65" s="437" t="s">
        <v>208</v>
      </c>
      <c r="F65" s="437"/>
      <c r="G65" s="437"/>
      <c r="H65" s="437"/>
      <c r="I65" s="437"/>
      <c r="J65" s="437"/>
      <c r="K65" s="437"/>
      <c r="L65" s="437"/>
      <c r="M65" s="437"/>
      <c r="N65" s="437"/>
    </row>
    <row r="68" spans="2:92" x14ac:dyDescent="0.45">
      <c r="B68" s="372" t="s">
        <v>209</v>
      </c>
      <c r="C68" s="372"/>
      <c r="D68" s="372"/>
    </row>
    <row r="69" spans="2:92" x14ac:dyDescent="0.45">
      <c r="C69" s="136"/>
      <c r="D69" s="137" t="s">
        <v>210</v>
      </c>
      <c r="E69" s="438">
        <f>IF(E3="","",E3)</f>
        <v>46259</v>
      </c>
      <c r="F69" s="438"/>
      <c r="G69" s="438" t="str">
        <f>IF(G3="","",G3)</f>
        <v/>
      </c>
      <c r="H69" s="438"/>
      <c r="I69" s="438" t="str">
        <f>IF(I3="","",I3)</f>
        <v/>
      </c>
      <c r="J69" s="438"/>
      <c r="K69" s="438" t="str">
        <f>IF(K3="","",K3)</f>
        <v/>
      </c>
      <c r="L69" s="438"/>
      <c r="M69" s="438" t="str">
        <f>IF(M3="","",M3)</f>
        <v/>
      </c>
      <c r="N69" s="438"/>
      <c r="O69" s="438" t="str">
        <f>IF(O3="","",O3)</f>
        <v/>
      </c>
      <c r="P69" s="438"/>
      <c r="Q69" s="438" t="str">
        <f>IF(Q3="","",Q3)</f>
        <v/>
      </c>
      <c r="R69" s="438"/>
      <c r="S69" s="438" t="str">
        <f>IF(S3="","",S3)</f>
        <v/>
      </c>
      <c r="T69" s="438"/>
      <c r="U69" s="438" t="str">
        <f>IF(U3="","",U3)</f>
        <v/>
      </c>
      <c r="V69" s="438"/>
      <c r="W69" s="438" t="str">
        <f>IF(W3="","",W3)</f>
        <v/>
      </c>
      <c r="X69" s="438"/>
      <c r="Y69" s="438" t="str">
        <f>IF(Y3="","",Y3)</f>
        <v/>
      </c>
      <c r="Z69" s="438"/>
      <c r="AA69" s="438" t="str">
        <f>IF(AA3="","",AA3)</f>
        <v/>
      </c>
      <c r="AB69" s="438"/>
      <c r="AC69" s="438" t="str">
        <f>IF(AC3="","",AC3)</f>
        <v/>
      </c>
      <c r="AD69" s="438"/>
      <c r="AE69" s="438" t="str">
        <f>IF(AE3="","",AE3)</f>
        <v/>
      </c>
      <c r="AF69" s="438"/>
      <c r="AG69" s="438" t="str">
        <f>IF(AG3="","",AG3)</f>
        <v/>
      </c>
      <c r="AH69" s="438"/>
      <c r="AI69" s="438" t="str">
        <f>IF(AI3="","",AI3)</f>
        <v/>
      </c>
      <c r="AJ69" s="438"/>
      <c r="AK69" s="438" t="str">
        <f>IF(AK3="","",AK3)</f>
        <v/>
      </c>
      <c r="AL69" s="438"/>
      <c r="AM69" s="438" t="str">
        <f>IF(AM3="","",AM3)</f>
        <v/>
      </c>
      <c r="AN69" s="438"/>
      <c r="AO69" s="438" t="str">
        <f>IF(AO3="","",AO3)</f>
        <v/>
      </c>
      <c r="AP69" s="438"/>
      <c r="AQ69" s="438" t="str">
        <f>IF(AQ3="","",AQ3)</f>
        <v/>
      </c>
      <c r="AR69" s="438"/>
      <c r="AS69" s="438" t="str">
        <f>IF(AS3="","",AS3)</f>
        <v/>
      </c>
      <c r="AT69" s="438"/>
      <c r="AU69" s="438" t="str">
        <f>IF(AU3="","",AU3)</f>
        <v/>
      </c>
      <c r="AV69" s="438"/>
      <c r="AW69" s="438" t="str">
        <f>IF(AW3="","",AW3)</f>
        <v/>
      </c>
      <c r="AX69" s="438"/>
      <c r="AY69" s="438" t="str">
        <f>IF(AY3="","",AY3)</f>
        <v/>
      </c>
      <c r="AZ69" s="438"/>
      <c r="BA69" s="438" t="str">
        <f>IF(BA3="","",BA3)</f>
        <v/>
      </c>
      <c r="BB69" s="438"/>
      <c r="BC69" s="438" t="str">
        <f>IF(BC3="","",BC3)</f>
        <v/>
      </c>
      <c r="BD69" s="438"/>
      <c r="BE69" s="438" t="str">
        <f>IF(BE3="","",BE3)</f>
        <v/>
      </c>
      <c r="BF69" s="438"/>
      <c r="BG69" s="438" t="str">
        <f>IF(BG3="","",BG3)</f>
        <v/>
      </c>
      <c r="BH69" s="438"/>
      <c r="BI69" s="438" t="str">
        <f>IF(BI3="","",BI3)</f>
        <v/>
      </c>
      <c r="BJ69" s="438"/>
      <c r="BK69" s="438" t="str">
        <f>IF(BK3="","",BK3)</f>
        <v/>
      </c>
      <c r="BL69" s="438"/>
      <c r="BM69" s="438" t="str">
        <f>IF(BM3="","",BM3)</f>
        <v/>
      </c>
      <c r="BN69" s="438"/>
      <c r="BO69" s="438" t="str">
        <f>IF(BO3="","",BO3)</f>
        <v/>
      </c>
      <c r="BP69" s="438"/>
      <c r="BQ69" s="438" t="str">
        <f>IF(BQ3="","",BQ3)</f>
        <v/>
      </c>
      <c r="BR69" s="438"/>
      <c r="BS69" s="438" t="str">
        <f>IF(BS3="","",BS3)</f>
        <v/>
      </c>
      <c r="BT69" s="438"/>
      <c r="BU69" s="438" t="str">
        <f>IF(BU3="","",BU3)</f>
        <v/>
      </c>
      <c r="BV69" s="438"/>
      <c r="BW69" s="438" t="str">
        <f>IF(BW3="","",BW3)</f>
        <v/>
      </c>
      <c r="BX69" s="438"/>
      <c r="BY69" s="438" t="str">
        <f>IF(BY3="","",BY3)</f>
        <v/>
      </c>
      <c r="BZ69" s="438"/>
      <c r="CA69" s="438" t="str">
        <f>IF(CA3="","",CA3)</f>
        <v/>
      </c>
      <c r="CB69" s="438"/>
      <c r="CC69" s="438" t="str">
        <f>IF(CC3="","",CC3)</f>
        <v/>
      </c>
      <c r="CD69" s="438"/>
      <c r="CE69" s="438" t="str">
        <f>IF(CE3="","",CE3)</f>
        <v/>
      </c>
      <c r="CF69" s="438"/>
      <c r="CG69" s="438" t="str">
        <f>IF(CG3="","",CG3)</f>
        <v/>
      </c>
      <c r="CH69" s="438"/>
      <c r="CI69" s="438" t="str">
        <f>IF(CI3="","",CI3)</f>
        <v/>
      </c>
      <c r="CJ69" s="438"/>
      <c r="CK69" s="438" t="str">
        <f>IF(CK3="","",CK3)</f>
        <v/>
      </c>
      <c r="CL69" s="438"/>
      <c r="CM69" s="438" t="str">
        <f>IF(CM3="","",CM3)</f>
        <v/>
      </c>
      <c r="CN69" s="438"/>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I69:CJ69"/>
    <mergeCell ref="CK69:CL69"/>
    <mergeCell ref="CM69:CN69"/>
    <mergeCell ref="BQ69:BR69"/>
    <mergeCell ref="BS69:BT69"/>
    <mergeCell ref="BU69:BV69"/>
    <mergeCell ref="BW69:BX69"/>
    <mergeCell ref="BY69:BZ69"/>
    <mergeCell ref="CA69:CB69"/>
    <mergeCell ref="CC69:CD69"/>
    <mergeCell ref="CE69:CF69"/>
    <mergeCell ref="CG69:CH69"/>
    <mergeCell ref="AY69:AZ69"/>
    <mergeCell ref="BA69:BB69"/>
    <mergeCell ref="BC69:BD69"/>
    <mergeCell ref="BE69:BF69"/>
    <mergeCell ref="BG69:BH69"/>
    <mergeCell ref="BI69:BJ69"/>
    <mergeCell ref="BK69:BL69"/>
    <mergeCell ref="BM69:BN69"/>
    <mergeCell ref="BO69:BP69"/>
    <mergeCell ref="AG69:AH69"/>
    <mergeCell ref="AI69:AJ69"/>
    <mergeCell ref="AK69:AL69"/>
    <mergeCell ref="AM69:AN69"/>
    <mergeCell ref="AO69:AP69"/>
    <mergeCell ref="AQ69:AR69"/>
    <mergeCell ref="AS69:AT69"/>
    <mergeCell ref="AU69:AV69"/>
    <mergeCell ref="AW69:AX69"/>
    <mergeCell ref="O69:P69"/>
    <mergeCell ref="Q69:R69"/>
    <mergeCell ref="S69:T69"/>
    <mergeCell ref="U69:V69"/>
    <mergeCell ref="W69:X69"/>
    <mergeCell ref="Y69:Z69"/>
    <mergeCell ref="AA69:AB69"/>
    <mergeCell ref="AC69:AD69"/>
    <mergeCell ref="AE69:AF69"/>
    <mergeCell ref="E59:N59"/>
    <mergeCell ref="E60:N60"/>
    <mergeCell ref="E61:N61"/>
    <mergeCell ref="E62:N62"/>
    <mergeCell ref="E63:N63"/>
    <mergeCell ref="E64:N64"/>
    <mergeCell ref="E65:N65"/>
    <mergeCell ref="B68:D68"/>
    <mergeCell ref="E69:F69"/>
    <mergeCell ref="G69:H69"/>
    <mergeCell ref="I69:J69"/>
    <mergeCell ref="K69:L69"/>
    <mergeCell ref="M69:N69"/>
    <mergeCell ref="B30:D30"/>
    <mergeCell ref="E31:N31"/>
    <mergeCell ref="E32:N32"/>
    <mergeCell ref="E33:N33"/>
    <mergeCell ref="E34:N34"/>
    <mergeCell ref="E35:N35"/>
    <mergeCell ref="E36:N36"/>
    <mergeCell ref="B45:D45"/>
    <mergeCell ref="B58:D58"/>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DZ3:EB3"/>
    <mergeCell ref="ED3:EF3"/>
    <mergeCell ref="EH3:EJ3"/>
    <mergeCell ref="EL3:EN3"/>
    <mergeCell ref="EP3:ER3"/>
    <mergeCell ref="ET3:EV3"/>
    <mergeCell ref="EX3:EZ3"/>
    <mergeCell ref="FB3:FD3"/>
    <mergeCell ref="FF3:FH3"/>
    <mergeCell ref="CP3:CR3"/>
    <mergeCell ref="CT3:CV3"/>
    <mergeCell ref="CX3:CZ3"/>
    <mergeCell ref="DB3:DD3"/>
    <mergeCell ref="DF3:DH3"/>
    <mergeCell ref="DJ3:DL3"/>
    <mergeCell ref="DN3:DP3"/>
    <mergeCell ref="DR3:DT3"/>
    <mergeCell ref="DV3:DX3"/>
    <mergeCell ref="BW3:BX3"/>
    <mergeCell ref="BY3:BZ3"/>
    <mergeCell ref="CA3:CB3"/>
    <mergeCell ref="CC3:CD3"/>
    <mergeCell ref="CE3:CF3"/>
    <mergeCell ref="CG3:CH3"/>
    <mergeCell ref="CI3:CJ3"/>
    <mergeCell ref="CK3:CL3"/>
    <mergeCell ref="CM3:CN3"/>
    <mergeCell ref="BE3:BF3"/>
    <mergeCell ref="BG3:BH3"/>
    <mergeCell ref="BI3:BJ3"/>
    <mergeCell ref="BK3:BL3"/>
    <mergeCell ref="BM3:BN3"/>
    <mergeCell ref="BO3:BP3"/>
    <mergeCell ref="BQ3:BR3"/>
    <mergeCell ref="BS3:BT3"/>
    <mergeCell ref="BU3:BV3"/>
    <mergeCell ref="AM3:AN3"/>
    <mergeCell ref="AO3:AP3"/>
    <mergeCell ref="AQ3:AR3"/>
    <mergeCell ref="AS3:AT3"/>
    <mergeCell ref="AU3:AV3"/>
    <mergeCell ref="AW3:AX3"/>
    <mergeCell ref="AY3:AZ3"/>
    <mergeCell ref="BA3:BB3"/>
    <mergeCell ref="BC3:BD3"/>
    <mergeCell ref="U3:V3"/>
    <mergeCell ref="W3:X3"/>
    <mergeCell ref="Y3:Z3"/>
    <mergeCell ref="AA3:AB3"/>
    <mergeCell ref="AC3:AD3"/>
    <mergeCell ref="AE3:AF3"/>
    <mergeCell ref="AG3:AH3"/>
    <mergeCell ref="AI3:AJ3"/>
    <mergeCell ref="AK3:AL3"/>
    <mergeCell ref="B3:D3"/>
    <mergeCell ref="E3:F3"/>
    <mergeCell ref="G3:H3"/>
    <mergeCell ref="I3:J3"/>
    <mergeCell ref="K3:L3"/>
    <mergeCell ref="M3:N3"/>
    <mergeCell ref="O3:P3"/>
    <mergeCell ref="Q3:R3"/>
    <mergeCell ref="S3:T3"/>
    <mergeCell ref="ET2:EW2"/>
    <mergeCell ref="EX2:FA2"/>
    <mergeCell ref="FB2:FE2"/>
    <mergeCell ref="FF2:FI2"/>
    <mergeCell ref="FJ2:FM2"/>
    <mergeCell ref="FN2:FQ2"/>
    <mergeCell ref="FR2:FU2"/>
    <mergeCell ref="FV2:FY2"/>
    <mergeCell ref="GH2:GJ2"/>
    <mergeCell ref="DJ2:DM2"/>
    <mergeCell ref="DN2:DQ2"/>
    <mergeCell ref="DR2:DU2"/>
    <mergeCell ref="DV2:DY2"/>
    <mergeCell ref="DZ2:EC2"/>
    <mergeCell ref="ED2:EG2"/>
    <mergeCell ref="EH2:EK2"/>
    <mergeCell ref="EL2:EO2"/>
    <mergeCell ref="EP2:ES2"/>
    <mergeCell ref="BY2:CB2"/>
    <mergeCell ref="CC2:CF2"/>
    <mergeCell ref="CG2:CJ2"/>
    <mergeCell ref="CK2:CN2"/>
    <mergeCell ref="CP2:CS2"/>
    <mergeCell ref="CT2:CW2"/>
    <mergeCell ref="CX2:DA2"/>
    <mergeCell ref="DB2:DE2"/>
    <mergeCell ref="DF2:DI2"/>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DZ1:EC1"/>
    <mergeCell ref="ED1:EG1"/>
    <mergeCell ref="EH1:EK1"/>
    <mergeCell ref="EL1:EO1"/>
    <mergeCell ref="EP1:ES1"/>
    <mergeCell ref="ET1:EW1"/>
    <mergeCell ref="EX1:FA1"/>
    <mergeCell ref="FB1:FE1"/>
    <mergeCell ref="FF1:FI1"/>
    <mergeCell ref="CP1:CS1"/>
    <mergeCell ref="CT1:CW1"/>
    <mergeCell ref="CX1:DA1"/>
    <mergeCell ref="DB1:DE1"/>
    <mergeCell ref="DF1:DI1"/>
    <mergeCell ref="DJ1:DM1"/>
    <mergeCell ref="DN1:DQ1"/>
    <mergeCell ref="DR1:DU1"/>
    <mergeCell ref="DV1:DY1"/>
  </mergeCells>
  <conditionalFormatting sqref="GA5:GN24">
    <cfRule type="expression" dxfId="13" priority="2">
      <formula>AND(MOD(ROW(),2)=0,$D5&lt;&gt;"")</formula>
    </cfRule>
  </conditionalFormatting>
  <dataValidations count="9">
    <dataValidation type="list" allowBlank="1" showInputMessage="1" showErrorMessage="1" sqref="E5:E24 G5:G24 I5:I24 K5:K24 M5:M24 O5:O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GP5:GP24" xr:uid="{00000000-0002-0000-0200-000000000000}">
      <formula1>"Yes,No"</formula1>
      <formula2>0</formula2>
    </dataValidation>
    <dataValidation type="list" allowBlank="1" showInputMessage="1" showErrorMessage="1" sqref="F5:F24 H5:H24 J5:J24 L5:L24 N5:N24 P5:P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CN5:CN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O6" activePane="bottomRight" state="frozen"/>
      <selection pane="topRight" activeCell="E1" sqref="E1"/>
      <selection pane="bottomLeft" activeCell="A18" sqref="A18"/>
      <selection pane="bottomRight" activeCell="W3" sqref="W3"/>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32" width="7.86328125" customWidth="1"/>
  </cols>
  <sheetData>
    <row r="2" spans="2:38" ht="18" customHeight="1" x14ac:dyDescent="0.55000000000000004">
      <c r="B2" s="370" t="s">
        <v>211</v>
      </c>
      <c r="C2" s="370"/>
      <c r="D2" s="370"/>
    </row>
    <row r="3" spans="2:38" x14ac:dyDescent="0.45">
      <c r="B3" s="371" t="s">
        <v>212</v>
      </c>
      <c r="C3" s="371"/>
      <c r="D3" s="371"/>
      <c r="E3" s="371"/>
      <c r="F3" s="371"/>
      <c r="G3" s="371"/>
      <c r="H3" s="371"/>
    </row>
    <row r="4" spans="2:38" x14ac:dyDescent="0.45">
      <c r="E4" s="439" t="s">
        <v>213</v>
      </c>
      <c r="F4" s="439"/>
      <c r="G4" s="439"/>
      <c r="H4" s="439"/>
      <c r="I4" s="439"/>
      <c r="J4" s="439"/>
      <c r="K4" s="439"/>
      <c r="L4" s="439"/>
      <c r="M4" s="373" t="s">
        <v>214</v>
      </c>
      <c r="N4" s="373"/>
      <c r="O4" s="373"/>
      <c r="P4" s="373"/>
      <c r="Q4" s="373"/>
      <c r="R4" s="373"/>
      <c r="S4" s="373"/>
      <c r="T4" s="373"/>
      <c r="U4" s="373"/>
      <c r="V4" s="439" t="s">
        <v>215</v>
      </c>
      <c r="W4" s="439"/>
      <c r="X4" s="439"/>
      <c r="Y4" s="439"/>
      <c r="Z4" s="439"/>
      <c r="AA4" s="373" t="s">
        <v>216</v>
      </c>
      <c r="AB4" s="373"/>
      <c r="AC4" s="373"/>
      <c r="AD4" s="373"/>
      <c r="AE4" s="373"/>
      <c r="AF4" s="373"/>
      <c r="AH4" s="439" t="s">
        <v>217</v>
      </c>
      <c r="AI4" s="439"/>
      <c r="AJ4" s="439"/>
      <c r="AK4" s="439"/>
      <c r="AL4" s="439"/>
    </row>
    <row r="5" spans="2:38" ht="43.5" customHeight="1" x14ac:dyDescent="0.45">
      <c r="B5" s="144" t="s">
        <v>154</v>
      </c>
      <c r="C5" s="145" t="s">
        <v>18</v>
      </c>
      <c r="D5" s="145" t="s">
        <v>218</v>
      </c>
      <c r="E5" s="146" t="s">
        <v>219</v>
      </c>
      <c r="F5" s="146" t="s">
        <v>220</v>
      </c>
      <c r="G5" s="146" t="s">
        <v>221</v>
      </c>
      <c r="H5" s="146" t="s">
        <v>222</v>
      </c>
      <c r="I5" s="146" t="s">
        <v>223</v>
      </c>
      <c r="J5" s="146" t="s">
        <v>224</v>
      </c>
      <c r="K5" s="146" t="s">
        <v>225</v>
      </c>
      <c r="L5" s="146" t="s">
        <v>226</v>
      </c>
      <c r="M5" s="146" t="s">
        <v>227</v>
      </c>
      <c r="N5" s="146" t="s">
        <v>228</v>
      </c>
      <c r="O5" s="146" t="s">
        <v>229</v>
      </c>
      <c r="P5" s="146" t="s">
        <v>230</v>
      </c>
      <c r="Q5" s="146" t="s">
        <v>231</v>
      </c>
      <c r="R5" s="146" t="s">
        <v>232</v>
      </c>
      <c r="S5" s="146" t="s">
        <v>233</v>
      </c>
      <c r="T5" s="146" t="s">
        <v>40</v>
      </c>
      <c r="U5" s="146" t="s">
        <v>234</v>
      </c>
      <c r="V5" s="146" t="s">
        <v>235</v>
      </c>
      <c r="W5" s="146" t="s">
        <v>236</v>
      </c>
      <c r="X5" s="146" t="s">
        <v>237</v>
      </c>
      <c r="Y5" s="146" t="s">
        <v>238</v>
      </c>
      <c r="Z5" s="146" t="s">
        <v>239</v>
      </c>
      <c r="AA5" s="146" t="s">
        <v>240</v>
      </c>
      <c r="AB5" s="146" t="s">
        <v>241</v>
      </c>
      <c r="AC5" s="146" t="s">
        <v>242</v>
      </c>
      <c r="AD5" s="147" t="s">
        <v>243</v>
      </c>
      <c r="AE5" s="146" t="s">
        <v>244</v>
      </c>
      <c r="AF5" s="146" t="s">
        <v>245</v>
      </c>
      <c r="AG5" s="77"/>
      <c r="AH5" s="146" t="s">
        <v>246</v>
      </c>
      <c r="AI5" s="146" t="s">
        <v>247</v>
      </c>
      <c r="AJ5" s="146" t="s">
        <v>248</v>
      </c>
      <c r="AK5" s="146" t="s">
        <v>249</v>
      </c>
      <c r="AL5" s="148" t="s">
        <v>250</v>
      </c>
    </row>
    <row r="6" spans="2:38" x14ac:dyDescent="0.45">
      <c r="B6" s="149">
        <f>IF(Attendance!$D5="","",Attendance!$C5)</f>
        <v>1</v>
      </c>
      <c r="C6" s="150" t="str">
        <f>IF(Attendance!$D5="","",Attendance!$D5)</f>
        <v>Aoife Kennan</v>
      </c>
      <c r="D6" s="151" t="s">
        <v>251</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505</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253</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252</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506</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254</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255</v>
      </c>
      <c r="E12" s="57">
        <v>10</v>
      </c>
      <c r="F12" s="57">
        <v>12</v>
      </c>
      <c r="G12" s="57">
        <v>10</v>
      </c>
      <c r="H12" s="57">
        <v>10</v>
      </c>
      <c r="I12" s="57">
        <v>10</v>
      </c>
      <c r="J12" s="57">
        <v>8</v>
      </c>
      <c r="K12" s="57">
        <v>8</v>
      </c>
      <c r="L12" s="57">
        <v>8</v>
      </c>
      <c r="M12" s="57">
        <v>12</v>
      </c>
      <c r="N12" s="57">
        <v>9</v>
      </c>
      <c r="O12" s="57">
        <v>8</v>
      </c>
      <c r="P12" s="57">
        <v>8</v>
      </c>
      <c r="Q12" s="57">
        <v>8</v>
      </c>
      <c r="R12" s="57">
        <v>5</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8.3333333333333339</v>
      </c>
      <c r="AJ12" s="35">
        <f t="shared" si="2"/>
        <v>9.1999999999999993</v>
      </c>
      <c r="AK12" s="35" t="str">
        <f t="shared" si="3"/>
        <v/>
      </c>
      <c r="AL12" s="154">
        <f t="shared" si="4"/>
        <v>9.0111111111111111</v>
      </c>
    </row>
    <row r="13" spans="2:38" x14ac:dyDescent="0.45">
      <c r="B13" s="155">
        <f>IF(Attendance!$D12="","",Attendance!$C12)</f>
        <v>8</v>
      </c>
      <c r="C13" s="156" t="str">
        <f>IF(Attendance!$D12="","",Attendance!$D12)</f>
        <v>Shauna Kavanagh</v>
      </c>
      <c r="D13" s="157" t="s">
        <v>256</v>
      </c>
      <c r="E13" s="57">
        <v>8</v>
      </c>
      <c r="F13" s="57">
        <v>9</v>
      </c>
      <c r="G13" s="57">
        <v>9</v>
      </c>
      <c r="H13" s="57">
        <v>11</v>
      </c>
      <c r="I13" s="57">
        <v>8</v>
      </c>
      <c r="J13" s="57">
        <v>8</v>
      </c>
      <c r="K13" s="57">
        <v>6</v>
      </c>
      <c r="L13" s="57">
        <v>2</v>
      </c>
      <c r="M13" s="57">
        <v>10</v>
      </c>
      <c r="N13" s="57">
        <v>6</v>
      </c>
      <c r="O13" s="57">
        <v>6</v>
      </c>
      <c r="P13" s="57">
        <v>8</v>
      </c>
      <c r="Q13" s="57">
        <v>9</v>
      </c>
      <c r="R13" s="57">
        <v>2</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6.7777777777777777</v>
      </c>
      <c r="AJ13" s="109">
        <f t="shared" si="2"/>
        <v>8.8000000000000007</v>
      </c>
      <c r="AK13" s="109" t="str">
        <f t="shared" si="3"/>
        <v/>
      </c>
      <c r="AL13" s="158">
        <f t="shared" si="4"/>
        <v>7.7342592592592601</v>
      </c>
    </row>
    <row r="14" spans="2:38" x14ac:dyDescent="0.45">
      <c r="B14" s="149">
        <f>IF(Attendance!$D13="","",Attendance!$C13)</f>
        <v>9</v>
      </c>
      <c r="C14" s="150" t="str">
        <f>IF(Attendance!$D13="","",Attendance!$D13)</f>
        <v>Tara Brannigan</v>
      </c>
      <c r="D14" s="151" t="s">
        <v>257</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258</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259</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260</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257</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261</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262</v>
      </c>
      <c r="E20" s="57">
        <v>9</v>
      </c>
      <c r="F20" s="57">
        <v>12</v>
      </c>
      <c r="G20" s="57">
        <v>12</v>
      </c>
      <c r="H20" s="57">
        <v>12</v>
      </c>
      <c r="I20" s="57">
        <v>12</v>
      </c>
      <c r="J20" s="57">
        <v>10</v>
      </c>
      <c r="K20" s="57">
        <v>12</v>
      </c>
      <c r="L20" s="57">
        <v>5</v>
      </c>
      <c r="M20" s="57">
        <v>13</v>
      </c>
      <c r="N20" s="57">
        <v>12</v>
      </c>
      <c r="O20" s="57">
        <v>10</v>
      </c>
      <c r="P20" s="57">
        <v>12</v>
      </c>
      <c r="Q20" s="57">
        <v>11</v>
      </c>
      <c r="R20" s="57">
        <v>9</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10.5</v>
      </c>
      <c r="AI20" s="35">
        <f t="shared" si="1"/>
        <v>11.666666666666666</v>
      </c>
      <c r="AJ20" s="35">
        <f t="shared" si="2"/>
        <v>11.2</v>
      </c>
      <c r="AK20" s="35">
        <f t="shared" si="3"/>
        <v>8.6666666666666661</v>
      </c>
      <c r="AL20" s="154">
        <f t="shared" si="4"/>
        <v>10.508333333333331</v>
      </c>
    </row>
    <row r="21" spans="2:38" x14ac:dyDescent="0.45">
      <c r="B21" s="155">
        <f>IF(Attendance!$D20="","",Attendance!$C20)</f>
        <v>16</v>
      </c>
      <c r="C21" s="156" t="str">
        <f>IF(Attendance!$D20="","",Attendance!$D20)</f>
        <v>Zara Freeman</v>
      </c>
      <c r="D21" s="157" t="s">
        <v>263</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v>
      </c>
      <c r="D22" s="151" t="s">
        <v>264</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8</v>
      </c>
      <c r="Y22" s="57">
        <v>8</v>
      </c>
      <c r="Z22" s="152">
        <v>8</v>
      </c>
      <c r="AA22" s="57"/>
      <c r="AB22" s="57"/>
      <c r="AC22" s="57"/>
      <c r="AD22" s="57"/>
      <c r="AE22" s="57"/>
      <c r="AF22" s="57"/>
      <c r="AG22" s="153"/>
      <c r="AH22" s="35">
        <f t="shared" si="0"/>
        <v>7.75</v>
      </c>
      <c r="AI22" s="35">
        <f t="shared" si="1"/>
        <v>14.111111111111111</v>
      </c>
      <c r="AJ22" s="35">
        <f t="shared" si="2"/>
        <v>9.6</v>
      </c>
      <c r="AK22" s="35" t="str">
        <f t="shared" si="3"/>
        <v/>
      </c>
      <c r="AL22" s="154">
        <f t="shared" si="4"/>
        <v>10.487037037037036</v>
      </c>
    </row>
    <row r="23" spans="2:38" x14ac:dyDescent="0.45">
      <c r="B23" s="155">
        <f>IF(Attendance!$D22="","",Attendance!$C22)</f>
        <v>18</v>
      </c>
      <c r="C23" s="156" t="str">
        <f>IF(Attendance!$D22="","",Attendance!$D22)</f>
        <v>Rama</v>
      </c>
      <c r="D23" s="157" t="s">
        <v>523</v>
      </c>
      <c r="E23" s="369">
        <v>12</v>
      </c>
      <c r="F23" s="369">
        <v>12</v>
      </c>
      <c r="G23" s="369">
        <v>15</v>
      </c>
      <c r="H23" s="369">
        <v>15</v>
      </c>
      <c r="I23" s="369">
        <v>14</v>
      </c>
      <c r="J23" s="369">
        <v>16</v>
      </c>
      <c r="K23" s="369">
        <v>10</v>
      </c>
      <c r="L23" s="369">
        <v>10</v>
      </c>
      <c r="M23" s="369">
        <v>16</v>
      </c>
      <c r="N23" s="369">
        <v>16</v>
      </c>
      <c r="O23" s="369">
        <v>15</v>
      </c>
      <c r="P23" s="369">
        <v>15</v>
      </c>
      <c r="Q23" s="369">
        <v>15</v>
      </c>
      <c r="R23" s="369">
        <v>12</v>
      </c>
      <c r="S23" s="369">
        <v>15</v>
      </c>
      <c r="T23" s="369">
        <v>15</v>
      </c>
      <c r="U23" s="369">
        <v>15</v>
      </c>
      <c r="V23" s="369">
        <v>13</v>
      </c>
      <c r="W23" s="369">
        <v>13</v>
      </c>
      <c r="X23" s="369">
        <v>13</v>
      </c>
      <c r="Y23" s="369">
        <v>13</v>
      </c>
      <c r="Z23" s="369">
        <v>13</v>
      </c>
      <c r="AA23" s="369"/>
      <c r="AB23" s="369"/>
      <c r="AC23" s="369"/>
      <c r="AD23" s="369"/>
      <c r="AE23" s="369"/>
      <c r="AF23" s="369"/>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265</v>
      </c>
      <c r="E27" s="165">
        <f t="shared" ref="E27:AF27" si="5">IFERROR(AVERAGE(E6:E25),"")</f>
        <v>4.5555555555555554</v>
      </c>
      <c r="F27" s="165">
        <f t="shared" si="5"/>
        <v>8</v>
      </c>
      <c r="G27" s="165">
        <f t="shared" si="5"/>
        <v>11.388888888888889</v>
      </c>
      <c r="H27" s="165">
        <f t="shared" si="5"/>
        <v>9.5555555555555554</v>
      </c>
      <c r="I27" s="165">
        <f t="shared" si="5"/>
        <v>8.2777777777777786</v>
      </c>
      <c r="J27" s="165">
        <f t="shared" si="5"/>
        <v>11.055555555555555</v>
      </c>
      <c r="K27" s="165">
        <f t="shared" si="5"/>
        <v>5.8888888888888893</v>
      </c>
      <c r="L27" s="165">
        <f t="shared" si="5"/>
        <v>8</v>
      </c>
      <c r="M27" s="165">
        <f t="shared" si="5"/>
        <v>12.388888888888889</v>
      </c>
      <c r="N27" s="165">
        <f t="shared" si="5"/>
        <v>12</v>
      </c>
      <c r="O27" s="165">
        <f t="shared" si="5"/>
        <v>11.111111111111111</v>
      </c>
      <c r="P27" s="165">
        <f t="shared" si="5"/>
        <v>12.888888888888889</v>
      </c>
      <c r="Q27" s="165">
        <f t="shared" si="5"/>
        <v>11.777777777777779</v>
      </c>
      <c r="R27" s="165">
        <f t="shared" si="5"/>
        <v>12.222222222222221</v>
      </c>
      <c r="S27" s="165">
        <f t="shared" si="5"/>
        <v>11.166666666666666</v>
      </c>
      <c r="T27" s="165">
        <f t="shared" si="5"/>
        <v>12.666666666666666</v>
      </c>
      <c r="U27" s="165">
        <f t="shared" si="5"/>
        <v>12.5</v>
      </c>
      <c r="V27" s="165">
        <f t="shared" si="5"/>
        <v>11.111111111111111</v>
      </c>
      <c r="W27" s="165">
        <f t="shared" si="5"/>
        <v>11</v>
      </c>
      <c r="X27" s="165">
        <f t="shared" si="5"/>
        <v>10.833333333333334</v>
      </c>
      <c r="Y27" s="165">
        <f t="shared" si="5"/>
        <v>11.277777777777779</v>
      </c>
      <c r="Z27" s="165">
        <f t="shared" si="5"/>
        <v>11.722222222222221</v>
      </c>
      <c r="AA27" s="165">
        <f t="shared" si="5"/>
        <v>9</v>
      </c>
      <c r="AB27" s="165">
        <f t="shared" si="5"/>
        <v>8</v>
      </c>
      <c r="AC27" s="165">
        <f t="shared" si="5"/>
        <v>9</v>
      </c>
      <c r="AD27" s="165">
        <f t="shared" si="5"/>
        <v>8</v>
      </c>
      <c r="AE27" s="165">
        <f t="shared" si="5"/>
        <v>8</v>
      </c>
      <c r="AF27" s="165">
        <f t="shared" si="5"/>
        <v>8</v>
      </c>
      <c r="AG27" s="165"/>
      <c r="AH27" s="165">
        <f>IFERROR(AVERAGE(AH6:AH25),"")</f>
        <v>8.3402777777777786</v>
      </c>
      <c r="AI27" s="165">
        <f>IFERROR(AVERAGE(AI6:AI25),"")</f>
        <v>12.080246913580247</v>
      </c>
      <c r="AJ27" s="165">
        <f>IFERROR(AVERAGE(AJ6:AJ25),"")</f>
        <v>11.188888888888888</v>
      </c>
      <c r="AK27" s="165">
        <f>IFERROR(AVERAGE(AK6:AK25),"")</f>
        <v>8.3333333333333321</v>
      </c>
      <c r="AL27" s="165">
        <f>IFERROR(AVERAGE(AL6:AL25),"")</f>
        <v>10.526363168724279</v>
      </c>
    </row>
    <row r="30" spans="2:38" x14ac:dyDescent="0.45">
      <c r="B30" s="372" t="s">
        <v>266</v>
      </c>
      <c r="C30" s="372"/>
      <c r="D30" s="372"/>
    </row>
    <row r="31" spans="2:38" x14ac:dyDescent="0.45">
      <c r="C31" s="121" t="s">
        <v>267</v>
      </c>
      <c r="D31" s="166" t="s">
        <v>218</v>
      </c>
    </row>
    <row r="32" spans="2:38" x14ac:dyDescent="0.45">
      <c r="C32" s="167" t="s">
        <v>251</v>
      </c>
      <c r="D32" s="168" t="s">
        <v>268</v>
      </c>
    </row>
    <row r="33" spans="2:8" x14ac:dyDescent="0.45">
      <c r="C33" s="167" t="s">
        <v>253</v>
      </c>
      <c r="D33" s="168" t="s">
        <v>269</v>
      </c>
    </row>
    <row r="34" spans="2:8" x14ac:dyDescent="0.45">
      <c r="C34" s="167" t="s">
        <v>270</v>
      </c>
      <c r="D34" s="168" t="s">
        <v>271</v>
      </c>
    </row>
    <row r="35" spans="2:8" x14ac:dyDescent="0.45">
      <c r="C35" s="167" t="s">
        <v>260</v>
      </c>
      <c r="D35" s="168" t="s">
        <v>272</v>
      </c>
    </row>
    <row r="36" spans="2:8" x14ac:dyDescent="0.45">
      <c r="C36" s="167" t="s">
        <v>273</v>
      </c>
      <c r="D36" s="168" t="s">
        <v>274</v>
      </c>
    </row>
    <row r="37" spans="2:8" x14ac:dyDescent="0.45">
      <c r="C37" s="167" t="s">
        <v>275</v>
      </c>
      <c r="D37" s="168" t="s">
        <v>276</v>
      </c>
    </row>
    <row r="38" spans="2:8" x14ac:dyDescent="0.45">
      <c r="C38" s="167" t="s">
        <v>277</v>
      </c>
      <c r="D38" s="168" t="s">
        <v>278</v>
      </c>
    </row>
    <row r="39" spans="2:8" x14ac:dyDescent="0.45">
      <c r="C39" s="167" t="s">
        <v>279</v>
      </c>
      <c r="D39" s="168" t="s">
        <v>280</v>
      </c>
    </row>
    <row r="40" spans="2:8" x14ac:dyDescent="0.45">
      <c r="C40" s="167" t="s">
        <v>281</v>
      </c>
      <c r="D40" s="168" t="s">
        <v>282</v>
      </c>
    </row>
    <row r="41" spans="2:8" x14ac:dyDescent="0.45">
      <c r="C41" s="169" t="s">
        <v>283</v>
      </c>
      <c r="D41" s="170" t="s">
        <v>284</v>
      </c>
    </row>
    <row r="43" spans="2:8" x14ac:dyDescent="0.45">
      <c r="B43" s="371" t="s">
        <v>285</v>
      </c>
      <c r="C43" s="371"/>
      <c r="D43" s="371"/>
      <c r="E43" s="371"/>
      <c r="F43" s="371"/>
      <c r="G43" s="371"/>
      <c r="H43" s="371"/>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12"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AD142"/>
  <sheetViews>
    <sheetView zoomScaleNormal="100" workbookViewId="0">
      <pane xSplit="1" ySplit="6" topLeftCell="F7" activePane="bottomRight" state="frozen"/>
      <selection pane="topRight" activeCell="B1" sqref="B1"/>
      <selection pane="bottomLeft" activeCell="A39" sqref="A39"/>
      <selection pane="bottomRight" activeCell="G46" sqref="G46"/>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370" t="s">
        <v>286</v>
      </c>
      <c r="C2" s="370"/>
      <c r="D2" s="370"/>
      <c r="E2" s="370"/>
      <c r="F2" s="370"/>
    </row>
    <row r="3" spans="2:21" x14ac:dyDescent="0.45">
      <c r="B3" s="371" t="s">
        <v>287</v>
      </c>
      <c r="C3" s="371"/>
      <c r="D3" s="371"/>
      <c r="E3" s="371"/>
      <c r="F3" s="371"/>
      <c r="G3" s="371"/>
      <c r="H3" s="371"/>
      <c r="I3" s="371"/>
      <c r="J3" s="371"/>
      <c r="K3" s="371"/>
      <c r="L3" s="371"/>
    </row>
    <row r="4" spans="2:21" ht="18" customHeight="1" x14ac:dyDescent="0.45">
      <c r="B4" s="171" t="s">
        <v>288</v>
      </c>
      <c r="C4" s="172" t="s">
        <v>289</v>
      </c>
      <c r="D4" s="172" t="s">
        <v>290</v>
      </c>
      <c r="E4" s="172" t="s">
        <v>291</v>
      </c>
      <c r="F4" s="172" t="s">
        <v>292</v>
      </c>
      <c r="G4" s="173"/>
      <c r="H4" s="172" t="s">
        <v>293</v>
      </c>
      <c r="I4" s="172" t="s">
        <v>294</v>
      </c>
      <c r="J4" s="173"/>
      <c r="K4" s="172" t="s">
        <v>295</v>
      </c>
      <c r="L4" s="173"/>
      <c r="N4" s="174" t="s">
        <v>296</v>
      </c>
      <c r="O4" s="175" t="s">
        <v>297</v>
      </c>
      <c r="Q4" s="176" t="s">
        <v>298</v>
      </c>
    </row>
    <row r="5" spans="2:21" ht="26.25" customHeight="1" x14ac:dyDescent="0.45">
      <c r="B5" s="177" t="s">
        <v>299</v>
      </c>
      <c r="C5" s="178" t="s">
        <v>300</v>
      </c>
      <c r="D5" s="178" t="s">
        <v>301</v>
      </c>
      <c r="E5" s="178" t="s">
        <v>302</v>
      </c>
      <c r="F5" s="178" t="s">
        <v>303</v>
      </c>
      <c r="G5" s="178" t="s">
        <v>304</v>
      </c>
      <c r="H5" s="178" t="s">
        <v>305</v>
      </c>
      <c r="I5" s="179"/>
      <c r="J5" s="180" t="s">
        <v>306</v>
      </c>
      <c r="K5" s="181" t="s">
        <v>307</v>
      </c>
      <c r="L5" s="181" t="s">
        <v>507</v>
      </c>
      <c r="M5" s="182" t="s">
        <v>308</v>
      </c>
      <c r="N5" s="182" t="s">
        <v>309</v>
      </c>
      <c r="O5" s="182" t="s">
        <v>310</v>
      </c>
    </row>
    <row r="6" spans="2:21" x14ac:dyDescent="0.45">
      <c r="B6" s="183">
        <v>1</v>
      </c>
      <c r="C6" s="184" t="str">
        <f t="array" ref="C6">IFERROR(IF($B$6="","",IF(LEN(INDEX(Attendance!$CP$3:$FY$3,1,($B$6-1)*4+1))=0,"",INDEX(Attendance!$CP$3:$FY$3,1,($B$6-1)*4+1))),"")</f>
        <v>Enniskerry FC</v>
      </c>
      <c r="D6" s="184" t="str">
        <f t="array" ref="D6">IFERROR(IF($B$6="","",IF(LEN(INDEX(Attendance!$CP$3:$FY$3,1,($B$6-1)*4+4))=0,"",INDEX(Attendance!$CP$3:$FY$3,1,($B$6-1)*4+4))),"")</f>
        <v>H</v>
      </c>
      <c r="E6" s="185">
        <f t="array" ref="E6">IFERROR(IF($B$6="","",IF(LEN(INDEX(Attendance!$CP$2:$FY$2,1,($B$6-1)*4+1))=0,"",INDEX(Attendance!$CP$2:$FY$2,1,($B$6-1)*4+1))),"")</f>
        <v>46264</v>
      </c>
      <c r="F6" s="186" t="str">
        <f t="array" ref="F6">IFERROR(IF($B$6="","",IF(LEN(INDEX(Attendance!$CP$26:$FY$26,1,($B$6-1)*4+1))=0,"",INDEX(Attendance!$CP$26:$FY$26,1,($B$6-1)*4+1))),"")</f>
        <v/>
      </c>
      <c r="G6" s="186" t="str">
        <f t="array" ref="G6">IFERROR(IF($B$6="","",IF(LEN(INDEX(Attendance!$CP$27:$FY$27,1,($B$6-1)*4+1))=0,"",INDEX(Attendance!$CP$27:$FY$27,1,($B$6-1)*4+1))),"")</f>
        <v/>
      </c>
      <c r="H6" s="184" t="str">
        <f t="array" ref="H6">IFERROR(IF($B$6="","",IF(LEN(INDEX(Attendance!$CP$28:$FY$28,1,($B$6-1)*4+1))=0,"",INDEX(Attendance!$CP$28:$FY$28,1,($B$6-1)*4+1))),"")</f>
        <v/>
      </c>
      <c r="I6" s="187"/>
      <c r="J6" s="188" t="s">
        <v>311</v>
      </c>
      <c r="K6" s="189">
        <v>2</v>
      </c>
      <c r="L6" s="366" t="s">
        <v>513</v>
      </c>
      <c r="M6" s="190" t="str">
        <f>$D$139</f>
        <v>16 of 18</v>
      </c>
      <c r="N6" s="191">
        <f>$D$140</f>
        <v>2</v>
      </c>
      <c r="O6" s="191">
        <f>$D$141</f>
        <v>0</v>
      </c>
    </row>
    <row r="8" spans="2:21" ht="14.25" customHeight="1" thickBot="1" x14ac:dyDescent="0.5">
      <c r="B8" s="372" t="s">
        <v>312</v>
      </c>
      <c r="C8" s="372"/>
      <c r="D8" s="372"/>
      <c r="E8" s="372"/>
      <c r="F8" s="372"/>
      <c r="G8" s="373" t="str">
        <f>"2. STARTING XI — "&amp;$L$6&amp;" SHAPE"</f>
        <v>2. STARTING XI — 3-5-2 SHAPE</v>
      </c>
      <c r="H8" s="373"/>
      <c r="I8" s="373"/>
      <c r="J8" s="373"/>
      <c r="K8" s="373"/>
      <c r="L8" s="373"/>
      <c r="M8" s="373"/>
      <c r="N8" s="373"/>
      <c r="O8" s="373"/>
      <c r="P8" s="373"/>
      <c r="Q8" s="373"/>
      <c r="R8" s="373"/>
      <c r="S8" s="373"/>
      <c r="T8" s="373"/>
      <c r="U8" s="373"/>
    </row>
    <row r="9" spans="2:21" ht="14.25" customHeight="1" thickTop="1" x14ac:dyDescent="0.45">
      <c r="G9" s="374" t="str">
        <f>IF($L$6="3-5-2","",$AA$98)</f>
        <v/>
      </c>
      <c r="H9" s="375"/>
      <c r="I9" s="376"/>
      <c r="J9" s="374" t="str">
        <f>IF($L$6="3-5-2",$AA$97,"")</f>
        <v>ST</v>
      </c>
      <c r="K9" s="375"/>
      <c r="L9" s="376"/>
      <c r="M9" s="374" t="str">
        <f>IF($L$6="3-5-2","",$AA$97)</f>
        <v/>
      </c>
      <c r="N9" s="375"/>
      <c r="O9" s="376"/>
      <c r="P9" s="374" t="str">
        <f>IF($L$6="3-5-2",$AA$98,"")</f>
        <v>ST</v>
      </c>
      <c r="Q9" s="375"/>
      <c r="R9" s="376"/>
      <c r="S9" s="374" t="str">
        <f>IF($L$6="3-5-2","",$AA$96)</f>
        <v/>
      </c>
      <c r="T9" s="375"/>
      <c r="U9" s="376"/>
    </row>
    <row r="10" spans="2:21" x14ac:dyDescent="0.45">
      <c r="B10" s="377" t="s">
        <v>299</v>
      </c>
      <c r="C10" s="377"/>
      <c r="D10" s="378" t="str">
        <f>IF($B$6="","","GW "&amp;$B$6&amp;" of 22")</f>
        <v>GW 1 of 22</v>
      </c>
      <c r="E10" s="378"/>
      <c r="F10" s="379"/>
      <c r="G10" s="380" t="str">
        <f>IF($L$6="3-5-2","",IF($D$35="","—",$D$35))</f>
        <v/>
      </c>
      <c r="H10" s="381"/>
      <c r="I10" s="382"/>
      <c r="J10" s="380" t="str">
        <f>IF($L$6="3-5-2",IF($D$34="","—",$D$34),"")</f>
        <v>Zara Freeman</v>
      </c>
      <c r="K10" s="381"/>
      <c r="L10" s="382"/>
      <c r="M10" s="380" t="str">
        <f>IF($L$6="3-5-2","",IF($D$34="","—",$D$34))</f>
        <v/>
      </c>
      <c r="N10" s="381"/>
      <c r="O10" s="382"/>
      <c r="P10" s="380" t="str">
        <f>IF($L$6="3-5-2",IF($D$35="","—",$D$35),"")</f>
        <v>Amber Kilalee</v>
      </c>
      <c r="Q10" s="381"/>
      <c r="R10" s="382"/>
      <c r="S10" s="380" t="str">
        <f>IF($L$6="3-5-2","",IF($D$33="","—",$D$33))</f>
        <v/>
      </c>
      <c r="T10" s="381"/>
      <c r="U10" s="382"/>
    </row>
    <row r="11" spans="2:21" ht="14.65" thickBot="1" x14ac:dyDescent="0.5">
      <c r="B11" s="383" t="s">
        <v>300</v>
      </c>
      <c r="C11" s="383"/>
      <c r="D11" s="384" t="str">
        <f>IF($C$6="","(not set)",$C$6)</f>
        <v>Enniskerry FC</v>
      </c>
      <c r="E11" s="384"/>
      <c r="F11" s="384"/>
      <c r="G11" s="193"/>
      <c r="H11" s="192"/>
      <c r="I11" s="192"/>
      <c r="J11" s="192"/>
      <c r="K11" s="192"/>
      <c r="L11" s="192"/>
      <c r="M11" s="192"/>
      <c r="N11" s="192"/>
      <c r="O11" s="192"/>
      <c r="P11" s="192"/>
      <c r="Q11" s="192"/>
      <c r="R11" s="192"/>
      <c r="S11" s="192"/>
      <c r="T11" s="192"/>
      <c r="U11" s="194"/>
    </row>
    <row r="12" spans="2:21" ht="14.65" thickTop="1" x14ac:dyDescent="0.45">
      <c r="B12" s="383" t="s">
        <v>301</v>
      </c>
      <c r="C12" s="383"/>
      <c r="D12" s="384" t="str">
        <f>IF($D$6="","(not set)",IF($D$6="H","Home","Away"))</f>
        <v>Home</v>
      </c>
      <c r="E12" s="384"/>
      <c r="F12" s="385"/>
      <c r="G12" s="374" t="str">
        <f>IF($L$6="3-5-2",$AA$93,"")</f>
        <v>LWB</v>
      </c>
      <c r="H12" s="375"/>
      <c r="I12" s="376"/>
      <c r="J12" s="374" t="str">
        <f>IF($L$6="3-5-2",$AA$94,$AA$93)</f>
        <v>CM</v>
      </c>
      <c r="K12" s="375"/>
      <c r="L12" s="376"/>
      <c r="M12" s="374" t="str">
        <f>IF($L$6="3-5-2",$AA$95,$AA$94)</f>
        <v>CM</v>
      </c>
      <c r="N12" s="375"/>
      <c r="O12" s="376"/>
      <c r="P12" s="374" t="str">
        <f>IF($L$6="3-5-2",$AA$96,$AA$95)</f>
        <v>CM</v>
      </c>
      <c r="Q12" s="375"/>
      <c r="R12" s="376"/>
      <c r="S12" s="374" t="str">
        <f>IF($L$6="3-5-2",$AA$92,"")</f>
        <v>RWB</v>
      </c>
      <c r="T12" s="375"/>
      <c r="U12" s="376"/>
    </row>
    <row r="13" spans="2:21" x14ac:dyDescent="0.45">
      <c r="B13" s="383" t="s">
        <v>302</v>
      </c>
      <c r="C13" s="383"/>
      <c r="D13" s="384" t="str">
        <f>IF($E$6="","(not set)",TEXT($E$6,"dd-mmm-yyyy"))</f>
        <v>30-Aug-2026</v>
      </c>
      <c r="E13" s="384"/>
      <c r="F13" s="385"/>
      <c r="G13" s="380" t="str">
        <f>IF($L$6="3-5-2",IF($D$30="","—",$D$30),"")</f>
        <v>Hannah Fleming</v>
      </c>
      <c r="H13" s="381"/>
      <c r="I13" s="382"/>
      <c r="J13" s="380" t="str">
        <f>IF($L$6="3-5-2",IF($D$31="","—",$D$31),IF($D$30="","—",$D$30))</f>
        <v>Roisin Offenhausen</v>
      </c>
      <c r="K13" s="381"/>
      <c r="L13" s="382"/>
      <c r="M13" s="380" t="str">
        <f>IF($L$6="3-5-2",IF($D$32="","—",$D$32),IF($D$31="","—",$D$31))</f>
        <v>Semilore Adesanya</v>
      </c>
      <c r="N13" s="381"/>
      <c r="O13" s="382"/>
      <c r="P13" s="380" t="str">
        <f>IF($L$6="3-5-2",IF($D$33="","—",$D$33),IF($D$32="","—",$D$32))</f>
        <v>Tara Brannigan</v>
      </c>
      <c r="Q13" s="381"/>
      <c r="R13" s="382"/>
      <c r="S13" s="380" t="str">
        <f>IF($L$6="3-5-2",IF($D$29="","—",$D$29),"")</f>
        <v>Rama</v>
      </c>
      <c r="T13" s="381"/>
      <c r="U13" s="382"/>
    </row>
    <row r="14" spans="2:21" ht="14.65" thickBot="1" x14ac:dyDescent="0.5">
      <c r="B14" s="386" t="s">
        <v>305</v>
      </c>
      <c r="C14" s="386"/>
      <c r="D14" s="387" t="str">
        <f>IF($H$6="","Not played",$H$6&amp;"  "&amp;$F$6&amp;"-"&amp;$G$6)</f>
        <v>Not played</v>
      </c>
      <c r="E14" s="387"/>
      <c r="F14" s="387"/>
      <c r="G14" s="193"/>
      <c r="H14" s="192"/>
      <c r="I14" s="192"/>
      <c r="J14" s="192"/>
      <c r="K14" s="192"/>
      <c r="L14" s="192"/>
      <c r="M14" s="192"/>
      <c r="N14" s="192"/>
      <c r="O14" s="192"/>
      <c r="P14" s="192"/>
      <c r="Q14" s="192"/>
      <c r="R14" s="192"/>
      <c r="S14" s="192"/>
      <c r="T14" s="192"/>
      <c r="U14" s="194"/>
    </row>
    <row r="15" spans="2:21" ht="14.65" thickTop="1" x14ac:dyDescent="0.45">
      <c r="G15" s="374" t="str">
        <f>IF($L$6="3-5-2","",$AA$92)</f>
        <v/>
      </c>
      <c r="H15" s="375"/>
      <c r="I15" s="376"/>
      <c r="J15" s="374" t="str">
        <f>IF($L$6="3-5-2",$AA$89,$AA$91)</f>
        <v>CB</v>
      </c>
      <c r="K15" s="375"/>
      <c r="L15" s="376"/>
      <c r="M15" s="374" t="str">
        <f>IF($L$6="3-5-2",$AA$90,"")</f>
        <v>CB</v>
      </c>
      <c r="N15" s="375"/>
      <c r="O15" s="376"/>
      <c r="P15" s="374" t="str">
        <f>IF($L$6="3-5-2",$AA$91,$AA$90)</f>
        <v>CB</v>
      </c>
      <c r="Q15" s="375"/>
      <c r="R15" s="376"/>
      <c r="S15" s="374" t="str">
        <f>IF($L$6="3-5-2","",$AA$89)</f>
        <v/>
      </c>
      <c r="T15" s="375"/>
      <c r="U15" s="376"/>
    </row>
    <row r="16" spans="2:21" x14ac:dyDescent="0.45">
      <c r="G16" s="380" t="str">
        <f>IF($L$6="3-5-2","",IF($D$29="","—",$D$29))</f>
        <v/>
      </c>
      <c r="H16" s="381"/>
      <c r="I16" s="382"/>
      <c r="J16" s="380" t="str">
        <f>IF($L$6="3-5-2",IF($D$26="","—",$D$26),IF($D$28="","—",$D$28))</f>
        <v>Stella McEvoy</v>
      </c>
      <c r="K16" s="381"/>
      <c r="L16" s="382"/>
      <c r="M16" s="380" t="str">
        <f>IF($L$6="3-5-2",IF($D$27="","—",$D$27),"")</f>
        <v>Emma Kelly</v>
      </c>
      <c r="N16" s="381"/>
      <c r="O16" s="382"/>
      <c r="P16" s="380" t="str">
        <f>IF($L$6="3-5-2",IF($D$28="","—",$D$28),IF($D$27="","—",$D$27))</f>
        <v>Mariana</v>
      </c>
      <c r="Q16" s="381"/>
      <c r="R16" s="382"/>
      <c r="S16" s="380" t="str">
        <f>IF($L$6="3-5-2","",IF($D$26="","—",$D$26))</f>
        <v/>
      </c>
      <c r="T16" s="381"/>
      <c r="U16" s="382"/>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391" t="str">
        <f>$AA$88</f>
        <v>GK</v>
      </c>
      <c r="N18" s="391"/>
      <c r="O18" s="391"/>
      <c r="P18" s="192"/>
      <c r="Q18" s="192"/>
      <c r="R18" s="192"/>
      <c r="S18" s="192"/>
      <c r="T18" s="192"/>
      <c r="U18" s="194"/>
    </row>
    <row r="19" spans="2:21" x14ac:dyDescent="0.45">
      <c r="G19" s="193"/>
      <c r="H19" s="192"/>
      <c r="I19" s="192"/>
      <c r="J19" s="192"/>
      <c r="K19" s="192"/>
      <c r="L19" s="192"/>
      <c r="M19" s="392" t="str">
        <f>IF($D$25="","—",$D$25)</f>
        <v>Elsie Morrison</v>
      </c>
      <c r="N19" s="392"/>
      <c r="O19" s="392"/>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372" t="str">
        <f>"3. SELECTED XI — "&amp;$L$6&amp;"  (auto-filled best fit, skipping unavailable and already-picked players)"</f>
        <v>3. SELECTED XI — 3-5-2  (auto-filled best fit, skipping unavailable and already-picked players)</v>
      </c>
      <c r="C23" s="372"/>
      <c r="D23" s="372"/>
      <c r="E23" s="372"/>
      <c r="F23" s="372"/>
      <c r="G23" s="372"/>
      <c r="H23" s="372"/>
    </row>
    <row r="24" spans="2:21" x14ac:dyDescent="0.45">
      <c r="B24" s="198" t="s">
        <v>313</v>
      </c>
      <c r="C24" s="199" t="s">
        <v>218</v>
      </c>
      <c r="D24" s="199" t="s">
        <v>18</v>
      </c>
      <c r="E24" s="199" t="s">
        <v>314</v>
      </c>
      <c r="F24" s="199" t="s">
        <v>24</v>
      </c>
      <c r="G24" s="199" t="s">
        <v>315</v>
      </c>
      <c r="H24" s="200" t="s">
        <v>316</v>
      </c>
    </row>
    <row r="25" spans="2:21" x14ac:dyDescent="0.45">
      <c r="B25" s="149">
        <v>1</v>
      </c>
      <c r="C25" s="201" t="str">
        <f>$AA$88</f>
        <v>GK</v>
      </c>
      <c r="D25" s="202" t="str">
        <f t="shared" ref="D25:D35" si="0">IF($H25&lt;&gt;"",$H25,IFERROR(INDEX($C$64:$C$83,MATCH(MAX($C88:$V88),$C88:$V88,0)),""))</f>
        <v>Elsie Morrison</v>
      </c>
      <c r="E25" s="203">
        <f>IFERROR(INDEX($R$64:$AA$83,MATCH($D25,$C$64:$C$83,0),MATCH($AB$88,$R$63:$AA$63,0)),"")</f>
        <v>10.709090909090909</v>
      </c>
      <c r="F25" s="204">
        <f t="shared" ref="F25:F35" si="1">IFERROR(INDEX($AB$64:$AB$83,MATCH($D25,$C$64:$C$83,0)),"")</f>
        <v>0.65</v>
      </c>
      <c r="G25" s="203">
        <f t="shared" ref="G25:G35" si="2">IFERROR(INDEX($AC$64:$AC$83,MATCH($D25,$C$64:$C$83,0)),"")</f>
        <v>10.508333333333331</v>
      </c>
      <c r="H25" s="205"/>
    </row>
    <row r="26" spans="2:21" x14ac:dyDescent="0.45">
      <c r="B26" s="155">
        <v>2</v>
      </c>
      <c r="C26" s="206" t="str">
        <f>$AA$89</f>
        <v>CB</v>
      </c>
      <c r="D26" s="207" t="str">
        <f t="shared" si="0"/>
        <v>Stella McEvoy</v>
      </c>
      <c r="E26" s="208">
        <f>IFERROR(INDEX($R$64:$AA$83,MATCH($D26,$C$64:$C$83,0),MATCH($AB$89,$R$63:$AA$63,0)),"")</f>
        <v>14.11869918699187</v>
      </c>
      <c r="F26" s="209">
        <f t="shared" si="1"/>
        <v>0.76666666666666661</v>
      </c>
      <c r="G26" s="208">
        <f t="shared" si="2"/>
        <v>11.135185185185186</v>
      </c>
      <c r="H26" s="210" t="s">
        <v>57</v>
      </c>
    </row>
    <row r="27" spans="2:21" x14ac:dyDescent="0.45">
      <c r="B27" s="149">
        <v>3</v>
      </c>
      <c r="C27" s="201" t="str">
        <f>$AA$90</f>
        <v>CB</v>
      </c>
      <c r="D27" s="202" t="str">
        <f t="shared" si="0"/>
        <v>Emma Kelly</v>
      </c>
      <c r="E27" s="203">
        <f>IFERROR(INDEX($R$64:$AA$83,MATCH($D27,$C$64:$C$83,0),MATCH($AB$90,$R$63:$AA$63,0)),"")</f>
        <v>14.707317073170731</v>
      </c>
      <c r="F27" s="204">
        <f t="shared" si="1"/>
        <v>0</v>
      </c>
      <c r="G27" s="203">
        <f t="shared" si="2"/>
        <v>13.725925925925926</v>
      </c>
      <c r="H27" s="205" t="s">
        <v>81</v>
      </c>
    </row>
    <row r="28" spans="2:21" x14ac:dyDescent="0.45">
      <c r="B28" s="155">
        <v>4</v>
      </c>
      <c r="C28" s="206" t="str">
        <f>$AA$91</f>
        <v>CB</v>
      </c>
      <c r="D28" s="207" t="str">
        <f t="shared" si="0"/>
        <v>Mariana</v>
      </c>
      <c r="E28" s="208">
        <f>IFERROR(INDEX($R$64:$AA$83,MATCH($D28,$C$64:$C$83,0),MATCH($AB$91,$R$63:$AA$63,0)),"")</f>
        <v>13.484552845528455</v>
      </c>
      <c r="F28" s="209">
        <f t="shared" si="1"/>
        <v>0.76666666666666661</v>
      </c>
      <c r="G28" s="208">
        <f t="shared" si="2"/>
        <v>10.487037037037036</v>
      </c>
      <c r="H28" s="210" t="s">
        <v>497</v>
      </c>
    </row>
    <row r="29" spans="2:21" x14ac:dyDescent="0.45">
      <c r="B29" s="149">
        <v>5</v>
      </c>
      <c r="C29" s="201" t="str">
        <f>$AA$92</f>
        <v>RWB</v>
      </c>
      <c r="D29" s="202" t="str">
        <f t="shared" si="0"/>
        <v>Rama</v>
      </c>
      <c r="E29" s="203" t="str">
        <f>IFERROR(INDEX($R$64:$AA$83,MATCH($D29,$C$64:$C$83,0),MATCH($AB$92,$R$63:$AA$63,0)),"")</f>
        <v/>
      </c>
      <c r="F29" s="204">
        <f t="shared" si="1"/>
        <v>0.76666666666666661</v>
      </c>
      <c r="G29" s="203">
        <f t="shared" si="2"/>
        <v>13.629629629629628</v>
      </c>
      <c r="H29" s="205" t="s">
        <v>522</v>
      </c>
    </row>
    <row r="30" spans="2:21" x14ac:dyDescent="0.45">
      <c r="B30" s="155">
        <v>6</v>
      </c>
      <c r="C30" s="206" t="str">
        <f>$AA$93</f>
        <v>LWB</v>
      </c>
      <c r="D30" s="207" t="str">
        <f t="shared" si="0"/>
        <v>Hannah Fleming</v>
      </c>
      <c r="E30" s="208">
        <f>IFERROR(INDEX($R$64:$AA$83,MATCH($D30,$C$64:$C$83,0),MATCH($AB$93,$R$63:$AA$63,0)),"")</f>
        <v>13.133333333333333</v>
      </c>
      <c r="F30" s="209">
        <f t="shared" si="1"/>
        <v>0.76666666666666661</v>
      </c>
      <c r="G30" s="208">
        <f t="shared" si="2"/>
        <v>12.22037037037037</v>
      </c>
      <c r="H30" s="210"/>
    </row>
    <row r="31" spans="2:21" x14ac:dyDescent="0.45">
      <c r="B31" s="149">
        <v>7</v>
      </c>
      <c r="C31" s="201" t="str">
        <f>$AA$94</f>
        <v>CM</v>
      </c>
      <c r="D31" s="202" t="str">
        <f t="shared" si="0"/>
        <v>Roisin Offenhausen</v>
      </c>
      <c r="E31" s="203">
        <f>IFERROR(INDEX($R$64:$AA$83,MATCH($D31,$C$64:$C$83,0),MATCH($AB$94,$R$63:$AA$63,0)),"")</f>
        <v>12.778231292517006</v>
      </c>
      <c r="F31" s="204">
        <f t="shared" si="1"/>
        <v>0.76666666666666661</v>
      </c>
      <c r="G31" s="203">
        <f t="shared" si="2"/>
        <v>11.965740740740742</v>
      </c>
      <c r="H31" s="205"/>
    </row>
    <row r="32" spans="2:21" x14ac:dyDescent="0.45">
      <c r="B32" s="155">
        <v>8</v>
      </c>
      <c r="C32" s="206" t="str">
        <f>$AA$95</f>
        <v>CM</v>
      </c>
      <c r="D32" s="207" t="str">
        <f t="shared" si="0"/>
        <v>Semilore Adesanya</v>
      </c>
      <c r="E32" s="208">
        <f>IFERROR(INDEX($R$64:$AA$83,MATCH($D32,$C$64:$C$83,0),MATCH($AB$95,$R$63:$AA$63,0)),"")</f>
        <v>13.839455782312925</v>
      </c>
      <c r="F32" s="209">
        <f t="shared" si="1"/>
        <v>0.76666666666666661</v>
      </c>
      <c r="G32" s="208">
        <f t="shared" si="2"/>
        <v>12.763888888888888</v>
      </c>
      <c r="H32" s="210" t="s">
        <v>76</v>
      </c>
    </row>
    <row r="33" spans="2:8" x14ac:dyDescent="0.45">
      <c r="B33" s="149">
        <v>9</v>
      </c>
      <c r="C33" s="201" t="str">
        <f>$AA$96</f>
        <v>CM</v>
      </c>
      <c r="D33" s="202" t="str">
        <f t="shared" si="0"/>
        <v>Tara Brannigan</v>
      </c>
      <c r="E33" s="203">
        <f>IFERROR(INDEX($R$64:$AA$83,MATCH($D33,$C$64:$C$83,0),MATCH($AB$96,$R$63:$AA$63,0)),"")</f>
        <v>12.676190476190476</v>
      </c>
      <c r="F33" s="204">
        <f t="shared" si="1"/>
        <v>0.76666666666666661</v>
      </c>
      <c r="G33" s="203">
        <f t="shared" si="2"/>
        <v>11.726851851851853</v>
      </c>
      <c r="H33" s="205"/>
    </row>
    <row r="34" spans="2:8" x14ac:dyDescent="0.45">
      <c r="B34" s="155">
        <v>10</v>
      </c>
      <c r="C34" s="206" t="str">
        <f>$AA$97</f>
        <v>ST</v>
      </c>
      <c r="D34" s="207" t="str">
        <f t="shared" si="0"/>
        <v>Zara Freeman</v>
      </c>
      <c r="E34" s="208">
        <f>IFERROR(INDEX($R$64:$AA$83,MATCH($D34,$C$64:$C$83,0),MATCH($AB$97,$R$63:$AA$63,0)),"")</f>
        <v>11.6</v>
      </c>
      <c r="F34" s="209">
        <f t="shared" si="1"/>
        <v>0</v>
      </c>
      <c r="G34" s="208">
        <f t="shared" si="2"/>
        <v>11.864814814814814</v>
      </c>
      <c r="H34" s="210"/>
    </row>
    <row r="35" spans="2:8" x14ac:dyDescent="0.45">
      <c r="B35" s="211">
        <v>11</v>
      </c>
      <c r="C35" s="212" t="str">
        <f>$AA$98</f>
        <v>ST</v>
      </c>
      <c r="D35" s="213" t="str">
        <f t="shared" si="0"/>
        <v>Amber Kilalee</v>
      </c>
      <c r="E35" s="214">
        <f>IFERROR(INDEX($R$64:$AA$83,MATCH($D35,$C$64:$C$83,0),MATCH($AB$98,$R$63:$AA$63,0)),"")</f>
        <v>9.5733333333333324</v>
      </c>
      <c r="F35" s="215">
        <f t="shared" si="1"/>
        <v>0.76666666666666661</v>
      </c>
      <c r="G35" s="214">
        <f t="shared" si="2"/>
        <v>9.0111111111111111</v>
      </c>
      <c r="H35" s="216"/>
    </row>
    <row r="38" spans="2:8" x14ac:dyDescent="0.45">
      <c r="B38" s="393" t="s">
        <v>317</v>
      </c>
      <c r="C38" s="393"/>
      <c r="D38" s="393"/>
      <c r="E38" s="393"/>
      <c r="F38" s="393"/>
      <c r="G38" s="393"/>
    </row>
    <row r="39" spans="2:8" x14ac:dyDescent="0.45">
      <c r="B39" s="182" t="s">
        <v>154</v>
      </c>
      <c r="C39" s="182" t="s">
        <v>18</v>
      </c>
      <c r="D39" s="182" t="s">
        <v>218</v>
      </c>
      <c r="E39" s="182" t="s">
        <v>315</v>
      </c>
      <c r="F39" s="182" t="s">
        <v>24</v>
      </c>
      <c r="G39" s="182" t="s">
        <v>318</v>
      </c>
    </row>
    <row r="40" spans="2:8" x14ac:dyDescent="0.45">
      <c r="B40" s="217">
        <f>IF($C40="","",ROWS($B$40:B40))</f>
        <v>1</v>
      </c>
      <c r="C40" s="218" t="str">
        <f t="array" ref="C40">IFERROR(INDEX($C$64:$C$83,_xlfn.AGGREGATE(15,6,(ROW($C$64:$C$83)-63)/(($C$64:$C$83&lt;&gt;"")*(COUNTIF($D$25:$D$35,$C$64:$C$83)=0)),ROWS($C$40:C40))),"")</f>
        <v>Aoife Kennan</v>
      </c>
      <c r="D40" s="37" t="str">
        <f t="shared" ref="D40:D59" si="3">IF($C40="","",IFERROR(INDEX($D$64:$D$83,MATCH($C40,$C$64:$C$83,0)),""))</f>
        <v>GK</v>
      </c>
      <c r="E40" s="219">
        <f t="shared" ref="E40:E59" si="4">IF($C40="","",IFERROR(INDEX($AC$64:$AC$83,MATCH($C40,$C$64:$C$83,0)),""))</f>
        <v>6.7041666666666666</v>
      </c>
      <c r="F40" s="220">
        <f t="shared" ref="F40:F59" si="5">IF($C40="","",IFERROR(INDEX($AB$64:$AB$83,MATCH($C40,$C$64:$C$83,0)),""))</f>
        <v>0.76666666666666661</v>
      </c>
      <c r="G40" s="37" t="str">
        <f t="shared" ref="G40:G59" si="6">IF($C40="","",IF(INDEX($E$64:$E$83,MATCH($C40,$C$64:$C$83,0))="Yes","Available","Unavailable — "&amp;INDEX($F$64:$F$83,MATCH($C40,$C$64:$C$83,0))))</f>
        <v>Available</v>
      </c>
    </row>
    <row r="41" spans="2:8" x14ac:dyDescent="0.45">
      <c r="B41" s="221">
        <f>IF($C41="","",ROWS($B$40:B41))</f>
        <v>2</v>
      </c>
      <c r="C41" s="222" t="str">
        <f t="array" ref="C41">IFERROR(INDEX($C$64:$C$83,_xlfn.AGGREGATE(15,6,(ROW($C$64:$C$83)-63)/(($C$64:$C$83&lt;&gt;"")*(COUNTIF($D$25:$D$35,$C$64:$C$83)=0)),ROWS($C$40:C41))),"")</f>
        <v>Zara Power</v>
      </c>
      <c r="D41" s="223" t="str">
        <f t="shared" si="3"/>
        <v>RB</v>
      </c>
      <c r="E41" s="224">
        <f t="shared" si="4"/>
        <v>10.538888888888888</v>
      </c>
      <c r="F41" s="225">
        <f t="shared" si="5"/>
        <v>0</v>
      </c>
      <c r="G41" s="223" t="str">
        <f t="shared" si="6"/>
        <v>Unavailable — Injured - Ankle injury - 6 week recovery plan (back 2 Oct)</v>
      </c>
    </row>
    <row r="42" spans="2:8" x14ac:dyDescent="0.45">
      <c r="B42" s="217">
        <f>IF($C42="","",ROWS($B$40:B42))</f>
        <v>3</v>
      </c>
      <c r="C42" s="218" t="str">
        <f t="array" ref="C42">IFERROR(INDEX($C$64:$C$83,_xlfn.AGGREGATE(15,6,(ROW($C$64:$C$83)-63)/(($C$64:$C$83&lt;&gt;"")*(COUNTIF($D$25:$D$35,$C$64:$C$83)=0)),ROWS($C$40:C42))),"")</f>
        <v>Heidi Cerubini Dunne</v>
      </c>
      <c r="D42" s="37" t="str">
        <f t="shared" si="3"/>
        <v>LB / RB</v>
      </c>
      <c r="E42" s="219">
        <f t="shared" si="4"/>
        <v>4.1879629629629633</v>
      </c>
      <c r="F42" s="220">
        <f t="shared" si="5"/>
        <v>0</v>
      </c>
      <c r="G42" s="37" t="str">
        <f t="shared" si="6"/>
        <v>Available</v>
      </c>
    </row>
    <row r="43" spans="2:8" x14ac:dyDescent="0.45">
      <c r="B43" s="221">
        <f>IF($C43="","",ROWS($B$40:B43))</f>
        <v>4</v>
      </c>
      <c r="C43" s="222" t="str">
        <f t="array" ref="C43">IFERROR(INDEX($C$64:$C$83,_xlfn.AGGREGATE(15,6,(ROW($C$64:$C$83)-63)/(($C$64:$C$83&lt;&gt;"")*(COUNTIF($D$25:$D$35,$C$64:$C$83)=0)),ROWS($C$40:C43))),"")</f>
        <v>Naomi Adewoyin</v>
      </c>
      <c r="D43" s="223" t="str">
        <f t="shared" si="3"/>
        <v>CM / ACM</v>
      </c>
      <c r="E43" s="224">
        <f t="shared" si="4"/>
        <v>10.986111111111112</v>
      </c>
      <c r="F43" s="225">
        <f t="shared" si="5"/>
        <v>0.76666666666666661</v>
      </c>
      <c r="G43" s="223" t="str">
        <f t="shared" si="6"/>
        <v>Available</v>
      </c>
    </row>
    <row r="44" spans="2:8" x14ac:dyDescent="0.45">
      <c r="B44" s="217">
        <f>IF($C44="","",ROWS($B$40:B44))</f>
        <v>5</v>
      </c>
      <c r="C44" s="218" t="str">
        <f t="array" ref="C44">IFERROR(INDEX($C$64:$C$83,_xlfn.AGGREGATE(15,6,(ROW($C$64:$C$83)-63)/(($C$64:$C$83&lt;&gt;"")*(COUNTIF($D$25:$D$35,$C$64:$C$83)=0)),ROWS($C$40:C44))),"")</f>
        <v>Shauna Kavanagh</v>
      </c>
      <c r="D44" s="37" t="str">
        <f t="shared" si="3"/>
        <v>ST / RW</v>
      </c>
      <c r="E44" s="219">
        <f t="shared" si="4"/>
        <v>7.7342592592592601</v>
      </c>
      <c r="F44" s="220">
        <f t="shared" si="5"/>
        <v>0.65</v>
      </c>
      <c r="G44" s="37" t="str">
        <f t="shared" si="6"/>
        <v>Available</v>
      </c>
    </row>
    <row r="45" spans="2:8" x14ac:dyDescent="0.45">
      <c r="B45" s="221">
        <f>IF($C45="","",ROWS($B$40:B45))</f>
        <v>6</v>
      </c>
      <c r="C45" s="222" t="str">
        <f t="array" ref="C45">IFERROR(INDEX($C$64:$C$83,_xlfn.AGGREGATE(15,6,(ROW($C$64:$C$83)-63)/(($C$64:$C$83&lt;&gt;"")*(COUNTIF($D$25:$D$35,$C$64:$C$83)=0)),ROWS($C$40:C45))),"")</f>
        <v>Roma Memon</v>
      </c>
      <c r="D45" s="223" t="str">
        <f t="shared" si="3"/>
        <v>DM / CM</v>
      </c>
      <c r="E45" s="224">
        <f t="shared" si="4"/>
        <v>10.622222222222222</v>
      </c>
      <c r="F45" s="225">
        <f t="shared" si="5"/>
        <v>0.76666666666666661</v>
      </c>
      <c r="G45" s="223" t="str">
        <f t="shared" si="6"/>
        <v>Available</v>
      </c>
    </row>
    <row r="46" spans="2:8" x14ac:dyDescent="0.45">
      <c r="B46" s="217">
        <f>IF($C46="","",ROWS($B$40:B46))</f>
        <v>7</v>
      </c>
      <c r="C46" s="218" t="str">
        <f t="array" ref="C46">IFERROR(INDEX($C$64:$C$83,_xlfn.AGGREGATE(15,6,(ROW($C$64:$C$83)-63)/(($C$64:$C$83&lt;&gt;"")*(COUNTIF($D$25:$D$35,$C$64:$C$83)=0)),ROWS($C$40:C46))),"")</f>
        <v>Emma Dromgoole</v>
      </c>
      <c r="D46" s="37" t="str">
        <f t="shared" si="3"/>
        <v>RW / ST</v>
      </c>
      <c r="E46" s="219">
        <f t="shared" si="4"/>
        <v>9.6620370370370363</v>
      </c>
      <c r="F46" s="220">
        <f t="shared" si="5"/>
        <v>0.76666666666666661</v>
      </c>
      <c r="G46" s="37" t="str">
        <f t="shared" si="6"/>
        <v>Unavailable — Injured - Knee injury  (back 28 Aug)</v>
      </c>
    </row>
    <row r="47" spans="2:8" x14ac:dyDescent="0.45">
      <c r="B47" s="221" t="str">
        <f>IF($C47="","",ROWS($B$40:B47))</f>
        <v/>
      </c>
      <c r="C47" s="222" t="str">
        <f t="array" ref="C47">IFERROR(INDEX($C$64:$C$83,_xlfn.AGGREGATE(15,6,(ROW($C$64:$C$83)-63)/(($C$64:$C$83&lt;&gt;"")*(COUNTIF($D$25:$D$35,$C$64:$C$83)=0)),ROWS($C$40:C47))),"")</f>
        <v/>
      </c>
      <c r="D47" s="223" t="str">
        <f t="shared" si="3"/>
        <v/>
      </c>
      <c r="E47" s="224" t="str">
        <f t="shared" si="4"/>
        <v/>
      </c>
      <c r="F47" s="225" t="str">
        <f t="shared" si="5"/>
        <v/>
      </c>
      <c r="G47" s="223" t="str">
        <f t="shared" si="6"/>
        <v/>
      </c>
    </row>
    <row r="48" spans="2:8" x14ac:dyDescent="0.45">
      <c r="B48" s="217" t="str">
        <f>IF($C48="","",ROWS($B$40:B48))</f>
        <v/>
      </c>
      <c r="C48" s="218" t="str">
        <f t="array" ref="C48">IFERROR(INDEX($C$64:$C$83,_xlfn.AGGREGATE(15,6,(ROW($C$64:$C$83)-63)/(($C$64:$C$83&lt;&gt;"")*(COUNTIF($D$25:$D$35,$C$64:$C$83)=0)),ROWS($C$40:C48))),"")</f>
        <v/>
      </c>
      <c r="D48" s="37" t="str">
        <f t="shared" si="3"/>
        <v/>
      </c>
      <c r="E48" s="219" t="str">
        <f t="shared" si="4"/>
        <v/>
      </c>
      <c r="F48" s="220" t="str">
        <f t="shared" si="5"/>
        <v/>
      </c>
      <c r="G48" s="37" t="str">
        <f t="shared" si="6"/>
        <v/>
      </c>
    </row>
    <row r="49" spans="2:30" x14ac:dyDescent="0.45">
      <c r="B49" s="221" t="str">
        <f>IF($C49="","",ROWS($B$40:B49))</f>
        <v/>
      </c>
      <c r="C49" s="222" t="str">
        <f t="array" ref="C49">IFERROR(INDEX($C$64:$C$83,_xlfn.AGGREGATE(15,6,(ROW($C$64:$C$83)-63)/(($C$64:$C$83&lt;&gt;"")*(COUNTIF($D$25:$D$35,$C$64:$C$83)=0)),ROWS($C$40:C49))),"")</f>
        <v/>
      </c>
      <c r="D49" s="223" t="str">
        <f t="shared" si="3"/>
        <v/>
      </c>
      <c r="E49" s="224" t="str">
        <f t="shared" si="4"/>
        <v/>
      </c>
      <c r="F49" s="225" t="str">
        <f t="shared" si="5"/>
        <v/>
      </c>
      <c r="G49" s="223" t="str">
        <f t="shared" si="6"/>
        <v/>
      </c>
    </row>
    <row r="50" spans="2:30" x14ac:dyDescent="0.45">
      <c r="B50" s="217" t="str">
        <f>IF($C50="","",ROWS($B$40:B50))</f>
        <v/>
      </c>
      <c r="C50" s="218" t="str">
        <f t="array" ref="C50">IFERROR(INDEX($C$64:$C$83,_xlfn.AGGREGATE(15,6,(ROW($C$64:$C$83)-63)/(($C$64:$C$83&lt;&gt;"")*(COUNTIF($D$25:$D$35,$C$64:$C$83)=0)),ROWS($C$40:C50))),"")</f>
        <v/>
      </c>
      <c r="D50" s="37" t="str">
        <f t="shared" si="3"/>
        <v/>
      </c>
      <c r="E50" s="219" t="str">
        <f t="shared" si="4"/>
        <v/>
      </c>
      <c r="F50" s="220" t="str">
        <f t="shared" si="5"/>
        <v/>
      </c>
      <c r="G50" s="37" t="str">
        <f t="shared" si="6"/>
        <v/>
      </c>
    </row>
    <row r="51" spans="2:30" x14ac:dyDescent="0.45">
      <c r="B51" s="221" t="str">
        <f>IF($C51="","",ROWS($B$40:B51))</f>
        <v/>
      </c>
      <c r="C51" s="222" t="str">
        <f t="array" ref="C51">IFERROR(INDEX($C$64:$C$83,_xlfn.AGGREGATE(15,6,(ROW($C$64:$C$83)-63)/(($C$64:$C$83&lt;&gt;"")*(COUNTIF($D$25:$D$35,$C$64:$C$83)=0)),ROWS($C$40:C51))),"")</f>
        <v/>
      </c>
      <c r="D51" s="223" t="str">
        <f t="shared" si="3"/>
        <v/>
      </c>
      <c r="E51" s="224" t="str">
        <f t="shared" si="4"/>
        <v/>
      </c>
      <c r="F51" s="225" t="str">
        <f t="shared" si="5"/>
        <v/>
      </c>
      <c r="G51" s="223" t="str">
        <f t="shared" si="6"/>
        <v/>
      </c>
    </row>
    <row r="52" spans="2:30" x14ac:dyDescent="0.45">
      <c r="B52" s="217" t="str">
        <f>IF($C52="","",ROWS($B$40:B52))</f>
        <v/>
      </c>
      <c r="C52" s="218" t="str">
        <f t="array" ref="C52">IFERROR(INDEX($C$64:$C$83,_xlfn.AGGREGATE(15,6,(ROW($C$64:$C$83)-63)/(($C$64:$C$83&lt;&gt;"")*(COUNTIF($D$25:$D$35,$C$64:$C$83)=0)),ROWS($C$40:C52))),"")</f>
        <v/>
      </c>
      <c r="D52" s="37" t="str">
        <f t="shared" si="3"/>
        <v/>
      </c>
      <c r="E52" s="219" t="str">
        <f t="shared" si="4"/>
        <v/>
      </c>
      <c r="F52" s="220" t="str">
        <f t="shared" si="5"/>
        <v/>
      </c>
      <c r="G52" s="37" t="str">
        <f t="shared" si="6"/>
        <v/>
      </c>
    </row>
    <row r="53" spans="2:30" x14ac:dyDescent="0.45">
      <c r="B53" s="221" t="str">
        <f>IF($C53="","",ROWS($B$40:B53))</f>
        <v/>
      </c>
      <c r="C53" s="222" t="str">
        <f t="array" ref="C53">IFERROR(INDEX($C$64:$C$83,_xlfn.AGGREGATE(15,6,(ROW($C$64:$C$83)-63)/(($C$64:$C$83&lt;&gt;"")*(COUNTIF($D$25:$D$35,$C$64:$C$83)=0)),ROWS($C$40:C53))),"")</f>
        <v/>
      </c>
      <c r="D53" s="223" t="str">
        <f t="shared" si="3"/>
        <v/>
      </c>
      <c r="E53" s="224" t="str">
        <f t="shared" si="4"/>
        <v/>
      </c>
      <c r="F53" s="225" t="str">
        <f t="shared" si="5"/>
        <v/>
      </c>
      <c r="G53" s="223" t="str">
        <f t="shared" si="6"/>
        <v/>
      </c>
    </row>
    <row r="54" spans="2:30" x14ac:dyDescent="0.45">
      <c r="B54" s="217" t="str">
        <f>IF($C54="","",ROWS($B$40:B54))</f>
        <v/>
      </c>
      <c r="C54" s="218" t="str">
        <f t="array" ref="C54">IFERROR(INDEX($C$64:$C$83,_xlfn.AGGREGATE(15,6,(ROW($C$64:$C$83)-63)/(($C$64:$C$83&lt;&gt;"")*(COUNTIF($D$25:$D$35,$C$64:$C$83)=0)),ROWS($C$40:C54))),"")</f>
        <v/>
      </c>
      <c r="D54" s="37" t="str">
        <f t="shared" si="3"/>
        <v/>
      </c>
      <c r="E54" s="219" t="str">
        <f t="shared" si="4"/>
        <v/>
      </c>
      <c r="F54" s="220" t="str">
        <f t="shared" si="5"/>
        <v/>
      </c>
      <c r="G54" s="37" t="str">
        <f t="shared" si="6"/>
        <v/>
      </c>
    </row>
    <row r="55" spans="2:30" x14ac:dyDescent="0.45">
      <c r="B55" s="221" t="str">
        <f>IF($C55="","",ROWS($B$40:B55))</f>
        <v/>
      </c>
      <c r="C55" s="222" t="str">
        <f t="array" ref="C55">IFERROR(INDEX($C$64:$C$83,_xlfn.AGGREGATE(15,6,(ROW($C$64:$C$83)-63)/(($C$64:$C$83&lt;&gt;"")*(COUNTIF($D$25:$D$35,$C$64:$C$83)=0)),ROWS($C$40:C55))),"")</f>
        <v/>
      </c>
      <c r="D55" s="223" t="str">
        <f t="shared" si="3"/>
        <v/>
      </c>
      <c r="E55" s="224" t="str">
        <f t="shared" si="4"/>
        <v/>
      </c>
      <c r="F55" s="225" t="str">
        <f t="shared" si="5"/>
        <v/>
      </c>
      <c r="G55" s="223" t="str">
        <f t="shared" si="6"/>
        <v/>
      </c>
    </row>
    <row r="56" spans="2:30" x14ac:dyDescent="0.45">
      <c r="B56" s="217" t="str">
        <f>IF($C56="","",ROWS($B$40:B56))</f>
        <v/>
      </c>
      <c r="C56" s="218" t="str">
        <f t="array" ref="C56">IFERROR(INDEX($C$64:$C$83,_xlfn.AGGREGATE(15,6,(ROW($C$64:$C$83)-63)/(($C$64:$C$83&lt;&gt;"")*(COUNTIF($D$25:$D$35,$C$64:$C$83)=0)),ROWS($C$40:C56))),"")</f>
        <v/>
      </c>
      <c r="D56" s="37" t="str">
        <f t="shared" si="3"/>
        <v/>
      </c>
      <c r="E56" s="219" t="str">
        <f t="shared" si="4"/>
        <v/>
      </c>
      <c r="F56" s="220" t="str">
        <f t="shared" si="5"/>
        <v/>
      </c>
      <c r="G56" s="37" t="str">
        <f t="shared" si="6"/>
        <v/>
      </c>
    </row>
    <row r="57" spans="2:30" x14ac:dyDescent="0.45">
      <c r="B57" s="221" t="str">
        <f>IF($C57="","",ROWS($B$40:B57))</f>
        <v/>
      </c>
      <c r="C57" s="222" t="str">
        <f t="array" ref="C57">IFERROR(INDEX($C$64:$C$83,_xlfn.AGGREGATE(15,6,(ROW($C$64:$C$83)-63)/(($C$64:$C$83&lt;&gt;"")*(COUNTIF($D$25:$D$35,$C$64:$C$83)=0)),ROWS($C$40:C57))),"")</f>
        <v/>
      </c>
      <c r="D57" s="223" t="str">
        <f t="shared" si="3"/>
        <v/>
      </c>
      <c r="E57" s="224" t="str">
        <f t="shared" si="4"/>
        <v/>
      </c>
      <c r="F57" s="225" t="str">
        <f t="shared" si="5"/>
        <v/>
      </c>
      <c r="G57" s="223" t="str">
        <f t="shared" si="6"/>
        <v/>
      </c>
    </row>
    <row r="58" spans="2:30" x14ac:dyDescent="0.45">
      <c r="B58" s="217" t="str">
        <f>IF($C58="","",ROWS($B$40:B58))</f>
        <v/>
      </c>
      <c r="C58" s="218" t="str">
        <f t="array" ref="C58">IFERROR(INDEX($C$64:$C$83,_xlfn.AGGREGATE(15,6,(ROW($C$64:$C$83)-63)/(($C$64:$C$83&lt;&gt;"")*(COUNTIF($D$25:$D$35,$C$64:$C$83)=0)),ROWS($C$40:C58))),"")</f>
        <v/>
      </c>
      <c r="D58" s="37" t="str">
        <f t="shared" si="3"/>
        <v/>
      </c>
      <c r="E58" s="219" t="str">
        <f t="shared" si="4"/>
        <v/>
      </c>
      <c r="F58" s="220" t="str">
        <f t="shared" si="5"/>
        <v/>
      </c>
      <c r="G58" s="37" t="str">
        <f t="shared" si="6"/>
        <v/>
      </c>
    </row>
    <row r="59" spans="2:30" x14ac:dyDescent="0.45">
      <c r="B59" s="221" t="str">
        <f>IF($C59="","",ROWS($B$40:B59))</f>
        <v/>
      </c>
      <c r="C59" s="222" t="str">
        <f t="array" ref="C59">IFERROR(INDEX($C$64:$C$83,_xlfn.AGGREGATE(15,6,(ROW($C$64:$C$83)-63)/(($C$64:$C$83&lt;&gt;"")*(COUNTIF($D$25:$D$35,$C$64:$C$83)=0)),ROWS($C$40:C59))),"")</f>
        <v/>
      </c>
      <c r="D59" s="223" t="str">
        <f t="shared" si="3"/>
        <v/>
      </c>
      <c r="E59" s="224" t="str">
        <f t="shared" si="4"/>
        <v/>
      </c>
      <c r="F59" s="225" t="str">
        <f t="shared" si="5"/>
        <v/>
      </c>
      <c r="G59" s="223" t="str">
        <f t="shared" si="6"/>
        <v/>
      </c>
    </row>
    <row r="62" spans="2:30" x14ac:dyDescent="0.45">
      <c r="B62" s="394" t="s">
        <v>319</v>
      </c>
      <c r="C62" s="394"/>
      <c r="D62" s="394"/>
      <c r="E62" s="394"/>
      <c r="F62" s="394"/>
      <c r="G62" s="394"/>
      <c r="H62" s="394"/>
      <c r="I62" s="394"/>
      <c r="J62" s="394"/>
      <c r="K62" s="394"/>
      <c r="L62" s="394"/>
      <c r="M62" s="394"/>
      <c r="N62" s="394"/>
      <c r="O62" s="394"/>
      <c r="P62" s="394"/>
      <c r="Q62" s="226"/>
      <c r="R62" s="388" t="s">
        <v>320</v>
      </c>
      <c r="S62" s="388"/>
      <c r="T62" s="388"/>
      <c r="U62" s="388"/>
      <c r="V62" s="388"/>
      <c r="W62" s="388"/>
      <c r="X62" s="388"/>
      <c r="Y62" s="388"/>
      <c r="Z62" s="388"/>
      <c r="AA62" s="388"/>
    </row>
    <row r="63" spans="2:30" ht="31.5" hidden="1" customHeight="1" outlineLevel="1" x14ac:dyDescent="0.45">
      <c r="B63" s="227" t="s">
        <v>154</v>
      </c>
      <c r="C63" s="146" t="s">
        <v>18</v>
      </c>
      <c r="D63" s="146" t="s">
        <v>218</v>
      </c>
      <c r="E63" s="146" t="s">
        <v>321</v>
      </c>
      <c r="F63" s="146" t="s">
        <v>169</v>
      </c>
      <c r="G63" s="146" t="s">
        <v>251</v>
      </c>
      <c r="H63" s="146" t="s">
        <v>253</v>
      </c>
      <c r="I63" s="146" t="s">
        <v>260</v>
      </c>
      <c r="J63" s="146" t="s">
        <v>270</v>
      </c>
      <c r="K63" s="146" t="s">
        <v>273</v>
      </c>
      <c r="L63" s="146" t="s">
        <v>275</v>
      </c>
      <c r="M63" s="146" t="s">
        <v>277</v>
      </c>
      <c r="N63" s="146" t="s">
        <v>279</v>
      </c>
      <c r="O63" s="146" t="s">
        <v>281</v>
      </c>
      <c r="P63" s="146" t="s">
        <v>283</v>
      </c>
      <c r="Q63" s="146"/>
      <c r="R63" s="146" t="s">
        <v>251</v>
      </c>
      <c r="S63" s="146" t="s">
        <v>253</v>
      </c>
      <c r="T63" s="146" t="s">
        <v>260</v>
      </c>
      <c r="U63" s="146" t="s">
        <v>270</v>
      </c>
      <c r="V63" s="146" t="s">
        <v>273</v>
      </c>
      <c r="W63" s="146" t="s">
        <v>275</v>
      </c>
      <c r="X63" s="146" t="s">
        <v>277</v>
      </c>
      <c r="Y63" s="146" t="s">
        <v>279</v>
      </c>
      <c r="Z63" s="146" t="s">
        <v>281</v>
      </c>
      <c r="AA63" s="146" t="s">
        <v>283</v>
      </c>
      <c r="AB63" s="146" t="s">
        <v>322</v>
      </c>
      <c r="AC63" s="148" t="s">
        <v>315</v>
      </c>
      <c r="AD63" s="228" t="s">
        <v>323</v>
      </c>
    </row>
    <row r="64" spans="2:30" hidden="1" outlineLevel="1" x14ac:dyDescent="0.45">
      <c r="B64" s="229">
        <f>IF($C64="","",Attendance!$C5)</f>
        <v>1</v>
      </c>
      <c r="C64" s="230" t="str">
        <f>IF(Attendance!$D5="","",Attendance!$D5)</f>
        <v>Aoife Kennan</v>
      </c>
      <c r="D64" s="32" t="str">
        <f>IF($C64="","",'Player Grading'!$D6)</f>
        <v>GK</v>
      </c>
      <c r="E64" s="32" t="str">
        <f>IF($C64="","",IF($E118="",IF(Attendance!$GP5="","Yes",Attendance!$GP5),IF($E118="Available","Yes","No")))</f>
        <v>Yes</v>
      </c>
      <c r="F64" s="231"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7">IF(G64="","",IF(AND($J$6="On",ISNUMBER($AB64)),MEDIAN(1,G64+($AB64-0.5)*$K$6,20),G64))</f>
        <v>8.9651515151515149</v>
      </c>
      <c r="S64" s="35" t="str">
        <f t="shared" ref="S64:S83" si="8">IF(H64="","",IF(AND($J$6="On",ISNUMBER($AB64)),MEDIAN(1,H64+($AB64-0.5)*$K$6,20),H64))</f>
        <v/>
      </c>
      <c r="T64" s="35" t="str">
        <f t="shared" ref="T64:T83" si="9">IF(I64="","",IF(AND($J$6="On",ISNUMBER($AB64)),MEDIAN(1,I64+($AB64-0.5)*$K$6,20),I64))</f>
        <v/>
      </c>
      <c r="U64" s="35" t="str">
        <f t="shared" ref="U64:U83" si="10">IF(J64="","",IF(AND($J$6="On",ISNUMBER($AB64)),MEDIAN(1,J64+($AB64-0.5)*$K$6,20),J64))</f>
        <v/>
      </c>
      <c r="V64" s="35" t="str">
        <f t="shared" ref="V64:V83" si="11">IF(K64="","",IF(AND($J$6="On",ISNUMBER($AB64)),MEDIAN(1,K64+($AB64-0.5)*$K$6,20),K64))</f>
        <v/>
      </c>
      <c r="W64" s="35" t="str">
        <f t="shared" ref="W64:W83" si="12">IF(L64="","",IF(AND($J$6="On",ISNUMBER($AB64)),MEDIAN(1,L64+($AB64-0.5)*$K$6,20),L64))</f>
        <v/>
      </c>
      <c r="X64" s="35" t="str">
        <f t="shared" ref="X64:X83" si="13">IF(M64="","",IF(AND($J$6="On",ISNUMBER($AB64)),MEDIAN(1,M64+($AB64-0.5)*$K$6,20),M64))</f>
        <v/>
      </c>
      <c r="Y64" s="35" t="str">
        <f t="shared" ref="Y64:Y83" si="14">IF(N64="","",IF(AND($J$6="On",ISNUMBER($AB64)),MEDIAN(1,N64+($AB64-0.5)*$K$6,20),N64))</f>
        <v/>
      </c>
      <c r="Z64" s="35" t="str">
        <f t="shared" ref="Z64:Z83" si="15">IF(O64="","",IF(AND($J$6="On",ISNUMBER($AB64)),MEDIAN(1,O64+($AB64-0.5)*$K$6,20),O64))</f>
        <v/>
      </c>
      <c r="AA64" s="35" t="str">
        <f t="shared" ref="AA64:AA83" si="16">IF(P64="","",IF(AND($J$6="On",ISNUMBER($AB64)),MEDIAN(1,P64+($AB64-0.5)*$K$6,20),P64))</f>
        <v/>
      </c>
      <c r="AB64" s="100">
        <f>IF($C64="","",IF(OR(N(Attendance!$GB5)&gt;0,N(Attendance!$GF5)&gt;0),IFERROR(Attendance!$GN5,""),IFERROR(INDEX(Workings!$AT$6:$AT$25,MATCH($C64,Workings!$AO$6:$AO$25,0)),"")))</f>
        <v>0.76666666666666661</v>
      </c>
      <c r="AC64" s="232">
        <f>IF($C64="","",IFERROR('Player Grading'!$AL6,""))</f>
        <v>6.7041666666666666</v>
      </c>
      <c r="AD64" t="str">
        <f>IF($C64="","",IF(OR(N(Attendance!$GB5)&gt;0,N(Attendance!$GF5)&gt;0),"In-season",IF(ISNUMBER($AB64),"Pre-season","None")))</f>
        <v>In-season</v>
      </c>
    </row>
    <row r="65" spans="2:30" hidden="1" outlineLevel="1" x14ac:dyDescent="0.45">
      <c r="B65" s="233">
        <f>IF($C65="","",Attendance!$C6)</f>
        <v>2</v>
      </c>
      <c r="C65" s="234" t="str">
        <f>IF(Attendance!$D6="","",Attendance!$D6)</f>
        <v>Stella McEvoy</v>
      </c>
      <c r="D65" s="235" t="str">
        <f>IF($C65="","",'Player Grading'!$D7)</f>
        <v>LB / RB / CB</v>
      </c>
      <c r="E65" s="235" t="str">
        <f>IF($C65="","",IF($E119="",IF(Attendance!$GP6="","Yes",Attendance!$GP6),IF($E119="Available","Yes","No")))</f>
        <v>Yes</v>
      </c>
      <c r="F65" s="236"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5"/>
      <c r="R65" s="109" t="str">
        <f t="shared" si="7"/>
        <v/>
      </c>
      <c r="S65" s="109">
        <f t="shared" si="8"/>
        <v>12.666666666666666</v>
      </c>
      <c r="T65" s="109">
        <f t="shared" si="9"/>
        <v>14.11869918699187</v>
      </c>
      <c r="U65" s="109">
        <f t="shared" si="10"/>
        <v>12.666666666666666</v>
      </c>
      <c r="V65" s="109" t="str">
        <f t="shared" si="11"/>
        <v/>
      </c>
      <c r="W65" s="109" t="str">
        <f t="shared" si="12"/>
        <v/>
      </c>
      <c r="X65" s="109" t="str">
        <f t="shared" si="13"/>
        <v/>
      </c>
      <c r="Y65" s="109" t="str">
        <f t="shared" si="14"/>
        <v/>
      </c>
      <c r="Z65" s="109" t="str">
        <f t="shared" si="15"/>
        <v/>
      </c>
      <c r="AA65" s="109" t="str">
        <f t="shared" si="16"/>
        <v/>
      </c>
      <c r="AB65" s="108">
        <f>IF($C65="","",IF(OR(N(Attendance!$GB6)&gt;0,N(Attendance!$GF6)&gt;0),IFERROR(Attendance!$GN6,""),IFERROR(INDEX(Workings!$AT$6:$AT$25,MATCH($C65,Workings!$AO$6:$AO$25,0)),"")))</f>
        <v>0.76666666666666661</v>
      </c>
      <c r="AC65" s="237">
        <f>IF($C65="","",IFERROR('Player Grading'!$AL7,""))</f>
        <v>11.135185185185186</v>
      </c>
      <c r="AD65" t="str">
        <f>IF($C65="","",IF(OR(N(Attendance!$GB6)&gt;0,N(Attendance!$GF6)&gt;0),"In-season",IF(ISNUMBER($AB65),"Pre-season","None")))</f>
        <v>In-season</v>
      </c>
    </row>
    <row r="66" spans="2:30" hidden="1" outlineLevel="1" x14ac:dyDescent="0.45">
      <c r="B66" s="229">
        <f>IF($C66="","",Attendance!$C7)</f>
        <v>3</v>
      </c>
      <c r="C66" s="230" t="str">
        <f>IF(Attendance!$D7="","",Attendance!$D7)</f>
        <v>Zara Power</v>
      </c>
      <c r="D66" s="32" t="str">
        <f>IF($C66="","",'Player Grading'!$D8)</f>
        <v>RB</v>
      </c>
      <c r="E66" s="32" t="str">
        <f>IF($C66="","",IF($E120="",IF(Attendance!$GP7="","Yes",Attendance!$GP7),IF($E120="Available","Yes","No")))</f>
        <v>No</v>
      </c>
      <c r="F66" s="231"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7"/>
        <v/>
      </c>
      <c r="S66" s="35">
        <f t="shared" si="8"/>
        <v>10.8</v>
      </c>
      <c r="T66" s="35" t="str">
        <f t="shared" si="9"/>
        <v/>
      </c>
      <c r="U66" s="35" t="str">
        <f t="shared" si="10"/>
        <v/>
      </c>
      <c r="V66" s="35" t="str">
        <f t="shared" si="11"/>
        <v/>
      </c>
      <c r="W66" s="35" t="str">
        <f t="shared" si="12"/>
        <v/>
      </c>
      <c r="X66" s="35" t="str">
        <f t="shared" si="13"/>
        <v/>
      </c>
      <c r="Y66" s="35" t="str">
        <f t="shared" si="14"/>
        <v/>
      </c>
      <c r="Z66" s="35" t="str">
        <f t="shared" si="15"/>
        <v/>
      </c>
      <c r="AA66" s="35" t="str">
        <f t="shared" si="16"/>
        <v/>
      </c>
      <c r="AB66" s="100">
        <f>IF($C66="","",IF(OR(N(Attendance!$GB7)&gt;0,N(Attendance!$GF7)&gt;0),IFERROR(Attendance!$GN7,""),IFERROR(INDEX(Workings!$AT$6:$AT$25,MATCH($C66,Workings!$AO$6:$AO$25,0)),"")))</f>
        <v>0</v>
      </c>
      <c r="AC66" s="232">
        <f>IF($C66="","",IFERROR('Player Grading'!$AL8,""))</f>
        <v>10.538888888888888</v>
      </c>
      <c r="AD66" t="str">
        <f>IF($C66="","",IF(OR(N(Attendance!$GB7)&gt;0,N(Attendance!$GF7)&gt;0),"In-season",IF(ISNUMBER($AB66),"Pre-season","None")))</f>
        <v>In-season</v>
      </c>
    </row>
    <row r="67" spans="2:30" hidden="1" outlineLevel="1" x14ac:dyDescent="0.45">
      <c r="B67" s="233">
        <f>IF($C67="","",Attendance!$C8)</f>
        <v>4</v>
      </c>
      <c r="C67" s="234" t="str">
        <f>IF(Attendance!$D8="","",Attendance!$D8)</f>
        <v>Heidi Cerubini Dunne</v>
      </c>
      <c r="D67" s="235" t="str">
        <f>IF($C67="","",'Player Grading'!$D9)</f>
        <v>LB / RB</v>
      </c>
      <c r="E67" s="235" t="str">
        <f>IF($C67="","",IF($E121="",IF(Attendance!$GP8="","Yes",Attendance!$GP8),IF($E121="Available","Yes","No")))</f>
        <v>Yes</v>
      </c>
      <c r="F67" s="236"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5"/>
      <c r="R67" s="109" t="str">
        <f t="shared" si="7"/>
        <v/>
      </c>
      <c r="S67" s="109">
        <f t="shared" si="8"/>
        <v>3.7555555555555555</v>
      </c>
      <c r="T67" s="109" t="str">
        <f t="shared" si="9"/>
        <v/>
      </c>
      <c r="U67" s="109">
        <f t="shared" si="10"/>
        <v>3.7555555555555555</v>
      </c>
      <c r="V67" s="109" t="str">
        <f t="shared" si="11"/>
        <v/>
      </c>
      <c r="W67" s="109" t="str">
        <f t="shared" si="12"/>
        <v/>
      </c>
      <c r="X67" s="109" t="str">
        <f t="shared" si="13"/>
        <v/>
      </c>
      <c r="Y67" s="109" t="str">
        <f t="shared" si="14"/>
        <v/>
      </c>
      <c r="Z67" s="109" t="str">
        <f t="shared" si="15"/>
        <v/>
      </c>
      <c r="AA67" s="109" t="str">
        <f t="shared" si="16"/>
        <v/>
      </c>
      <c r="AB67" s="108">
        <f>IF($C67="","",IF(OR(N(Attendance!$GB8)&gt;0,N(Attendance!$GF8)&gt;0),IFERROR(Attendance!$GN8,""),IFERROR(INDEX(Workings!$AT$6:$AT$25,MATCH($C67,Workings!$AO$6:$AO$25,0)),"")))</f>
        <v>0</v>
      </c>
      <c r="AC67" s="237">
        <f>IF($C67="","",IFERROR('Player Grading'!$AL9,""))</f>
        <v>4.1879629629629633</v>
      </c>
      <c r="AD67" t="str">
        <f>IF($C67="","",IF(OR(N(Attendance!$GB8)&gt;0,N(Attendance!$GF8)&gt;0),"In-season",IF(ISNUMBER($AB67),"Pre-season","None")))</f>
        <v>In-season</v>
      </c>
    </row>
    <row r="68" spans="2:30" hidden="1" outlineLevel="1" x14ac:dyDescent="0.45">
      <c r="B68" s="229">
        <f>IF($C68="","",Attendance!$C9)</f>
        <v>5</v>
      </c>
      <c r="C68" s="230" t="str">
        <f>IF(Attendance!$D9="","",Attendance!$D9)</f>
        <v>Roisin Offenhausen</v>
      </c>
      <c r="D68" s="32" t="str">
        <f>IF($C68="","",'Player Grading'!$D10)</f>
        <v>RW / CM / ST</v>
      </c>
      <c r="E68" s="32" t="str">
        <f>IF($C68="","",IF($E122="",IF(Attendance!$GP9="","Yes",Attendance!$GP9),IF($E122="Available","Yes","No")))</f>
        <v>Yes</v>
      </c>
      <c r="F68" s="231"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7"/>
        <v/>
      </c>
      <c r="S68" s="35" t="str">
        <f t="shared" si="8"/>
        <v/>
      </c>
      <c r="T68" s="35" t="str">
        <f t="shared" si="9"/>
        <v/>
      </c>
      <c r="U68" s="35" t="str">
        <f t="shared" si="10"/>
        <v/>
      </c>
      <c r="V68" s="35" t="str">
        <f t="shared" si="11"/>
        <v/>
      </c>
      <c r="W68" s="35">
        <f t="shared" si="12"/>
        <v>12.778231292517006</v>
      </c>
      <c r="X68" s="35" t="str">
        <f t="shared" si="13"/>
        <v/>
      </c>
      <c r="Y68" s="35">
        <f t="shared" si="14"/>
        <v>12.955555555555556</v>
      </c>
      <c r="Z68" s="35" t="str">
        <f t="shared" si="15"/>
        <v/>
      </c>
      <c r="AA68" s="35">
        <f t="shared" si="16"/>
        <v>12.353333333333333</v>
      </c>
      <c r="AB68" s="100">
        <f>IF($C68="","",IF(OR(N(Attendance!$GB9)&gt;0,N(Attendance!$GF9)&gt;0),IFERROR(Attendance!$GN9,""),IFERROR(INDEX(Workings!$AT$6:$AT$25,MATCH($C68,Workings!$AO$6:$AO$25,0)),"")))</f>
        <v>0.76666666666666661</v>
      </c>
      <c r="AC68" s="232">
        <f>IF($C68="","",IFERROR('Player Grading'!$AL10,""))</f>
        <v>11.965740740740742</v>
      </c>
      <c r="AD68" t="str">
        <f>IF($C68="","",IF(OR(N(Attendance!$GB9)&gt;0,N(Attendance!$GF9)&gt;0),"In-season",IF(ISNUMBER($AB68),"Pre-season","None")))</f>
        <v>In-season</v>
      </c>
    </row>
    <row r="69" spans="2:30" hidden="1" outlineLevel="1" x14ac:dyDescent="0.45">
      <c r="B69" s="233">
        <f>IF($C69="","",Attendance!$C10)</f>
        <v>6</v>
      </c>
      <c r="C69" s="234" t="str">
        <f>IF(Attendance!$D10="","",Attendance!$D10)</f>
        <v>Naomi Adewoyin</v>
      </c>
      <c r="D69" s="235" t="str">
        <f>IF($C69="","",'Player Grading'!$D11)</f>
        <v>CM / ACM</v>
      </c>
      <c r="E69" s="235" t="str">
        <f>IF($C69="","",IF($E123="",IF(Attendance!$GP10="","Yes",Attendance!$GP10),IF($E123="Available","Yes","No")))</f>
        <v>Yes</v>
      </c>
      <c r="F69" s="236"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5"/>
      <c r="R69" s="109" t="str">
        <f t="shared" si="7"/>
        <v/>
      </c>
      <c r="S69" s="109" t="str">
        <f t="shared" si="8"/>
        <v/>
      </c>
      <c r="T69" s="109" t="str">
        <f t="shared" si="9"/>
        <v/>
      </c>
      <c r="U69" s="109" t="str">
        <f t="shared" si="10"/>
        <v/>
      </c>
      <c r="V69" s="109" t="str">
        <f t="shared" si="11"/>
        <v/>
      </c>
      <c r="W69" s="109">
        <f t="shared" si="12"/>
        <v>12.268027210884354</v>
      </c>
      <c r="X69" s="109">
        <f t="shared" si="13"/>
        <v>11.968115942028986</v>
      </c>
      <c r="Y69" s="109" t="str">
        <f t="shared" si="14"/>
        <v/>
      </c>
      <c r="Z69" s="109" t="str">
        <f t="shared" si="15"/>
        <v/>
      </c>
      <c r="AA69" s="109" t="str">
        <f t="shared" si="16"/>
        <v/>
      </c>
      <c r="AB69" s="108">
        <f>IF($C69="","",IF(OR(N(Attendance!$GB10)&gt;0,N(Attendance!$GF10)&gt;0),IFERROR(Attendance!$GN10,""),IFERROR(INDEX(Workings!$AT$6:$AT$25,MATCH($C69,Workings!$AO$6:$AO$25,0)),"")))</f>
        <v>0.76666666666666661</v>
      </c>
      <c r="AC69" s="237">
        <f>IF($C69="","",IFERROR('Player Grading'!$AL11,""))</f>
        <v>10.986111111111112</v>
      </c>
      <c r="AD69" t="str">
        <f>IF($C69="","",IF(OR(N(Attendance!$GB10)&gt;0,N(Attendance!$GF10)&gt;0),"In-season",IF(ISNUMBER($AB69),"Pre-season","None")))</f>
        <v>In-season</v>
      </c>
    </row>
    <row r="70" spans="2:30" hidden="1" outlineLevel="1" x14ac:dyDescent="0.45">
      <c r="B70" s="229">
        <f>IF($C70="","",Attendance!$C11)</f>
        <v>7</v>
      </c>
      <c r="C70" s="230" t="str">
        <f>IF(Attendance!$D11="","",Attendance!$D11)</f>
        <v>Amber Kilalee</v>
      </c>
      <c r="D70" s="32" t="str">
        <f>IF($C70="","",'Player Grading'!$D12)</f>
        <v>LW / ST</v>
      </c>
      <c r="E70" s="32" t="str">
        <f>IF($C70="","",IF($E124="",IF(Attendance!$GP11="","Yes",Attendance!$GP11),IF($E124="Available","Yes","No")))</f>
        <v>Yes</v>
      </c>
      <c r="F70" s="231"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9.1999999999999993</v>
      </c>
      <c r="P70" s="35">
        <f t="array" ref="P70">IF($C70="","",IF(NOT(ISNUMBER(SEARCH(" ST "," "&amp;SUBSTITUTE($D70,"/"," ")&amp;" "))),"",IFERROR(SUMPRODUCT('Player Grading'!$E12:$AF12,$C$113:$AD$113)/SUMPRODUCT(($C$113:$AD$113)*('Player Grading'!$E12:$AF12&lt;&gt;"")),"")))</f>
        <v>9.0399999999999991</v>
      </c>
      <c r="Q70" s="32"/>
      <c r="R70" s="35" t="str">
        <f t="shared" si="7"/>
        <v/>
      </c>
      <c r="S70" s="35" t="str">
        <f t="shared" si="8"/>
        <v/>
      </c>
      <c r="T70" s="35" t="str">
        <f t="shared" si="9"/>
        <v/>
      </c>
      <c r="U70" s="35" t="str">
        <f t="shared" si="10"/>
        <v/>
      </c>
      <c r="V70" s="35" t="str">
        <f t="shared" si="11"/>
        <v/>
      </c>
      <c r="W70" s="35" t="str">
        <f t="shared" si="12"/>
        <v/>
      </c>
      <c r="X70" s="35" t="str">
        <f t="shared" si="13"/>
        <v/>
      </c>
      <c r="Y70" s="35" t="str">
        <f t="shared" si="14"/>
        <v/>
      </c>
      <c r="Z70" s="35">
        <f t="shared" si="15"/>
        <v>9.7333333333333325</v>
      </c>
      <c r="AA70" s="35">
        <f t="shared" si="16"/>
        <v>9.5733333333333324</v>
      </c>
      <c r="AB70" s="100">
        <f>IF($C70="","",IF(OR(N(Attendance!$GB11)&gt;0,N(Attendance!$GF11)&gt;0),IFERROR(Attendance!$GN11,""),IFERROR(INDEX(Workings!$AT$6:$AT$25,MATCH($C70,Workings!$AO$6:$AO$25,0)),"")))</f>
        <v>0.76666666666666661</v>
      </c>
      <c r="AC70" s="232">
        <f>IF($C70="","",IFERROR('Player Grading'!$AL12,""))</f>
        <v>9.0111111111111111</v>
      </c>
      <c r="AD70" t="str">
        <f>IF($C70="","",IF(OR(N(Attendance!$GB11)&gt;0,N(Attendance!$GF11)&gt;0),"In-season",IF(ISNUMBER($AB70),"Pre-season","None")))</f>
        <v>In-season</v>
      </c>
    </row>
    <row r="71" spans="2:30" hidden="1" outlineLevel="1" x14ac:dyDescent="0.45">
      <c r="B71" s="233">
        <f>IF($C71="","",Attendance!$C12)</f>
        <v>8</v>
      </c>
      <c r="C71" s="234" t="str">
        <f>IF(Attendance!$D12="","",Attendance!$D12)</f>
        <v>Shauna Kavanagh</v>
      </c>
      <c r="D71" s="235" t="str">
        <f>IF($C71="","",'Player Grading'!$D13)</f>
        <v>ST / RW</v>
      </c>
      <c r="E71" s="235" t="str">
        <f>IF($C71="","",IF($E125="",IF(Attendance!$GP12="","Yes",Attendance!$GP12),IF($E125="Available","Yes","No")))</f>
        <v>Yes</v>
      </c>
      <c r="F71" s="236"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8.1111111111111107</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5"/>
      <c r="R71" s="109" t="str">
        <f t="shared" si="7"/>
        <v/>
      </c>
      <c r="S71" s="109" t="str">
        <f t="shared" si="8"/>
        <v/>
      </c>
      <c r="T71" s="109" t="str">
        <f t="shared" si="9"/>
        <v/>
      </c>
      <c r="U71" s="109" t="str">
        <f t="shared" si="10"/>
        <v/>
      </c>
      <c r="V71" s="109" t="str">
        <f t="shared" si="11"/>
        <v/>
      </c>
      <c r="W71" s="109" t="str">
        <f t="shared" si="12"/>
        <v/>
      </c>
      <c r="X71" s="109" t="str">
        <f t="shared" si="13"/>
        <v/>
      </c>
      <c r="Y71" s="109">
        <f t="shared" si="14"/>
        <v>8.4111111111111114</v>
      </c>
      <c r="Z71" s="109" t="str">
        <f t="shared" si="15"/>
        <v/>
      </c>
      <c r="AA71" s="109">
        <f t="shared" si="16"/>
        <v>8.14</v>
      </c>
      <c r="AB71" s="108">
        <f>IF($C71="","",IF(OR(N(Attendance!$GB12)&gt;0,N(Attendance!$GF12)&gt;0),IFERROR(Attendance!$GN12,""),IFERROR(INDEX(Workings!$AT$6:$AT$25,MATCH($C71,Workings!$AO$6:$AO$25,0)),"")))</f>
        <v>0.65</v>
      </c>
      <c r="AC71" s="237">
        <f>IF($C71="","",IFERROR('Player Grading'!$AL13,""))</f>
        <v>7.7342592592592601</v>
      </c>
      <c r="AD71" t="str">
        <f>IF($C71="","",IF(OR(N(Attendance!$GB12)&gt;0,N(Attendance!$GF12)&gt;0),"In-season",IF(ISNUMBER($AB71),"Pre-season","None")))</f>
        <v>In-season</v>
      </c>
    </row>
    <row r="72" spans="2:30" hidden="1" outlineLevel="1" x14ac:dyDescent="0.45">
      <c r="B72" s="229">
        <f>IF($C72="","",Attendance!$C13)</f>
        <v>9</v>
      </c>
      <c r="C72" s="230" t="str">
        <f>IF(Attendance!$D13="","",Attendance!$D13)</f>
        <v>Tara Brannigan</v>
      </c>
      <c r="D72" s="32" t="str">
        <f>IF($C72="","",'Player Grading'!$D14)</f>
        <v>DM / CM</v>
      </c>
      <c r="E72" s="32" t="str">
        <f>IF($C72="","",IF($E126="",IF(Attendance!$GP13="","Yes",Attendance!$GP13),IF($E126="Available","Yes","No")))</f>
        <v>Yes</v>
      </c>
      <c r="F72" s="231"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7"/>
        <v/>
      </c>
      <c r="S72" s="35" t="str">
        <f t="shared" si="8"/>
        <v/>
      </c>
      <c r="T72" s="35" t="str">
        <f t="shared" si="9"/>
        <v/>
      </c>
      <c r="U72" s="35" t="str">
        <f t="shared" si="10"/>
        <v/>
      </c>
      <c r="V72" s="35">
        <f t="shared" si="11"/>
        <v>13.533333333333333</v>
      </c>
      <c r="W72" s="35">
        <f t="shared" si="12"/>
        <v>12.676190476190476</v>
      </c>
      <c r="X72" s="35" t="str">
        <f t="shared" si="13"/>
        <v/>
      </c>
      <c r="Y72" s="35" t="str">
        <f t="shared" si="14"/>
        <v/>
      </c>
      <c r="Z72" s="35" t="str">
        <f t="shared" si="15"/>
        <v/>
      </c>
      <c r="AA72" s="35" t="str">
        <f t="shared" si="16"/>
        <v/>
      </c>
      <c r="AB72" s="100">
        <f>IF($C72="","",IF(OR(N(Attendance!$GB13)&gt;0,N(Attendance!$GF13)&gt;0),IFERROR(Attendance!$GN13,""),IFERROR(INDEX(Workings!$AT$6:$AT$25,MATCH($C72,Workings!$AO$6:$AO$25,0)),"")))</f>
        <v>0.76666666666666661</v>
      </c>
      <c r="AC72" s="232">
        <f>IF($C72="","",IFERROR('Player Grading'!$AL14,""))</f>
        <v>11.726851851851853</v>
      </c>
      <c r="AD72" t="str">
        <f>IF($C72="","",IF(OR(N(Attendance!$GB13)&gt;0,N(Attendance!$GF13)&gt;0),"In-season",IF(ISNUMBER($AB72),"Pre-season","None")))</f>
        <v>In-season</v>
      </c>
    </row>
    <row r="73" spans="2:30" hidden="1" outlineLevel="1" x14ac:dyDescent="0.45">
      <c r="B73" s="233">
        <f>IF($C73="","",Attendance!$C14)</f>
        <v>10</v>
      </c>
      <c r="C73" s="234" t="str">
        <f>IF(Attendance!$D14="","",Attendance!$D14)</f>
        <v>Semilore Adesanya</v>
      </c>
      <c r="D73" s="235" t="str">
        <f>IF($C73="","",'Player Grading'!$D15)</f>
        <v>CB / CM</v>
      </c>
      <c r="E73" s="235" t="str">
        <f>IF($C73="","",IF($E127="",IF(Attendance!$GP14="","Yes",Attendance!$GP14),IF($E127="Available","Yes","No")))</f>
        <v>Yes</v>
      </c>
      <c r="F73" s="236"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5"/>
      <c r="R73" s="109" t="str">
        <f t="shared" si="7"/>
        <v/>
      </c>
      <c r="S73" s="109" t="str">
        <f t="shared" si="8"/>
        <v/>
      </c>
      <c r="T73" s="109">
        <f t="shared" si="9"/>
        <v>14.85040650406504</v>
      </c>
      <c r="U73" s="109" t="str">
        <f t="shared" si="10"/>
        <v/>
      </c>
      <c r="V73" s="109" t="str">
        <f t="shared" si="11"/>
        <v/>
      </c>
      <c r="W73" s="109">
        <f t="shared" si="12"/>
        <v>13.839455782312925</v>
      </c>
      <c r="X73" s="109" t="str">
        <f t="shared" si="13"/>
        <v/>
      </c>
      <c r="Y73" s="109" t="str">
        <f t="shared" si="14"/>
        <v/>
      </c>
      <c r="Z73" s="109" t="str">
        <f t="shared" si="15"/>
        <v/>
      </c>
      <c r="AA73" s="109" t="str">
        <f t="shared" si="16"/>
        <v/>
      </c>
      <c r="AB73" s="108">
        <f>IF($C73="","",IF(OR(N(Attendance!$GB14)&gt;0,N(Attendance!$GF14)&gt;0),IFERROR(Attendance!$GN14,""),IFERROR(INDEX(Workings!$AT$6:$AT$25,MATCH($C73,Workings!$AO$6:$AO$25,0)),"")))</f>
        <v>0.76666666666666661</v>
      </c>
      <c r="AC73" s="237">
        <f>IF($C73="","",IFERROR('Player Grading'!$AL15,""))</f>
        <v>12.763888888888888</v>
      </c>
      <c r="AD73" t="str">
        <f>IF($C73="","",IF(OR(N(Attendance!$GB14)&gt;0,N(Attendance!$GF14)&gt;0),"In-season",IF(ISNUMBER($AB73),"Pre-season","None")))</f>
        <v>In-season</v>
      </c>
    </row>
    <row r="74" spans="2:30" hidden="1" outlineLevel="1" x14ac:dyDescent="0.45">
      <c r="B74" s="229">
        <f>IF($C74="","",Attendance!$C15)</f>
        <v>11</v>
      </c>
      <c r="C74" s="230" t="str">
        <f>IF(Attendance!$D15="","",Attendance!$D15)</f>
        <v>Hannah Fleming</v>
      </c>
      <c r="D74" s="32" t="str">
        <f>IF($C74="","",'Player Grading'!$D16)</f>
        <v>LB / LW</v>
      </c>
      <c r="E74" s="32" t="str">
        <f>IF($C74="","",IF($E128="",IF(Attendance!$GP15="","Yes",Attendance!$GP15),IF($E128="Available","Yes","No")))</f>
        <v>Yes</v>
      </c>
      <c r="F74" s="231"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7"/>
        <v/>
      </c>
      <c r="S74" s="35" t="str">
        <f t="shared" si="8"/>
        <v/>
      </c>
      <c r="T74" s="35" t="str">
        <f t="shared" si="9"/>
        <v/>
      </c>
      <c r="U74" s="35">
        <f t="shared" si="10"/>
        <v>13.133333333333333</v>
      </c>
      <c r="V74" s="35" t="str">
        <f t="shared" si="11"/>
        <v/>
      </c>
      <c r="W74" s="35" t="str">
        <f t="shared" si="12"/>
        <v/>
      </c>
      <c r="X74" s="35" t="str">
        <f t="shared" si="13"/>
        <v/>
      </c>
      <c r="Y74" s="35" t="str">
        <f t="shared" si="14"/>
        <v/>
      </c>
      <c r="Z74" s="35">
        <f t="shared" si="15"/>
        <v>12.844444444444445</v>
      </c>
      <c r="AA74" s="35" t="str">
        <f t="shared" si="16"/>
        <v/>
      </c>
      <c r="AB74" s="100">
        <f>IF($C74="","",IF(OR(N(Attendance!$GB15)&gt;0,N(Attendance!$GF15)&gt;0),IFERROR(Attendance!$GN15,""),IFERROR(INDEX(Workings!$AT$6:$AT$25,MATCH($C74,Workings!$AO$6:$AO$25,0)),"")))</f>
        <v>0.76666666666666661</v>
      </c>
      <c r="AC74" s="232">
        <f>IF($C74="","",IFERROR('Player Grading'!$AL16,""))</f>
        <v>12.22037037037037</v>
      </c>
      <c r="AD74" t="str">
        <f>IF($C74="","",IF(OR(N(Attendance!$GB15)&gt;0,N(Attendance!$GF15)&gt;0),"In-season",IF(ISNUMBER($AB74),"Pre-season","None")))</f>
        <v>In-season</v>
      </c>
    </row>
    <row r="75" spans="2:30" hidden="1" outlineLevel="1" x14ac:dyDescent="0.45">
      <c r="B75" s="233">
        <f>IF($C75="","",Attendance!$C16)</f>
        <v>12</v>
      </c>
      <c r="C75" s="234" t="str">
        <f>IF(Attendance!$D16="","",Attendance!$D16)</f>
        <v>Emma Kelly</v>
      </c>
      <c r="D75" s="235" t="str">
        <f>IF($C75="","",'Player Grading'!$D17)</f>
        <v>CB</v>
      </c>
      <c r="E75" s="235" t="str">
        <f>IF($C75="","",IF($E129="",IF(Attendance!$GP16="","Yes",Attendance!$GP16),IF($E129="Available","Yes","No")))</f>
        <v>Yes</v>
      </c>
      <c r="F75" s="236"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5"/>
      <c r="R75" s="109" t="str">
        <f t="shared" si="7"/>
        <v/>
      </c>
      <c r="S75" s="109" t="str">
        <f t="shared" si="8"/>
        <v/>
      </c>
      <c r="T75" s="109">
        <f t="shared" si="9"/>
        <v>14.707317073170731</v>
      </c>
      <c r="U75" s="109" t="str">
        <f t="shared" si="10"/>
        <v/>
      </c>
      <c r="V75" s="109" t="str">
        <f t="shared" si="11"/>
        <v/>
      </c>
      <c r="W75" s="109" t="str">
        <f t="shared" si="12"/>
        <v/>
      </c>
      <c r="X75" s="109" t="str">
        <f t="shared" si="13"/>
        <v/>
      </c>
      <c r="Y75" s="109" t="str">
        <f t="shared" si="14"/>
        <v/>
      </c>
      <c r="Z75" s="109" t="str">
        <f t="shared" si="15"/>
        <v/>
      </c>
      <c r="AA75" s="109" t="str">
        <f t="shared" si="16"/>
        <v/>
      </c>
      <c r="AB75" s="108">
        <f>IF($C75="","",IF(OR(N(Attendance!$GB16)&gt;0,N(Attendance!$GF16)&gt;0),IFERROR(Attendance!$GN16,""),IFERROR(INDEX(Workings!$AT$6:$AT$25,MATCH($C75,Workings!$AO$6:$AO$25,0)),"")))</f>
        <v>0</v>
      </c>
      <c r="AC75" s="237">
        <f>IF($C75="","",IFERROR('Player Grading'!$AL17,""))</f>
        <v>13.725925925925926</v>
      </c>
      <c r="AD75" t="str">
        <f>IF($C75="","",IF(OR(N(Attendance!$GB16)&gt;0,N(Attendance!$GF16)&gt;0),"In-season",IF(ISNUMBER($AB75),"Pre-season","None")))</f>
        <v>In-season</v>
      </c>
    </row>
    <row r="76" spans="2:30" hidden="1" outlineLevel="1" x14ac:dyDescent="0.45">
      <c r="B76" s="229">
        <f>IF($C76="","",Attendance!$C17)</f>
        <v>13</v>
      </c>
      <c r="C76" s="230" t="str">
        <f>IF(Attendance!$D17="","",Attendance!$D17)</f>
        <v>Roma Memon</v>
      </c>
      <c r="D76" s="32" t="str">
        <f>IF($C76="","",'Player Grading'!$D18)</f>
        <v>DM / CM</v>
      </c>
      <c r="E76" s="32" t="str">
        <f>IF($C76="","",IF($E130="",IF(Attendance!$GP17="","Yes",Attendance!$GP17),IF($E130="Available","Yes","No")))</f>
        <v>Yes</v>
      </c>
      <c r="F76" s="231"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7"/>
        <v/>
      </c>
      <c r="S76" s="35" t="str">
        <f t="shared" si="8"/>
        <v/>
      </c>
      <c r="T76" s="35" t="str">
        <f t="shared" si="9"/>
        <v/>
      </c>
      <c r="U76" s="35" t="str">
        <f t="shared" si="10"/>
        <v/>
      </c>
      <c r="V76" s="35">
        <f t="shared" si="11"/>
        <v>12.555555555555555</v>
      </c>
      <c r="W76" s="35">
        <f t="shared" si="12"/>
        <v>11.574149659863945</v>
      </c>
      <c r="X76" s="35" t="str">
        <f t="shared" si="13"/>
        <v/>
      </c>
      <c r="Y76" s="35" t="str">
        <f t="shared" si="14"/>
        <v/>
      </c>
      <c r="Z76" s="35" t="str">
        <f t="shared" si="15"/>
        <v/>
      </c>
      <c r="AA76" s="35" t="str">
        <f t="shared" si="16"/>
        <v/>
      </c>
      <c r="AB76" s="100">
        <f>IF($C76="","",IF(OR(N(Attendance!$GB17)&gt;0,N(Attendance!$GF17)&gt;0),IFERROR(Attendance!$GN17,""),IFERROR(INDEX(Workings!$AT$6:$AT$25,MATCH($C76,Workings!$AO$6:$AO$25,0)),"")))</f>
        <v>0.76666666666666661</v>
      </c>
      <c r="AC76" s="232">
        <f>IF($C76="","",IFERROR('Player Grading'!$AL18,""))</f>
        <v>10.622222222222222</v>
      </c>
      <c r="AD76" t="str">
        <f>IF($C76="","",IF(OR(N(Attendance!$GB17)&gt;0,N(Attendance!$GF17)&gt;0),"In-season",IF(ISNUMBER($AB76),"Pre-season","None")))</f>
        <v>In-season</v>
      </c>
    </row>
    <row r="77" spans="2:30" hidden="1" outlineLevel="1" x14ac:dyDescent="0.45">
      <c r="B77" s="233">
        <f>IF($C77="","",Attendance!$C18)</f>
        <v>14</v>
      </c>
      <c r="C77" s="234" t="str">
        <f>IF(Attendance!$D18="","",Attendance!$D18)</f>
        <v>Emma Dromgoole</v>
      </c>
      <c r="D77" s="235" t="str">
        <f>IF($C77="","",'Player Grading'!$D19)</f>
        <v>RW / ST</v>
      </c>
      <c r="E77" s="235" t="str">
        <f>IF($C77="","",IF($E131="",IF(Attendance!$GP18="","Yes",Attendance!$GP18),IF($E131="Available","Yes","No")))</f>
        <v>No</v>
      </c>
      <c r="F77" s="236" t="str">
        <f>IF($C77="","",IF($E131="",Attendance!$GQ18&amp;"",IF($E131="Available","",$E131&amp;IF($F131="",""," - "&amp;$F131)&amp;IF($I131="",""," (back "&amp;TEXT($I131,"d mmm")&amp;")"))))</f>
        <v>Injured - Knee injury  (back 28 Aug)</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5"/>
      <c r="R77" s="109" t="str">
        <f t="shared" si="7"/>
        <v/>
      </c>
      <c r="S77" s="109" t="str">
        <f t="shared" si="8"/>
        <v/>
      </c>
      <c r="T77" s="109" t="str">
        <f t="shared" si="9"/>
        <v/>
      </c>
      <c r="U77" s="109" t="str">
        <f t="shared" si="10"/>
        <v/>
      </c>
      <c r="V77" s="109" t="str">
        <f t="shared" si="11"/>
        <v/>
      </c>
      <c r="W77" s="109" t="str">
        <f t="shared" si="12"/>
        <v/>
      </c>
      <c r="X77" s="109" t="str">
        <f t="shared" si="13"/>
        <v/>
      </c>
      <c r="Y77" s="109">
        <f t="shared" si="14"/>
        <v>10.511111111111111</v>
      </c>
      <c r="Z77" s="109" t="str">
        <f t="shared" si="15"/>
        <v/>
      </c>
      <c r="AA77" s="109">
        <f t="shared" si="16"/>
        <v>10.533333333333333</v>
      </c>
      <c r="AB77" s="108">
        <f>IF($C77="","",IF(OR(N(Attendance!$GB18)&gt;0,N(Attendance!$GF18)&gt;0),IFERROR(Attendance!$GN18,""),IFERROR(INDEX(Workings!$AT$6:$AT$25,MATCH($C77,Workings!$AO$6:$AO$25,0)),"")))</f>
        <v>0.76666666666666661</v>
      </c>
      <c r="AC77" s="237">
        <f>IF($C77="","",IFERROR('Player Grading'!$AL19,""))</f>
        <v>9.6620370370370363</v>
      </c>
      <c r="AD77" t="str">
        <f>IF($C77="","",IF(OR(N(Attendance!$GB18)&gt;0,N(Attendance!$GF18)&gt;0),"In-season",IF(ISNUMBER($AB77),"Pre-season","None")))</f>
        <v>In-season</v>
      </c>
    </row>
    <row r="78" spans="2:30" hidden="1" outlineLevel="1" x14ac:dyDescent="0.45">
      <c r="B78" s="229">
        <f>IF($C78="","",Attendance!$C19)</f>
        <v>15</v>
      </c>
      <c r="C78" s="230" t="str">
        <f>IF(Attendance!$D19="","",Attendance!$D19)</f>
        <v>Elsie Morrison</v>
      </c>
      <c r="D78" s="32" t="str">
        <f>IF($C78="","",'Player Grading'!$D20)</f>
        <v>LW / ST / GK</v>
      </c>
      <c r="E78" s="32" t="str">
        <f>IF($C78="","",IF($E132="",IF(Attendance!$GP19="","Yes",Attendance!$GP19),IF($E132="Available","Yes","No")))</f>
        <v>Yes</v>
      </c>
      <c r="F78" s="231"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10.409090909090908</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11.6</v>
      </c>
      <c r="P78" s="35">
        <f t="array" ref="P78">IF($C78="","",IF(NOT(ISNUMBER(SEARCH(" ST "," "&amp;SUBSTITUTE($D78,"/"," ")&amp;" "))),"",IFERROR(SUMPRODUCT('Player Grading'!$E20:$AF20,$C$113:$AD$113)/SUMPRODUCT(($C$113:$AD$113)*('Player Grading'!$E20:$AF20&lt;&gt;"")),"")))</f>
        <v>11.28</v>
      </c>
      <c r="Q78" s="32"/>
      <c r="R78" s="35">
        <f t="shared" si="7"/>
        <v>10.709090909090909</v>
      </c>
      <c r="S78" s="35" t="str">
        <f t="shared" si="8"/>
        <v/>
      </c>
      <c r="T78" s="35" t="str">
        <f t="shared" si="9"/>
        <v/>
      </c>
      <c r="U78" s="35" t="str">
        <f t="shared" si="10"/>
        <v/>
      </c>
      <c r="V78" s="35" t="str">
        <f t="shared" si="11"/>
        <v/>
      </c>
      <c r="W78" s="35" t="str">
        <f t="shared" si="12"/>
        <v/>
      </c>
      <c r="X78" s="35" t="str">
        <f t="shared" si="13"/>
        <v/>
      </c>
      <c r="Y78" s="35" t="str">
        <f t="shared" si="14"/>
        <v/>
      </c>
      <c r="Z78" s="35">
        <f t="shared" si="15"/>
        <v>11.9</v>
      </c>
      <c r="AA78" s="35">
        <f t="shared" si="16"/>
        <v>11.58</v>
      </c>
      <c r="AB78" s="100">
        <f>IF($C78="","",IF(OR(N(Attendance!$GB19)&gt;0,N(Attendance!$GF19)&gt;0),IFERROR(Attendance!$GN19,""),IFERROR(INDEX(Workings!$AT$6:$AT$25,MATCH($C78,Workings!$AO$6:$AO$25,0)),"")))</f>
        <v>0.65</v>
      </c>
      <c r="AC78" s="232">
        <f>IF($C78="","",IFERROR('Player Grading'!$AL20,""))</f>
        <v>10.508333333333331</v>
      </c>
      <c r="AD78" t="str">
        <f>IF($C78="","",IF(OR(N(Attendance!$GB19)&gt;0,N(Attendance!$GF19)&gt;0),"In-season",IF(ISNUMBER($AB78),"Pre-season","None")))</f>
        <v>In-season</v>
      </c>
    </row>
    <row r="79" spans="2:30" hidden="1" outlineLevel="1" x14ac:dyDescent="0.45">
      <c r="B79" s="233">
        <f>IF($C79="","",Attendance!$C20)</f>
        <v>16</v>
      </c>
      <c r="C79" s="234" t="str">
        <f>IF(Attendance!$D20="","",Attendance!$D20)</f>
        <v>Zara Freeman</v>
      </c>
      <c r="D79" s="235" t="str">
        <f>IF($C79="","",'Player Grading'!$D21)</f>
        <v xml:space="preserve">ST </v>
      </c>
      <c r="E79" s="235" t="str">
        <f>IF($C79="","",IF($E133="",IF(Attendance!$GP20="","Yes",Attendance!$GP20),IF($E133="Available","Yes","No")))</f>
        <v>Yes</v>
      </c>
      <c r="F79" s="236"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5"/>
      <c r="R79" s="109" t="str">
        <f t="shared" si="7"/>
        <v/>
      </c>
      <c r="S79" s="109" t="str">
        <f t="shared" si="8"/>
        <v/>
      </c>
      <c r="T79" s="109" t="str">
        <f t="shared" si="9"/>
        <v/>
      </c>
      <c r="U79" s="109" t="str">
        <f t="shared" si="10"/>
        <v/>
      </c>
      <c r="V79" s="109" t="str">
        <f t="shared" si="11"/>
        <v/>
      </c>
      <c r="W79" s="109" t="str">
        <f t="shared" si="12"/>
        <v/>
      </c>
      <c r="X79" s="109" t="str">
        <f t="shared" si="13"/>
        <v/>
      </c>
      <c r="Y79" s="109" t="str">
        <f t="shared" si="14"/>
        <v/>
      </c>
      <c r="Z79" s="109" t="str">
        <f t="shared" si="15"/>
        <v/>
      </c>
      <c r="AA79" s="109">
        <f t="shared" si="16"/>
        <v>11.6</v>
      </c>
      <c r="AB79" s="108">
        <f>IF($C79="","",IF(OR(N(Attendance!$GB20)&gt;0,N(Attendance!$GF20)&gt;0),IFERROR(Attendance!$GN20,""),IFERROR(INDEX(Workings!$AT$6:$AT$25,MATCH($C79,Workings!$AO$6:$AO$25,0)),"")))</f>
        <v>0</v>
      </c>
      <c r="AC79" s="237">
        <f>IF($C79="","",IFERROR('Player Grading'!$AL21,""))</f>
        <v>11.864814814814814</v>
      </c>
      <c r="AD79" t="str">
        <f>IF($C79="","",IF(OR(N(Attendance!$GB20)&gt;0,N(Attendance!$GF20)&gt;0),"In-season",IF(ISNUMBER($AB79),"Pre-season","None")))</f>
        <v>In-season</v>
      </c>
    </row>
    <row r="80" spans="2:30" hidden="1" outlineLevel="1" x14ac:dyDescent="0.45">
      <c r="B80" s="229">
        <f>IF($C80="","",Attendance!$C21)</f>
        <v>17</v>
      </c>
      <c r="C80" s="230" t="str">
        <f>IF(Attendance!$D21="","",Attendance!$D21)</f>
        <v>Mariana</v>
      </c>
      <c r="D80" s="32" t="str">
        <f>IF($C80="","",'Player Grading'!$D22)</f>
        <v>RB / CB</v>
      </c>
      <c r="E80" s="32" t="str">
        <f>IF($C80="","",IF($E134="",IF(Attendance!$GP21="","Yes",Attendance!$GP21),IF($E134="Available","Yes","No")))</f>
        <v>Yes</v>
      </c>
      <c r="F80" s="231"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11.888888888888889</v>
      </c>
      <c r="I80" s="35">
        <f t="array" ref="I80">IF($C80="","",IF(NOT(ISNUMBER(SEARCH(" CB "," "&amp;SUBSTITUTE($D80,"/"," ")&amp;" "))),"",IFERROR(SUMPRODUCT('Player Grading'!$E22:$AF22,$C$106:$AD$106)/SUMPRODUCT(($C$106:$AD$106)*('Player Grading'!$E22:$AF22&lt;&gt;"")),"")))</f>
        <v>12.951219512195122</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7"/>
        <v/>
      </c>
      <c r="S80" s="35">
        <f t="shared" si="8"/>
        <v>12.422222222222222</v>
      </c>
      <c r="T80" s="35">
        <f t="shared" si="9"/>
        <v>13.484552845528455</v>
      </c>
      <c r="U80" s="35" t="str">
        <f t="shared" si="10"/>
        <v/>
      </c>
      <c r="V80" s="35" t="str">
        <f t="shared" si="11"/>
        <v/>
      </c>
      <c r="W80" s="35" t="str">
        <f t="shared" si="12"/>
        <v/>
      </c>
      <c r="X80" s="35" t="str">
        <f t="shared" si="13"/>
        <v/>
      </c>
      <c r="Y80" s="35" t="str">
        <f t="shared" si="14"/>
        <v/>
      </c>
      <c r="Z80" s="35" t="str">
        <f t="shared" si="15"/>
        <v/>
      </c>
      <c r="AA80" s="35" t="str">
        <f t="shared" si="16"/>
        <v/>
      </c>
      <c r="AB80" s="100">
        <f>IF($C80="","",IF(OR(N(Attendance!$GB21)&gt;0,N(Attendance!$GF21)&gt;0),IFERROR(Attendance!$GN21,""),IFERROR(INDEX(Workings!$AT$6:$AT$25,MATCH($C80,Workings!$AO$6:$AO$25,0)),"")))</f>
        <v>0.76666666666666661</v>
      </c>
      <c r="AC80" s="232">
        <f>IF($C80="","",IFERROR('Player Grading'!$AL22,""))</f>
        <v>10.487037037037036</v>
      </c>
      <c r="AD80" t="str">
        <f>IF($C80="","",IF(OR(N(Attendance!$GB21)&gt;0,N(Attendance!$GF21)&gt;0),"In-season",IF(ISNUMBER($AB80),"Pre-season","None")))</f>
        <v>In-season</v>
      </c>
    </row>
    <row r="81" spans="2:30" hidden="1" outlineLevel="1" x14ac:dyDescent="0.45">
      <c r="B81" s="125">
        <f>IF($C81="","",Attendance!$C22)</f>
        <v>18</v>
      </c>
      <c r="C81" s="234" t="str">
        <f>IF(Attendance!$D22="","",Attendance!$D22)</f>
        <v>Rama</v>
      </c>
      <c r="D81" s="235" t="str">
        <f>IF($C81="","",'Player Grading'!$D23)</f>
        <v>RW / ST / LW</v>
      </c>
      <c r="E81" s="235" t="str">
        <f>IF($C81="","",IF($E135="",IF(Attendance!$GP22="","Yes",Attendance!$GP22),IF($E135="Available","Yes","No")))</f>
        <v>Yes</v>
      </c>
      <c r="F81" s="236"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5"/>
      <c r="R81" s="109" t="str">
        <f t="shared" si="7"/>
        <v/>
      </c>
      <c r="S81" s="109" t="str">
        <f t="shared" si="8"/>
        <v/>
      </c>
      <c r="T81" s="109" t="str">
        <f t="shared" si="9"/>
        <v/>
      </c>
      <c r="U81" s="109" t="str">
        <f t="shared" si="10"/>
        <v/>
      </c>
      <c r="V81" s="109" t="str">
        <f t="shared" si="11"/>
        <v/>
      </c>
      <c r="W81" s="109" t="str">
        <f t="shared" si="12"/>
        <v/>
      </c>
      <c r="X81" s="109" t="str">
        <f t="shared" si="13"/>
        <v/>
      </c>
      <c r="Y81" s="109">
        <f t="shared" si="14"/>
        <v>14.533333333333333</v>
      </c>
      <c r="Z81" s="109">
        <f t="shared" si="15"/>
        <v>14.533333333333333</v>
      </c>
      <c r="AA81" s="109">
        <f t="shared" si="16"/>
        <v>14.653333333333332</v>
      </c>
      <c r="AB81" s="108">
        <f>IF($C81="","",IF(OR(N(Attendance!$GB22)&gt;0,N(Attendance!$GF22)&gt;0),IFERROR(Attendance!$GN22,""),IFERROR(INDEX(Workings!$AT$6:$AT$25,MATCH($C81,Workings!$AO$6:$AO$25,0)),"")))</f>
        <v>0.76666666666666661</v>
      </c>
      <c r="AC81" s="237">
        <f>IF($C81="","",IFERROR('Player Grading'!$AL23,""))</f>
        <v>13.629629629629628</v>
      </c>
      <c r="AD81" t="str">
        <f>IF($C81="","",IF(OR(N(Attendance!$GB22)&gt;0,N(Attendance!$GF22)&gt;0),"In-season",IF(ISNUMBER($AB81),"Pre-season","None")))</f>
        <v>In-season</v>
      </c>
    </row>
    <row r="82" spans="2:30" hidden="1" outlineLevel="1" x14ac:dyDescent="0.45">
      <c r="B82" s="123" t="str">
        <f>IF($C82="","",Attendance!$C23)</f>
        <v/>
      </c>
      <c r="C82" s="230" t="str">
        <f>IF(Attendance!$D23="","",Attendance!$D23)</f>
        <v/>
      </c>
      <c r="D82" s="32" t="str">
        <f>IF($C82="","",'Player Grading'!$D24)</f>
        <v/>
      </c>
      <c r="E82" s="32" t="str">
        <f>IF($C82="","",IF($E136="",IF(Attendance!$GP23="","Yes",Attendance!$GP23),IF($E136="Available","Yes","No")))</f>
        <v/>
      </c>
      <c r="F82" s="231"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7"/>
        <v/>
      </c>
      <c r="S82" s="35" t="str">
        <f t="shared" si="8"/>
        <v/>
      </c>
      <c r="T82" s="35" t="str">
        <f t="shared" si="9"/>
        <v/>
      </c>
      <c r="U82" s="35" t="str">
        <f t="shared" si="10"/>
        <v/>
      </c>
      <c r="V82" s="35" t="str">
        <f t="shared" si="11"/>
        <v/>
      </c>
      <c r="W82" s="35" t="str">
        <f t="shared" si="12"/>
        <v/>
      </c>
      <c r="X82" s="35" t="str">
        <f t="shared" si="13"/>
        <v/>
      </c>
      <c r="Y82" s="35" t="str">
        <f t="shared" si="14"/>
        <v/>
      </c>
      <c r="Z82" s="35" t="str">
        <f t="shared" si="15"/>
        <v/>
      </c>
      <c r="AA82" s="35" t="str">
        <f t="shared" si="16"/>
        <v/>
      </c>
      <c r="AB82" s="100" t="str">
        <f>IF($C82="","",IF(OR(N(Attendance!$GB23)&gt;0,N(Attendance!$GF23)&gt;0),IFERROR(Attendance!$GN23,""),IFERROR(INDEX(Workings!$AT$6:$AT$25,MATCH($C82,Workings!$AO$6:$AO$25,0)),"")))</f>
        <v/>
      </c>
      <c r="AC82" s="232" t="str">
        <f>IF($C82="","",IFERROR('Player Grading'!$AL24,""))</f>
        <v/>
      </c>
      <c r="AD82" t="str">
        <f>IF($C82="","",IF(OR(N(Attendance!$GB23)&gt;0,N(Attendance!$GF23)&gt;0),"In-season",IF(ISNUMBER($AB82),"Pre-season","None")))</f>
        <v/>
      </c>
    </row>
    <row r="83" spans="2:30" hidden="1" outlineLevel="1" x14ac:dyDescent="0.45">
      <c r="B83" s="134" t="str">
        <f>IF($C83="","",Attendance!$C24)</f>
        <v/>
      </c>
      <c r="C83" s="238" t="str">
        <f>IF(Attendance!$D24="","",Attendance!$D24)</f>
        <v/>
      </c>
      <c r="D83" s="239" t="str">
        <f>IF($C83="","",'Player Grading'!$D25)</f>
        <v/>
      </c>
      <c r="E83" s="239" t="str">
        <f>IF($C83="","",IF($E137="",IF(Attendance!$GP24="","Yes",Attendance!$GP24),IF($E137="Available","Yes","No")))</f>
        <v/>
      </c>
      <c r="F83" s="240"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9"/>
      <c r="R83" s="115" t="str">
        <f t="shared" si="7"/>
        <v/>
      </c>
      <c r="S83" s="115" t="str">
        <f t="shared" si="8"/>
        <v/>
      </c>
      <c r="T83" s="115" t="str">
        <f t="shared" si="9"/>
        <v/>
      </c>
      <c r="U83" s="115" t="str">
        <f t="shared" si="10"/>
        <v/>
      </c>
      <c r="V83" s="115" t="str">
        <f t="shared" si="11"/>
        <v/>
      </c>
      <c r="W83" s="115" t="str">
        <f t="shared" si="12"/>
        <v/>
      </c>
      <c r="X83" s="115" t="str">
        <f t="shared" si="13"/>
        <v/>
      </c>
      <c r="Y83" s="115" t="str">
        <f t="shared" si="14"/>
        <v/>
      </c>
      <c r="Z83" s="115" t="str">
        <f t="shared" si="15"/>
        <v/>
      </c>
      <c r="AA83" s="115" t="str">
        <f t="shared" si="16"/>
        <v/>
      </c>
      <c r="AB83" s="114" t="str">
        <f>IF($C83="","",IF(OR(N(Attendance!$GB24)&gt;0,N(Attendance!$GF24)&gt;0),IFERROR(Attendance!$GN24,""),IFERROR(INDEX(Workings!$AT$6:$AT$25,MATCH($C83,Workings!$AO$6:$AO$25,0)),"")))</f>
        <v/>
      </c>
      <c r="AC83" s="241" t="str">
        <f>IF($C83="","",IFERROR('Player Grading'!$AL25,""))</f>
        <v/>
      </c>
      <c r="AD83" t="str">
        <f>IF($C83="","",IF(OR(N(Attendance!$GB24)&gt;0,N(Attendance!$GF24)&gt;0),"In-season",IF(ISNUMBER($AB83),"Pre-season","None")))</f>
        <v/>
      </c>
    </row>
    <row r="84" spans="2:30" hidden="1" outlineLevel="1" x14ac:dyDescent="0.45"/>
    <row r="85" spans="2:30" hidden="1" outlineLevel="1" x14ac:dyDescent="0.45"/>
    <row r="86" spans="2:30" hidden="1" outlineLevel="1" x14ac:dyDescent="0.45">
      <c r="B86" s="389" t="s">
        <v>324</v>
      </c>
      <c r="C86" s="389"/>
      <c r="D86" s="389"/>
      <c r="E86" s="389"/>
      <c r="F86" s="389"/>
      <c r="X86" s="367" t="s">
        <v>521</v>
      </c>
    </row>
    <row r="87" spans="2:30" hidden="1" outlineLevel="1" x14ac:dyDescent="0.45">
      <c r="B87" s="243" t="s">
        <v>313</v>
      </c>
      <c r="C87" s="243" t="str">
        <f>IF($C64="","",$C64)</f>
        <v>Aoife Kennan</v>
      </c>
      <c r="D87" s="243" t="str">
        <f>IF($C65="","",$C65)</f>
        <v>Stella McEvoy</v>
      </c>
      <c r="E87" s="243" t="str">
        <f>IF($C66="","",$C66)</f>
        <v>Zara Power</v>
      </c>
      <c r="F87" s="243" t="str">
        <f>IF($C67="","",$C67)</f>
        <v>Heidi Cerubini Dunne</v>
      </c>
      <c r="G87" s="243" t="str">
        <f>IF($C68="","",$C68)</f>
        <v>Roisin Offenhausen</v>
      </c>
      <c r="H87" s="243" t="str">
        <f>IF($C69="","",$C69)</f>
        <v>Naomi Adewoyin</v>
      </c>
      <c r="I87" s="243" t="str">
        <f>IF($C70="","",$C70)</f>
        <v>Amber Kilalee</v>
      </c>
      <c r="J87" s="243" t="str">
        <f>IF($C71="","",$C71)</f>
        <v>Shauna Kavanagh</v>
      </c>
      <c r="K87" s="243" t="str">
        <f>IF($C72="","",$C72)</f>
        <v>Tara Brannigan</v>
      </c>
      <c r="L87" s="243" t="str">
        <f>IF($C73="","",$C73)</f>
        <v>Semilore Adesanya</v>
      </c>
      <c r="M87" s="243" t="str">
        <f>IF($C74="","",$C74)</f>
        <v>Hannah Fleming</v>
      </c>
      <c r="N87" s="243" t="str">
        <f>IF($C75="","",$C75)</f>
        <v>Emma Kelly</v>
      </c>
      <c r="O87" s="243" t="str">
        <f>IF($C76="","",$C76)</f>
        <v>Roma Memon</v>
      </c>
      <c r="P87" s="243" t="str">
        <f>IF($C77="","",$C77)</f>
        <v>Emma Dromgoole</v>
      </c>
      <c r="Q87" s="243" t="str">
        <f>IF($C78="","",$C78)</f>
        <v>Elsie Morrison</v>
      </c>
      <c r="R87" s="243" t="str">
        <f>IF($C79="","",$C79)</f>
        <v>Zara Freeman</v>
      </c>
      <c r="S87" s="243" t="str">
        <f>IF($C80="","",$C80)</f>
        <v>Mariana</v>
      </c>
      <c r="T87" s="243" t="str">
        <f>IF($C81="","",$C81)</f>
        <v>Rama</v>
      </c>
      <c r="U87" s="243" t="str">
        <f>IF($C82="","",$C82)</f>
        <v/>
      </c>
      <c r="V87" s="243" t="str">
        <f>IF($C83="","",$C83)</f>
        <v/>
      </c>
      <c r="X87" s="304" t="s">
        <v>313</v>
      </c>
      <c r="Y87" s="368" t="s">
        <v>512</v>
      </c>
      <c r="Z87" s="368" t="s">
        <v>513</v>
      </c>
      <c r="AA87" s="304" t="s">
        <v>508</v>
      </c>
      <c r="AB87" s="304" t="s">
        <v>509</v>
      </c>
    </row>
    <row r="88" spans="2:30" hidden="1" outlineLevel="1" x14ac:dyDescent="0.45">
      <c r="B88" s="244" t="str">
        <f>1&amp;" "&amp;$AA$88</f>
        <v>1 GK</v>
      </c>
      <c r="C88" s="245">
        <f>IF(OR($C64="",INDEX($R64:$AA64,MATCH($AB88,$R$63:$AA$63,0))="",$E64&lt;&gt;"Yes",COUNTIF($H$25:$H$35,$C64)&gt;0),"",INDEX($R64:$AA64,MATCH($AB88,$R$63:$AA$63,0)))</f>
        <v>8.9651515151515149</v>
      </c>
      <c r="D88" s="245" t="str">
        <f>IF(OR($C65="",INDEX($R65:$AA65,MATCH($AB88,$R$63:$AA$63,0))="",$E65&lt;&gt;"Yes",COUNTIF($H$25:$H$35,$C65)&gt;0),"",INDEX($R65:$AA65,MATCH($AB88,$R$63:$AA$63,0)))</f>
        <v/>
      </c>
      <c r="E88" s="245" t="str">
        <f>IF(OR($C66="",INDEX($R66:$AA66,MATCH($AB88,$R$63:$AA$63,0))="",$E66&lt;&gt;"Yes",COUNTIF($H$25:$H$35,$C66)&gt;0),"",INDEX($R66:$AA66,MATCH($AB88,$R$63:$AA$63,0)))</f>
        <v/>
      </c>
      <c r="F88" s="245" t="str">
        <f>IF(OR($C67="",INDEX($R67:$AA67,MATCH($AB88,$R$63:$AA$63,0))="",$E67&lt;&gt;"Yes",COUNTIF($H$25:$H$35,$C67)&gt;0),"",INDEX($R67:$AA67,MATCH($AB88,$R$63:$AA$63,0)))</f>
        <v/>
      </c>
      <c r="G88" s="245" t="str">
        <f>IF(OR($C68="",INDEX($R68:$AA68,MATCH($AB88,$R$63:$AA$63,0))="",$E68&lt;&gt;"Yes",COUNTIF($H$25:$H$35,$C68)&gt;0),"",INDEX($R68:$AA68,MATCH($AB88,$R$63:$AA$63,0)))</f>
        <v/>
      </c>
      <c r="H88" s="245" t="str">
        <f>IF(OR($C69="",INDEX($R69:$AA69,MATCH($AB88,$R$63:$AA$63,0))="",$E69&lt;&gt;"Yes",COUNTIF($H$25:$H$35,$C69)&gt;0),"",INDEX($R69:$AA69,MATCH($AB88,$R$63:$AA$63,0)))</f>
        <v/>
      </c>
      <c r="I88" s="245" t="str">
        <f>IF(OR($C70="",INDEX($R70:$AA70,MATCH($AB88,$R$63:$AA$63,0))="",$E70&lt;&gt;"Yes",COUNTIF($H$25:$H$35,$C70)&gt;0),"",INDEX($R70:$AA70,MATCH($AB88,$R$63:$AA$63,0)))</f>
        <v/>
      </c>
      <c r="J88" s="245" t="str">
        <f>IF(OR($C71="",INDEX($R71:$AA71,MATCH($AB88,$R$63:$AA$63,0))="",$E71&lt;&gt;"Yes",COUNTIF($H$25:$H$35,$C71)&gt;0),"",INDEX($R71:$AA71,MATCH($AB88,$R$63:$AA$63,0)))</f>
        <v/>
      </c>
      <c r="K88" s="245" t="str">
        <f>IF(OR($C72="",INDEX($R72:$AA72,MATCH($AB88,$R$63:$AA$63,0))="",$E72&lt;&gt;"Yes",COUNTIF($H$25:$H$35,$C72)&gt;0),"",INDEX($R72:$AA72,MATCH($AB88,$R$63:$AA$63,0)))</f>
        <v/>
      </c>
      <c r="L88" s="245" t="str">
        <f>IF(OR($C73="",INDEX($R73:$AA73,MATCH($AB88,$R$63:$AA$63,0))="",$E73&lt;&gt;"Yes",COUNTIF($H$25:$H$35,$C73)&gt;0),"",INDEX($R73:$AA73,MATCH($AB88,$R$63:$AA$63,0)))</f>
        <v/>
      </c>
      <c r="M88" s="245" t="str">
        <f>IF(OR($C74="",INDEX($R74:$AA74,MATCH($AB88,$R$63:$AA$63,0))="",$E74&lt;&gt;"Yes",COUNTIF($H$25:$H$35,$C74)&gt;0),"",INDEX($R74:$AA74,MATCH($AB88,$R$63:$AA$63,0)))</f>
        <v/>
      </c>
      <c r="N88" s="245" t="str">
        <f>IF(OR($C75="",INDEX($R75:$AA75,MATCH($AB88,$R$63:$AA$63,0))="",$E75&lt;&gt;"Yes",COUNTIF($H$25:$H$35,$C75)&gt;0),"",INDEX($R75:$AA75,MATCH($AB88,$R$63:$AA$63,0)))</f>
        <v/>
      </c>
      <c r="O88" s="245" t="str">
        <f>IF(OR($C76="",INDEX($R76:$AA76,MATCH($AB88,$R$63:$AA$63,0))="",$E76&lt;&gt;"Yes",COUNTIF($H$25:$H$35,$C76)&gt;0),"",INDEX($R76:$AA76,MATCH($AB88,$R$63:$AA$63,0)))</f>
        <v/>
      </c>
      <c r="P88" s="245" t="str">
        <f>IF(OR($C77="",INDEX($R77:$AA77,MATCH($AB88,$R$63:$AA$63,0))="",$E77&lt;&gt;"Yes",COUNTIF($H$25:$H$35,$C77)&gt;0),"",INDEX($R77:$AA77,MATCH($AB88,$R$63:$AA$63,0)))</f>
        <v/>
      </c>
      <c r="Q88" s="245">
        <f>IF(OR($C78="",INDEX($R78:$AA78,MATCH($AB88,$R$63:$AA$63,0))="",$E78&lt;&gt;"Yes",COUNTIF($H$25:$H$35,$C78)&gt;0),"",INDEX($R78:$AA78,MATCH($AB88,$R$63:$AA$63,0)))</f>
        <v>10.709090909090909</v>
      </c>
      <c r="R88" s="245" t="str">
        <f>IF(OR($C79="",INDEX($R79:$AA79,MATCH($AB88,$R$63:$AA$63,0))="",$E79&lt;&gt;"Yes",COUNTIF($H$25:$H$35,$C79)&gt;0),"",INDEX($R79:$AA79,MATCH($AB88,$R$63:$AA$63,0)))</f>
        <v/>
      </c>
      <c r="S88" s="245" t="str">
        <f>IF(OR($C80="",INDEX($R80:$AA80,MATCH($AB88,$R$63:$AA$63,0))="",$E80&lt;&gt;"Yes",COUNTIF($H$25:$H$35,$C80)&gt;0),"",INDEX($R80:$AA80,MATCH($AB88,$R$63:$AA$63,0)))</f>
        <v/>
      </c>
      <c r="T88" s="245" t="str">
        <f>IF(OR($C81="",INDEX($R81:$AA81,MATCH($AB88,$R$63:$AA$63,0))="",$E81&lt;&gt;"Yes",COUNTIF($H$25:$H$35,$C81)&gt;0),"",INDEX($R81:$AA81,MATCH($AB88,$R$63:$AA$63,0)))</f>
        <v/>
      </c>
      <c r="U88" s="245" t="str">
        <f>IF(OR($C82="",INDEX($R82:$AA82,MATCH($AB88,$R$63:$AA$63,0))="",$E82&lt;&gt;"Yes",COUNTIF($H$25:$H$35,$C82)&gt;0),"",INDEX($R82:$AA82,MATCH($AB88,$R$63:$AA$63,0)))</f>
        <v/>
      </c>
      <c r="V88" s="245" t="str">
        <f>IF(OR($C83="",INDEX($R83:$AA83,MATCH($AB88,$R$63:$AA$63,0))="",$E83&lt;&gt;"Yes",COUNTIF($H$25:$H$35,$C83)&gt;0),"",INDEX($R83:$AA83,MATCH($AB88,$R$63:$AA$63,0)))</f>
        <v/>
      </c>
      <c r="X88">
        <v>1</v>
      </c>
      <c r="Y88" t="s">
        <v>251</v>
      </c>
      <c r="Z88" t="s">
        <v>251</v>
      </c>
      <c r="AA88" t="str">
        <f>IF($L$6="3-5-2",Z88,Y88)</f>
        <v>GK</v>
      </c>
      <c r="AB88" t="str">
        <f>IF(AA88="RWB","RB",IF(AA88="LWB","LB",AA88))</f>
        <v>GK</v>
      </c>
    </row>
    <row r="89" spans="2:30" hidden="1" outlineLevel="1" x14ac:dyDescent="0.45">
      <c r="B89" s="244" t="str">
        <f>2&amp;" "&amp;$AA$89</f>
        <v>2 CB</v>
      </c>
      <c r="C89" s="245" t="str">
        <f>IF(OR($C64="",INDEX($R64:$AA64,MATCH($AB89,$R$63:$AA$63,0))="",$E64&lt;&gt;"Yes",COUNTIF($H$25:$H$35,$C64)&gt;0,COUNTIF($D$25:$D$25,$C64)&gt;0),"",INDEX($R64:$AA64,MATCH($AB89,$R$63:$AA$63,0)))</f>
        <v/>
      </c>
      <c r="D89" s="245" t="str">
        <f>IF(OR($C65="",INDEX($R65:$AA65,MATCH($AB89,$R$63:$AA$63,0))="",$E65&lt;&gt;"Yes",COUNTIF($H$25:$H$35,$C65)&gt;0,COUNTIF($D$25:$D$25,$C65)&gt;0),"",INDEX($R65:$AA65,MATCH($AB89,$R$63:$AA$63,0)))</f>
        <v/>
      </c>
      <c r="E89" s="245" t="str">
        <f>IF(OR($C66="",INDEX($R66:$AA66,MATCH($AB89,$R$63:$AA$63,0))="",$E66&lt;&gt;"Yes",COUNTIF($H$25:$H$35,$C66)&gt;0,COUNTIF($D$25:$D$25,$C66)&gt;0),"",INDEX($R66:$AA66,MATCH($AB89,$R$63:$AA$63,0)))</f>
        <v/>
      </c>
      <c r="F89" s="245" t="str">
        <f>IF(OR($C67="",INDEX($R67:$AA67,MATCH($AB89,$R$63:$AA$63,0))="",$E67&lt;&gt;"Yes",COUNTIF($H$25:$H$35,$C67)&gt;0,COUNTIF($D$25:$D$25,$C67)&gt;0),"",INDEX($R67:$AA67,MATCH($AB89,$R$63:$AA$63,0)))</f>
        <v/>
      </c>
      <c r="G89" s="245" t="str">
        <f>IF(OR($C68="",INDEX($R68:$AA68,MATCH($AB89,$R$63:$AA$63,0))="",$E68&lt;&gt;"Yes",COUNTIF($H$25:$H$35,$C68)&gt;0,COUNTIF($D$25:$D$25,$C68)&gt;0),"",INDEX($R68:$AA68,MATCH($AB89,$R$63:$AA$63,0)))</f>
        <v/>
      </c>
      <c r="H89" s="245" t="str">
        <f>IF(OR($C69="",INDEX($R69:$AA69,MATCH($AB89,$R$63:$AA$63,0))="",$E69&lt;&gt;"Yes",COUNTIF($H$25:$H$35,$C69)&gt;0,COUNTIF($D$25:$D$25,$C69)&gt;0),"",INDEX($R69:$AA69,MATCH($AB89,$R$63:$AA$63,0)))</f>
        <v/>
      </c>
      <c r="I89" s="245" t="str">
        <f>IF(OR($C70="",INDEX($R70:$AA70,MATCH($AB89,$R$63:$AA$63,0))="",$E70&lt;&gt;"Yes",COUNTIF($H$25:$H$35,$C70)&gt;0,COUNTIF($D$25:$D$25,$C70)&gt;0),"",INDEX($R70:$AA70,MATCH($AB89,$R$63:$AA$63,0)))</f>
        <v/>
      </c>
      <c r="J89" s="245" t="str">
        <f>IF(OR($C71="",INDEX($R71:$AA71,MATCH($AB89,$R$63:$AA$63,0))="",$E71&lt;&gt;"Yes",COUNTIF($H$25:$H$35,$C71)&gt;0,COUNTIF($D$25:$D$25,$C71)&gt;0),"",INDEX($R71:$AA71,MATCH($AB89,$R$63:$AA$63,0)))</f>
        <v/>
      </c>
      <c r="K89" s="245" t="str">
        <f>IF(OR($C72="",INDEX($R72:$AA72,MATCH($AB89,$R$63:$AA$63,0))="",$E72&lt;&gt;"Yes",COUNTIF($H$25:$H$35,$C72)&gt;0,COUNTIF($D$25:$D$25,$C72)&gt;0),"",INDEX($R72:$AA72,MATCH($AB89,$R$63:$AA$63,0)))</f>
        <v/>
      </c>
      <c r="L89" s="245" t="str">
        <f>IF(OR($C73="",INDEX($R73:$AA73,MATCH($AB89,$R$63:$AA$63,0))="",$E73&lt;&gt;"Yes",COUNTIF($H$25:$H$35,$C73)&gt;0,COUNTIF($D$25:$D$25,$C73)&gt;0),"",INDEX($R73:$AA73,MATCH($AB89,$R$63:$AA$63,0)))</f>
        <v/>
      </c>
      <c r="M89" s="245" t="str">
        <f>IF(OR($C74="",INDEX($R74:$AA74,MATCH($AB89,$R$63:$AA$63,0))="",$E74&lt;&gt;"Yes",COUNTIF($H$25:$H$35,$C74)&gt;0,COUNTIF($D$25:$D$25,$C74)&gt;0),"",INDEX($R74:$AA74,MATCH($AB89,$R$63:$AA$63,0)))</f>
        <v/>
      </c>
      <c r="N89" s="245" t="str">
        <f>IF(OR($C75="",INDEX($R75:$AA75,MATCH($AB89,$R$63:$AA$63,0))="",$E75&lt;&gt;"Yes",COUNTIF($H$25:$H$35,$C75)&gt;0,COUNTIF($D$25:$D$25,$C75)&gt;0),"",INDEX($R75:$AA75,MATCH($AB89,$R$63:$AA$63,0)))</f>
        <v/>
      </c>
      <c r="O89" s="245" t="str">
        <f>IF(OR($C76="",INDEX($R76:$AA76,MATCH($AB89,$R$63:$AA$63,0))="",$E76&lt;&gt;"Yes",COUNTIF($H$25:$H$35,$C76)&gt;0,COUNTIF($D$25:$D$25,$C76)&gt;0),"",INDEX($R76:$AA76,MATCH($AB89,$R$63:$AA$63,0)))</f>
        <v/>
      </c>
      <c r="P89" s="245" t="str">
        <f>IF(OR($C77="",INDEX($R77:$AA77,MATCH($AB89,$R$63:$AA$63,0))="",$E77&lt;&gt;"Yes",COUNTIF($H$25:$H$35,$C77)&gt;0,COUNTIF($D$25:$D$25,$C77)&gt;0),"",INDEX($R77:$AA77,MATCH($AB89,$R$63:$AA$63,0)))</f>
        <v/>
      </c>
      <c r="Q89" s="245" t="str">
        <f>IF(OR($C78="",INDEX($R78:$AA78,MATCH($AB89,$R$63:$AA$63,0))="",$E78&lt;&gt;"Yes",COUNTIF($H$25:$H$35,$C78)&gt;0,COUNTIF($D$25:$D$25,$C78)&gt;0),"",INDEX($R78:$AA78,MATCH($AB89,$R$63:$AA$63,0)))</f>
        <v/>
      </c>
      <c r="R89" s="245" t="str">
        <f>IF(OR($C79="",INDEX($R79:$AA79,MATCH($AB89,$R$63:$AA$63,0))="",$E79&lt;&gt;"Yes",COUNTIF($H$25:$H$35,$C79)&gt;0,COUNTIF($D$25:$D$25,$C79)&gt;0),"",INDEX($R79:$AA79,MATCH($AB89,$R$63:$AA$63,0)))</f>
        <v/>
      </c>
      <c r="S89" s="245" t="str">
        <f>IF(OR($C80="",INDEX($R80:$AA80,MATCH($AB89,$R$63:$AA$63,0))="",$E80&lt;&gt;"Yes",COUNTIF($H$25:$H$35,$C80)&gt;0,COUNTIF($D$25:$D$25,$C80)&gt;0),"",INDEX($R80:$AA80,MATCH($AB89,$R$63:$AA$63,0)))</f>
        <v/>
      </c>
      <c r="T89" s="245" t="str">
        <f>IF(OR($C81="",INDEX($R81:$AA81,MATCH($AB89,$R$63:$AA$63,0))="",$E81&lt;&gt;"Yes",COUNTIF($H$25:$H$35,$C81)&gt;0,COUNTIF($D$25:$D$25,$C81)&gt;0),"",INDEX($R81:$AA81,MATCH($AB89,$R$63:$AA$63,0)))</f>
        <v/>
      </c>
      <c r="U89" s="245" t="str">
        <f>IF(OR($C82="",INDEX($R82:$AA82,MATCH($AB89,$R$63:$AA$63,0))="",$E82&lt;&gt;"Yes",COUNTIF($H$25:$H$35,$C82)&gt;0,COUNTIF($D$25:$D$25,$C82)&gt;0),"",INDEX($R82:$AA82,MATCH($AB89,$R$63:$AA$63,0)))</f>
        <v/>
      </c>
      <c r="V89" s="245" t="str">
        <f>IF(OR($C83="",INDEX($R83:$AA83,MATCH($AB89,$R$63:$AA$63,0))="",$E83&lt;&gt;"Yes",COUNTIF($H$25:$H$35,$C83)&gt;0,COUNTIF($D$25:$D$25,$C83)&gt;0),"",INDEX($R83:$AA83,MATCH($AB89,$R$63:$AA$63,0)))</f>
        <v/>
      </c>
      <c r="X89">
        <v>2</v>
      </c>
      <c r="Y89" t="s">
        <v>253</v>
      </c>
      <c r="Z89" t="s">
        <v>260</v>
      </c>
      <c r="AA89" t="str">
        <f t="shared" ref="AA89:AA98" si="17">IF($L$6="3-5-2",Z89,Y89)</f>
        <v>CB</v>
      </c>
      <c r="AB89" t="str">
        <f t="shared" ref="AB89:AB98" si="18">IF(AA89="RWB","RB",IF(AA89="LWB","LB",AA89))</f>
        <v>CB</v>
      </c>
    </row>
    <row r="90" spans="2:30" hidden="1" outlineLevel="1" x14ac:dyDescent="0.45">
      <c r="B90" s="244" t="str">
        <f>3&amp;" "&amp;$AA$90</f>
        <v>3 CB</v>
      </c>
      <c r="C90" s="245" t="str">
        <f>IF(OR($C64="",INDEX($R64:$AA64,MATCH($AB90,$R$63:$AA$63,0))="",$E64&lt;&gt;"Yes",COUNTIF($H$25:$H$35,$C64)&gt;0,COUNTIF($D$25:$D$26,$C64)&gt;0),"",INDEX($R64:$AA64,MATCH($AB90,$R$63:$AA$63,0)))</f>
        <v/>
      </c>
      <c r="D90" s="245" t="str">
        <f>IF(OR($C65="",INDEX($R65:$AA65,MATCH($AB90,$R$63:$AA$63,0))="",$E65&lt;&gt;"Yes",COUNTIF($H$25:$H$35,$C65)&gt;0,COUNTIF($D$25:$D$26,$C65)&gt;0),"",INDEX($R65:$AA65,MATCH($AB90,$R$63:$AA$63,0)))</f>
        <v/>
      </c>
      <c r="E90" s="245" t="str">
        <f>IF(OR($C66="",INDEX($R66:$AA66,MATCH($AB90,$R$63:$AA$63,0))="",$E66&lt;&gt;"Yes",COUNTIF($H$25:$H$35,$C66)&gt;0,COUNTIF($D$25:$D$26,$C66)&gt;0),"",INDEX($R66:$AA66,MATCH($AB90,$R$63:$AA$63,0)))</f>
        <v/>
      </c>
      <c r="F90" s="245" t="str">
        <f>IF(OR($C67="",INDEX($R67:$AA67,MATCH($AB90,$R$63:$AA$63,0))="",$E67&lt;&gt;"Yes",COUNTIF($H$25:$H$35,$C67)&gt;0,COUNTIF($D$25:$D$26,$C67)&gt;0),"",INDEX($R67:$AA67,MATCH($AB90,$R$63:$AA$63,0)))</f>
        <v/>
      </c>
      <c r="G90" s="245" t="str">
        <f>IF(OR($C68="",INDEX($R68:$AA68,MATCH($AB90,$R$63:$AA$63,0))="",$E68&lt;&gt;"Yes",COUNTIF($H$25:$H$35,$C68)&gt;0,COUNTIF($D$25:$D$26,$C68)&gt;0),"",INDEX($R68:$AA68,MATCH($AB90,$R$63:$AA$63,0)))</f>
        <v/>
      </c>
      <c r="H90" s="245" t="str">
        <f>IF(OR($C69="",INDEX($R69:$AA69,MATCH($AB90,$R$63:$AA$63,0))="",$E69&lt;&gt;"Yes",COUNTIF($H$25:$H$35,$C69)&gt;0,COUNTIF($D$25:$D$26,$C69)&gt;0),"",INDEX($R69:$AA69,MATCH($AB90,$R$63:$AA$63,0)))</f>
        <v/>
      </c>
      <c r="I90" s="245" t="str">
        <f>IF(OR($C70="",INDEX($R70:$AA70,MATCH($AB90,$R$63:$AA$63,0))="",$E70&lt;&gt;"Yes",COUNTIF($H$25:$H$35,$C70)&gt;0,COUNTIF($D$25:$D$26,$C70)&gt;0),"",INDEX($R70:$AA70,MATCH($AB90,$R$63:$AA$63,0)))</f>
        <v/>
      </c>
      <c r="J90" s="245" t="str">
        <f>IF(OR($C71="",INDEX($R71:$AA71,MATCH($AB90,$R$63:$AA$63,0))="",$E71&lt;&gt;"Yes",COUNTIF($H$25:$H$35,$C71)&gt;0,COUNTIF($D$25:$D$26,$C71)&gt;0),"",INDEX($R71:$AA71,MATCH($AB90,$R$63:$AA$63,0)))</f>
        <v/>
      </c>
      <c r="K90" s="245" t="str">
        <f>IF(OR($C72="",INDEX($R72:$AA72,MATCH($AB90,$R$63:$AA$63,0))="",$E72&lt;&gt;"Yes",COUNTIF($H$25:$H$35,$C72)&gt;0,COUNTIF($D$25:$D$26,$C72)&gt;0),"",INDEX($R72:$AA72,MATCH($AB90,$R$63:$AA$63,0)))</f>
        <v/>
      </c>
      <c r="L90" s="245" t="str">
        <f>IF(OR($C73="",INDEX($R73:$AA73,MATCH($AB90,$R$63:$AA$63,0))="",$E73&lt;&gt;"Yes",COUNTIF($H$25:$H$35,$C73)&gt;0,COUNTIF($D$25:$D$26,$C73)&gt;0),"",INDEX($R73:$AA73,MATCH($AB90,$R$63:$AA$63,0)))</f>
        <v/>
      </c>
      <c r="M90" s="245" t="str">
        <f>IF(OR($C74="",INDEX($R74:$AA74,MATCH($AB90,$R$63:$AA$63,0))="",$E74&lt;&gt;"Yes",COUNTIF($H$25:$H$35,$C74)&gt;0,COUNTIF($D$25:$D$26,$C74)&gt;0),"",INDEX($R74:$AA74,MATCH($AB90,$R$63:$AA$63,0)))</f>
        <v/>
      </c>
      <c r="N90" s="245" t="str">
        <f>IF(OR($C75="",INDEX($R75:$AA75,MATCH($AB90,$R$63:$AA$63,0))="",$E75&lt;&gt;"Yes",COUNTIF($H$25:$H$35,$C75)&gt;0,COUNTIF($D$25:$D$26,$C75)&gt;0),"",INDEX($R75:$AA75,MATCH($AB90,$R$63:$AA$63,0)))</f>
        <v/>
      </c>
      <c r="O90" s="245" t="str">
        <f>IF(OR($C76="",INDEX($R76:$AA76,MATCH($AB90,$R$63:$AA$63,0))="",$E76&lt;&gt;"Yes",COUNTIF($H$25:$H$35,$C76)&gt;0,COUNTIF($D$25:$D$26,$C76)&gt;0),"",INDEX($R76:$AA76,MATCH($AB90,$R$63:$AA$63,0)))</f>
        <v/>
      </c>
      <c r="P90" s="245" t="str">
        <f>IF(OR($C77="",INDEX($R77:$AA77,MATCH($AB90,$R$63:$AA$63,0))="",$E77&lt;&gt;"Yes",COUNTIF($H$25:$H$35,$C77)&gt;0,COUNTIF($D$25:$D$26,$C77)&gt;0),"",INDEX($R77:$AA77,MATCH($AB90,$R$63:$AA$63,0)))</f>
        <v/>
      </c>
      <c r="Q90" s="245" t="str">
        <f>IF(OR($C78="",INDEX($R78:$AA78,MATCH($AB90,$R$63:$AA$63,0))="",$E78&lt;&gt;"Yes",COUNTIF($H$25:$H$35,$C78)&gt;0,COUNTIF($D$25:$D$26,$C78)&gt;0),"",INDEX($R78:$AA78,MATCH($AB90,$R$63:$AA$63,0)))</f>
        <v/>
      </c>
      <c r="R90" s="245" t="str">
        <f>IF(OR($C79="",INDEX($R79:$AA79,MATCH($AB90,$R$63:$AA$63,0))="",$E79&lt;&gt;"Yes",COUNTIF($H$25:$H$35,$C79)&gt;0,COUNTIF($D$25:$D$26,$C79)&gt;0),"",INDEX($R79:$AA79,MATCH($AB90,$R$63:$AA$63,0)))</f>
        <v/>
      </c>
      <c r="S90" s="245" t="str">
        <f>IF(OR($C80="",INDEX($R80:$AA80,MATCH($AB90,$R$63:$AA$63,0))="",$E80&lt;&gt;"Yes",COUNTIF($H$25:$H$35,$C80)&gt;0,COUNTIF($D$25:$D$26,$C80)&gt;0),"",INDEX($R80:$AA80,MATCH($AB90,$R$63:$AA$63,0)))</f>
        <v/>
      </c>
      <c r="T90" s="245" t="str">
        <f>IF(OR($C81="",INDEX($R81:$AA81,MATCH($AB90,$R$63:$AA$63,0))="",$E81&lt;&gt;"Yes",COUNTIF($H$25:$H$35,$C81)&gt;0,COUNTIF($D$25:$D$26,$C81)&gt;0),"",INDEX($R81:$AA81,MATCH($AB90,$R$63:$AA$63,0)))</f>
        <v/>
      </c>
      <c r="U90" s="245" t="str">
        <f>IF(OR($C82="",INDEX($R82:$AA82,MATCH($AB90,$R$63:$AA$63,0))="",$E82&lt;&gt;"Yes",COUNTIF($H$25:$H$35,$C82)&gt;0,COUNTIF($D$25:$D$26,$C82)&gt;0),"",INDEX($R82:$AA82,MATCH($AB90,$R$63:$AA$63,0)))</f>
        <v/>
      </c>
      <c r="V90" s="245" t="str">
        <f>IF(OR($C83="",INDEX($R83:$AA83,MATCH($AB90,$R$63:$AA$63,0))="",$E83&lt;&gt;"Yes",COUNTIF($H$25:$H$35,$C83)&gt;0,COUNTIF($D$25:$D$26,$C83)&gt;0),"",INDEX($R83:$AA83,MATCH($AB90,$R$63:$AA$63,0)))</f>
        <v/>
      </c>
      <c r="X90">
        <v>3</v>
      </c>
      <c r="Y90" t="s">
        <v>260</v>
      </c>
      <c r="Z90" t="s">
        <v>260</v>
      </c>
      <c r="AA90" t="str">
        <f t="shared" si="17"/>
        <v>CB</v>
      </c>
      <c r="AB90" t="str">
        <f t="shared" si="18"/>
        <v>CB</v>
      </c>
    </row>
    <row r="91" spans="2:30" hidden="1" outlineLevel="1" x14ac:dyDescent="0.45">
      <c r="B91" s="244" t="str">
        <f>4&amp;" "&amp;$AA$91</f>
        <v>4 CB</v>
      </c>
      <c r="C91" s="245" t="str">
        <f>IF(OR($C64="",INDEX($R64:$AA64,MATCH($AB91,$R$63:$AA$63,0))="",$E64&lt;&gt;"Yes",COUNTIF($H$25:$H$35,$C64)&gt;0,COUNTIF($D$25:$D$27,$C64)&gt;0),"",INDEX($R64:$AA64,MATCH($AB91,$R$63:$AA$63,0)))</f>
        <v/>
      </c>
      <c r="D91" s="245" t="str">
        <f>IF(OR($C65="",INDEX($R65:$AA65,MATCH($AB91,$R$63:$AA$63,0))="",$E65&lt;&gt;"Yes",COUNTIF($H$25:$H$35,$C65)&gt;0,COUNTIF($D$25:$D$27,$C65)&gt;0),"",INDEX($R65:$AA65,MATCH($AB91,$R$63:$AA$63,0)))</f>
        <v/>
      </c>
      <c r="E91" s="245" t="str">
        <f>IF(OR($C66="",INDEX($R66:$AA66,MATCH($AB91,$R$63:$AA$63,0))="",$E66&lt;&gt;"Yes",COUNTIF($H$25:$H$35,$C66)&gt;0,COUNTIF($D$25:$D$27,$C66)&gt;0),"",INDEX($R66:$AA66,MATCH($AB91,$R$63:$AA$63,0)))</f>
        <v/>
      </c>
      <c r="F91" s="245" t="str">
        <f>IF(OR($C67="",INDEX($R67:$AA67,MATCH($AB91,$R$63:$AA$63,0))="",$E67&lt;&gt;"Yes",COUNTIF($H$25:$H$35,$C67)&gt;0,COUNTIF($D$25:$D$27,$C67)&gt;0),"",INDEX($R67:$AA67,MATCH($AB91,$R$63:$AA$63,0)))</f>
        <v/>
      </c>
      <c r="G91" s="245" t="str">
        <f>IF(OR($C68="",INDEX($R68:$AA68,MATCH($AB91,$R$63:$AA$63,0))="",$E68&lt;&gt;"Yes",COUNTIF($H$25:$H$35,$C68)&gt;0,COUNTIF($D$25:$D$27,$C68)&gt;0),"",INDEX($R68:$AA68,MATCH($AB91,$R$63:$AA$63,0)))</f>
        <v/>
      </c>
      <c r="H91" s="245" t="str">
        <f>IF(OR($C69="",INDEX($R69:$AA69,MATCH($AB91,$R$63:$AA$63,0))="",$E69&lt;&gt;"Yes",COUNTIF($H$25:$H$35,$C69)&gt;0,COUNTIF($D$25:$D$27,$C69)&gt;0),"",INDEX($R69:$AA69,MATCH($AB91,$R$63:$AA$63,0)))</f>
        <v/>
      </c>
      <c r="I91" s="245" t="str">
        <f>IF(OR($C70="",INDEX($R70:$AA70,MATCH($AB91,$R$63:$AA$63,0))="",$E70&lt;&gt;"Yes",COUNTIF($H$25:$H$35,$C70)&gt;0,COUNTIF($D$25:$D$27,$C70)&gt;0),"",INDEX($R70:$AA70,MATCH($AB91,$R$63:$AA$63,0)))</f>
        <v/>
      </c>
      <c r="J91" s="245" t="str">
        <f>IF(OR($C71="",INDEX($R71:$AA71,MATCH($AB91,$R$63:$AA$63,0))="",$E71&lt;&gt;"Yes",COUNTIF($H$25:$H$35,$C71)&gt;0,COUNTIF($D$25:$D$27,$C71)&gt;0),"",INDEX($R71:$AA71,MATCH($AB91,$R$63:$AA$63,0)))</f>
        <v/>
      </c>
      <c r="K91" s="245" t="str">
        <f>IF(OR($C72="",INDEX($R72:$AA72,MATCH($AB91,$R$63:$AA$63,0))="",$E72&lt;&gt;"Yes",COUNTIF($H$25:$H$35,$C72)&gt;0,COUNTIF($D$25:$D$27,$C72)&gt;0),"",INDEX($R72:$AA72,MATCH($AB91,$R$63:$AA$63,0)))</f>
        <v/>
      </c>
      <c r="L91" s="245" t="str">
        <f>IF(OR($C73="",INDEX($R73:$AA73,MATCH($AB91,$R$63:$AA$63,0))="",$E73&lt;&gt;"Yes",COUNTIF($H$25:$H$35,$C73)&gt;0,COUNTIF($D$25:$D$27,$C73)&gt;0),"",INDEX($R73:$AA73,MATCH($AB91,$R$63:$AA$63,0)))</f>
        <v/>
      </c>
      <c r="M91" s="245" t="str">
        <f>IF(OR($C74="",INDEX($R74:$AA74,MATCH($AB91,$R$63:$AA$63,0))="",$E74&lt;&gt;"Yes",COUNTIF($H$25:$H$35,$C74)&gt;0,COUNTIF($D$25:$D$27,$C74)&gt;0),"",INDEX($R74:$AA74,MATCH($AB91,$R$63:$AA$63,0)))</f>
        <v/>
      </c>
      <c r="N91" s="245" t="str">
        <f>IF(OR($C75="",INDEX($R75:$AA75,MATCH($AB91,$R$63:$AA$63,0))="",$E75&lt;&gt;"Yes",COUNTIF($H$25:$H$35,$C75)&gt;0,COUNTIF($D$25:$D$27,$C75)&gt;0),"",INDEX($R75:$AA75,MATCH($AB91,$R$63:$AA$63,0)))</f>
        <v/>
      </c>
      <c r="O91" s="245" t="str">
        <f>IF(OR($C76="",INDEX($R76:$AA76,MATCH($AB91,$R$63:$AA$63,0))="",$E76&lt;&gt;"Yes",COUNTIF($H$25:$H$35,$C76)&gt;0,COUNTIF($D$25:$D$27,$C76)&gt;0),"",INDEX($R76:$AA76,MATCH($AB91,$R$63:$AA$63,0)))</f>
        <v/>
      </c>
      <c r="P91" s="245" t="str">
        <f>IF(OR($C77="",INDEX($R77:$AA77,MATCH($AB91,$R$63:$AA$63,0))="",$E77&lt;&gt;"Yes",COUNTIF($H$25:$H$35,$C77)&gt;0,COUNTIF($D$25:$D$27,$C77)&gt;0),"",INDEX($R77:$AA77,MATCH($AB91,$R$63:$AA$63,0)))</f>
        <v/>
      </c>
      <c r="Q91" s="245" t="str">
        <f>IF(OR($C78="",INDEX($R78:$AA78,MATCH($AB91,$R$63:$AA$63,0))="",$E78&lt;&gt;"Yes",COUNTIF($H$25:$H$35,$C78)&gt;0,COUNTIF($D$25:$D$27,$C78)&gt;0),"",INDEX($R78:$AA78,MATCH($AB91,$R$63:$AA$63,0)))</f>
        <v/>
      </c>
      <c r="R91" s="245" t="str">
        <f>IF(OR($C79="",INDEX($R79:$AA79,MATCH($AB91,$R$63:$AA$63,0))="",$E79&lt;&gt;"Yes",COUNTIF($H$25:$H$35,$C79)&gt;0,COUNTIF($D$25:$D$27,$C79)&gt;0),"",INDEX($R79:$AA79,MATCH($AB91,$R$63:$AA$63,0)))</f>
        <v/>
      </c>
      <c r="S91" s="245" t="str">
        <f>IF(OR($C80="",INDEX($R80:$AA80,MATCH($AB91,$R$63:$AA$63,0))="",$E80&lt;&gt;"Yes",COUNTIF($H$25:$H$35,$C80)&gt;0,COUNTIF($D$25:$D$27,$C80)&gt;0),"",INDEX($R80:$AA80,MATCH($AB91,$R$63:$AA$63,0)))</f>
        <v/>
      </c>
      <c r="T91" s="245" t="str">
        <f>IF(OR($C81="",INDEX($R81:$AA81,MATCH($AB91,$R$63:$AA$63,0))="",$E81&lt;&gt;"Yes",COUNTIF($H$25:$H$35,$C81)&gt;0,COUNTIF($D$25:$D$27,$C81)&gt;0),"",INDEX($R81:$AA81,MATCH($AB91,$R$63:$AA$63,0)))</f>
        <v/>
      </c>
      <c r="U91" s="245" t="str">
        <f>IF(OR($C82="",INDEX($R82:$AA82,MATCH($AB91,$R$63:$AA$63,0))="",$E82&lt;&gt;"Yes",COUNTIF($H$25:$H$35,$C82)&gt;0,COUNTIF($D$25:$D$27,$C82)&gt;0),"",INDEX($R82:$AA82,MATCH($AB91,$R$63:$AA$63,0)))</f>
        <v/>
      </c>
      <c r="V91" s="245" t="str">
        <f>IF(OR($C83="",INDEX($R83:$AA83,MATCH($AB91,$R$63:$AA$63,0))="",$E83&lt;&gt;"Yes",COUNTIF($H$25:$H$35,$C83)&gt;0,COUNTIF($D$25:$D$27,$C83)&gt;0),"",INDEX($R83:$AA83,MATCH($AB91,$R$63:$AA$63,0)))</f>
        <v/>
      </c>
      <c r="X91">
        <v>4</v>
      </c>
      <c r="Y91" t="s">
        <v>260</v>
      </c>
      <c r="Z91" t="s">
        <v>260</v>
      </c>
      <c r="AA91" t="str">
        <f t="shared" si="17"/>
        <v>CB</v>
      </c>
      <c r="AB91" t="str">
        <f t="shared" si="18"/>
        <v>CB</v>
      </c>
    </row>
    <row r="92" spans="2:30" hidden="1" outlineLevel="1" x14ac:dyDescent="0.45">
      <c r="B92" s="244" t="str">
        <f>5&amp;" "&amp;$AA$92</f>
        <v>5 RWB</v>
      </c>
      <c r="C92" s="245" t="str">
        <f>IF(OR($C64="",INDEX($R64:$AA64,MATCH($AB92,$R$63:$AA$63,0))="",$E64&lt;&gt;"Yes",COUNTIF($H$25:$H$35,$C64)&gt;0,COUNTIF($D$25:$D$28,$C64)&gt;0),"",INDEX($R64:$AA64,MATCH($AB92,$R$63:$AA$63,0)))</f>
        <v/>
      </c>
      <c r="D92" s="245" t="str">
        <f>IF(OR($C65="",INDEX($R65:$AA65,MATCH($AB92,$R$63:$AA$63,0))="",$E65&lt;&gt;"Yes",COUNTIF($H$25:$H$35,$C65)&gt;0,COUNTIF($D$25:$D$28,$C65)&gt;0),"",INDEX($R65:$AA65,MATCH($AB92,$R$63:$AA$63,0)))</f>
        <v/>
      </c>
      <c r="E92" s="245" t="str">
        <f>IF(OR($C66="",INDEX($R66:$AA66,MATCH($AB92,$R$63:$AA$63,0))="",$E66&lt;&gt;"Yes",COUNTIF($H$25:$H$35,$C66)&gt;0,COUNTIF($D$25:$D$28,$C66)&gt;0),"",INDEX($R66:$AA66,MATCH($AB92,$R$63:$AA$63,0)))</f>
        <v/>
      </c>
      <c r="F92" s="245">
        <f>IF(OR($C67="",INDEX($R67:$AA67,MATCH($AB92,$R$63:$AA$63,0))="",$E67&lt;&gt;"Yes",COUNTIF($H$25:$H$35,$C67)&gt;0,COUNTIF($D$25:$D$28,$C67)&gt;0),"",INDEX($R67:$AA67,MATCH($AB92,$R$63:$AA$63,0)))</f>
        <v>3.7555555555555555</v>
      </c>
      <c r="G92" s="245" t="str">
        <f>IF(OR($C68="",INDEX($R68:$AA68,MATCH($AB92,$R$63:$AA$63,0))="",$E68&lt;&gt;"Yes",COUNTIF($H$25:$H$35,$C68)&gt;0,COUNTIF($D$25:$D$28,$C68)&gt;0),"",INDEX($R68:$AA68,MATCH($AB92,$R$63:$AA$63,0)))</f>
        <v/>
      </c>
      <c r="H92" s="245" t="str">
        <f>IF(OR($C69="",INDEX($R69:$AA69,MATCH($AB92,$R$63:$AA$63,0))="",$E69&lt;&gt;"Yes",COUNTIF($H$25:$H$35,$C69)&gt;0,COUNTIF($D$25:$D$28,$C69)&gt;0),"",INDEX($R69:$AA69,MATCH($AB92,$R$63:$AA$63,0)))</f>
        <v/>
      </c>
      <c r="I92" s="245" t="str">
        <f>IF(OR($C70="",INDEX($R70:$AA70,MATCH($AB92,$R$63:$AA$63,0))="",$E70&lt;&gt;"Yes",COUNTIF($H$25:$H$35,$C70)&gt;0,COUNTIF($D$25:$D$28,$C70)&gt;0),"",INDEX($R70:$AA70,MATCH($AB92,$R$63:$AA$63,0)))</f>
        <v/>
      </c>
      <c r="J92" s="245" t="str">
        <f>IF(OR($C71="",INDEX($R71:$AA71,MATCH($AB92,$R$63:$AA$63,0))="",$E71&lt;&gt;"Yes",COUNTIF($H$25:$H$35,$C71)&gt;0,COUNTIF($D$25:$D$28,$C71)&gt;0),"",INDEX($R71:$AA71,MATCH($AB92,$R$63:$AA$63,0)))</f>
        <v/>
      </c>
      <c r="K92" s="245" t="str">
        <f>IF(OR($C72="",INDEX($R72:$AA72,MATCH($AB92,$R$63:$AA$63,0))="",$E72&lt;&gt;"Yes",COUNTIF($H$25:$H$35,$C72)&gt;0,COUNTIF($D$25:$D$28,$C72)&gt;0),"",INDEX($R72:$AA72,MATCH($AB92,$R$63:$AA$63,0)))</f>
        <v/>
      </c>
      <c r="L92" s="245" t="str">
        <f>IF(OR($C73="",INDEX($R73:$AA73,MATCH($AB92,$R$63:$AA$63,0))="",$E73&lt;&gt;"Yes",COUNTIF($H$25:$H$35,$C73)&gt;0,COUNTIF($D$25:$D$28,$C73)&gt;0),"",INDEX($R73:$AA73,MATCH($AB92,$R$63:$AA$63,0)))</f>
        <v/>
      </c>
      <c r="M92" s="245" t="str">
        <f>IF(OR($C74="",INDEX($R74:$AA74,MATCH($AB92,$R$63:$AA$63,0))="",$E74&lt;&gt;"Yes",COUNTIF($H$25:$H$35,$C74)&gt;0,COUNTIF($D$25:$D$28,$C74)&gt;0),"",INDEX($R74:$AA74,MATCH($AB92,$R$63:$AA$63,0)))</f>
        <v/>
      </c>
      <c r="N92" s="245" t="str">
        <f>IF(OR($C75="",INDEX($R75:$AA75,MATCH($AB92,$R$63:$AA$63,0))="",$E75&lt;&gt;"Yes",COUNTIF($H$25:$H$35,$C75)&gt;0,COUNTIF($D$25:$D$28,$C75)&gt;0),"",INDEX($R75:$AA75,MATCH($AB92,$R$63:$AA$63,0)))</f>
        <v/>
      </c>
      <c r="O92" s="245" t="str">
        <f>IF(OR($C76="",INDEX($R76:$AA76,MATCH($AB92,$R$63:$AA$63,0))="",$E76&lt;&gt;"Yes",COUNTIF($H$25:$H$35,$C76)&gt;0,COUNTIF($D$25:$D$28,$C76)&gt;0),"",INDEX($R76:$AA76,MATCH($AB92,$R$63:$AA$63,0)))</f>
        <v/>
      </c>
      <c r="P92" s="245" t="str">
        <f>IF(OR($C77="",INDEX($R77:$AA77,MATCH($AB92,$R$63:$AA$63,0))="",$E77&lt;&gt;"Yes",COUNTIF($H$25:$H$35,$C77)&gt;0,COUNTIF($D$25:$D$28,$C77)&gt;0),"",INDEX($R77:$AA77,MATCH($AB92,$R$63:$AA$63,0)))</f>
        <v/>
      </c>
      <c r="Q92" s="245" t="str">
        <f>IF(OR($C78="",INDEX($R78:$AA78,MATCH($AB92,$R$63:$AA$63,0))="",$E78&lt;&gt;"Yes",COUNTIF($H$25:$H$35,$C78)&gt;0,COUNTIF($D$25:$D$28,$C78)&gt;0),"",INDEX($R78:$AA78,MATCH($AB92,$R$63:$AA$63,0)))</f>
        <v/>
      </c>
      <c r="R92" s="245" t="str">
        <f>IF(OR($C79="",INDEX($R79:$AA79,MATCH($AB92,$R$63:$AA$63,0))="",$E79&lt;&gt;"Yes",COUNTIF($H$25:$H$35,$C79)&gt;0,COUNTIF($D$25:$D$28,$C79)&gt;0),"",INDEX($R79:$AA79,MATCH($AB92,$R$63:$AA$63,0)))</f>
        <v/>
      </c>
      <c r="S92" s="245" t="str">
        <f>IF(OR($C80="",INDEX($R80:$AA80,MATCH($AB92,$R$63:$AA$63,0))="",$E80&lt;&gt;"Yes",COUNTIF($H$25:$H$35,$C80)&gt;0,COUNTIF($D$25:$D$28,$C80)&gt;0),"",INDEX($R80:$AA80,MATCH($AB92,$R$63:$AA$63,0)))</f>
        <v/>
      </c>
      <c r="T92" s="245" t="str">
        <f>IF(OR($C81="",INDEX($R81:$AA81,MATCH($AB92,$R$63:$AA$63,0))="",$E81&lt;&gt;"Yes",COUNTIF($H$25:$H$35,$C81)&gt;0,COUNTIF($D$25:$D$28,$C81)&gt;0),"",INDEX($R81:$AA81,MATCH($AB92,$R$63:$AA$63,0)))</f>
        <v/>
      </c>
      <c r="U92" s="245" t="str">
        <f>IF(OR($C82="",INDEX($R82:$AA82,MATCH($AB92,$R$63:$AA$63,0))="",$E82&lt;&gt;"Yes",COUNTIF($H$25:$H$35,$C82)&gt;0,COUNTIF($D$25:$D$28,$C82)&gt;0),"",INDEX($R82:$AA82,MATCH($AB92,$R$63:$AA$63,0)))</f>
        <v/>
      </c>
      <c r="V92" s="245" t="str">
        <f>IF(OR($C83="",INDEX($R83:$AA83,MATCH($AB92,$R$63:$AA$63,0))="",$E83&lt;&gt;"Yes",COUNTIF($H$25:$H$35,$C83)&gt;0,COUNTIF($D$25:$D$28,$C83)&gt;0),"",INDEX($R83:$AA83,MATCH($AB92,$R$63:$AA$63,0)))</f>
        <v/>
      </c>
      <c r="X92">
        <v>5</v>
      </c>
      <c r="Y92" t="s">
        <v>270</v>
      </c>
      <c r="Z92" t="s">
        <v>510</v>
      </c>
      <c r="AA92" t="str">
        <f t="shared" si="17"/>
        <v>RWB</v>
      </c>
      <c r="AB92" t="str">
        <f t="shared" si="18"/>
        <v>RB</v>
      </c>
    </row>
    <row r="93" spans="2:30" hidden="1" outlineLevel="1" x14ac:dyDescent="0.45">
      <c r="B93" s="244" t="str">
        <f>6&amp;" "&amp;$AA$93</f>
        <v>6 LWB</v>
      </c>
      <c r="C93" s="245" t="str">
        <f>IF(OR($C64="",INDEX($R64:$AA64,MATCH($AB93,$R$63:$AA$63,0))="",$E64&lt;&gt;"Yes",COUNTIF($H$25:$H$35,$C64)&gt;0,COUNTIF($D$25:$D$29,$C64)&gt;0),"",INDEX($R64:$AA64,MATCH($AB93,$R$63:$AA$63,0)))</f>
        <v/>
      </c>
      <c r="D93" s="245" t="str">
        <f>IF(OR($C65="",INDEX($R65:$AA65,MATCH($AB93,$R$63:$AA$63,0))="",$E65&lt;&gt;"Yes",COUNTIF($H$25:$H$35,$C65)&gt;0,COUNTIF($D$25:$D$29,$C65)&gt;0),"",INDEX($R65:$AA65,MATCH($AB93,$R$63:$AA$63,0)))</f>
        <v/>
      </c>
      <c r="E93" s="245" t="str">
        <f>IF(OR($C66="",INDEX($R66:$AA66,MATCH($AB93,$R$63:$AA$63,0))="",$E66&lt;&gt;"Yes",COUNTIF($H$25:$H$35,$C66)&gt;0,COUNTIF($D$25:$D$29,$C66)&gt;0),"",INDEX($R66:$AA66,MATCH($AB93,$R$63:$AA$63,0)))</f>
        <v/>
      </c>
      <c r="F93" s="245">
        <f>IF(OR($C67="",INDEX($R67:$AA67,MATCH($AB93,$R$63:$AA$63,0))="",$E67&lt;&gt;"Yes",COUNTIF($H$25:$H$35,$C67)&gt;0,COUNTIF($D$25:$D$29,$C67)&gt;0),"",INDEX($R67:$AA67,MATCH($AB93,$R$63:$AA$63,0)))</f>
        <v>3.7555555555555555</v>
      </c>
      <c r="G93" s="245" t="str">
        <f>IF(OR($C68="",INDEX($R68:$AA68,MATCH($AB93,$R$63:$AA$63,0))="",$E68&lt;&gt;"Yes",COUNTIF($H$25:$H$35,$C68)&gt;0,COUNTIF($D$25:$D$29,$C68)&gt;0),"",INDEX($R68:$AA68,MATCH($AB93,$R$63:$AA$63,0)))</f>
        <v/>
      </c>
      <c r="H93" s="245" t="str">
        <f>IF(OR($C69="",INDEX($R69:$AA69,MATCH($AB93,$R$63:$AA$63,0))="",$E69&lt;&gt;"Yes",COUNTIF($H$25:$H$35,$C69)&gt;0,COUNTIF($D$25:$D$29,$C69)&gt;0),"",INDEX($R69:$AA69,MATCH($AB93,$R$63:$AA$63,0)))</f>
        <v/>
      </c>
      <c r="I93" s="245" t="str">
        <f>IF(OR($C70="",INDEX($R70:$AA70,MATCH($AB93,$R$63:$AA$63,0))="",$E70&lt;&gt;"Yes",COUNTIF($H$25:$H$35,$C70)&gt;0,COUNTIF($D$25:$D$29,$C70)&gt;0),"",INDEX($R70:$AA70,MATCH($AB93,$R$63:$AA$63,0)))</f>
        <v/>
      </c>
      <c r="J93" s="245" t="str">
        <f>IF(OR($C71="",INDEX($R71:$AA71,MATCH($AB93,$R$63:$AA$63,0))="",$E71&lt;&gt;"Yes",COUNTIF($H$25:$H$35,$C71)&gt;0,COUNTIF($D$25:$D$29,$C71)&gt;0),"",INDEX($R71:$AA71,MATCH($AB93,$R$63:$AA$63,0)))</f>
        <v/>
      </c>
      <c r="K93" s="245" t="str">
        <f>IF(OR($C72="",INDEX($R72:$AA72,MATCH($AB93,$R$63:$AA$63,0))="",$E72&lt;&gt;"Yes",COUNTIF($H$25:$H$35,$C72)&gt;0,COUNTIF($D$25:$D$29,$C72)&gt;0),"",INDEX($R72:$AA72,MATCH($AB93,$R$63:$AA$63,0)))</f>
        <v/>
      </c>
      <c r="L93" s="245" t="str">
        <f>IF(OR($C73="",INDEX($R73:$AA73,MATCH($AB93,$R$63:$AA$63,0))="",$E73&lt;&gt;"Yes",COUNTIF($H$25:$H$35,$C73)&gt;0,COUNTIF($D$25:$D$29,$C73)&gt;0),"",INDEX($R73:$AA73,MATCH($AB93,$R$63:$AA$63,0)))</f>
        <v/>
      </c>
      <c r="M93" s="245">
        <f>IF(OR($C74="",INDEX($R74:$AA74,MATCH($AB93,$R$63:$AA$63,0))="",$E74&lt;&gt;"Yes",COUNTIF($H$25:$H$35,$C74)&gt;0,COUNTIF($D$25:$D$29,$C74)&gt;0),"",INDEX($R74:$AA74,MATCH($AB93,$R$63:$AA$63,0)))</f>
        <v>13.133333333333333</v>
      </c>
      <c r="N93" s="245" t="str">
        <f>IF(OR($C75="",INDEX($R75:$AA75,MATCH($AB93,$R$63:$AA$63,0))="",$E75&lt;&gt;"Yes",COUNTIF($H$25:$H$35,$C75)&gt;0,COUNTIF($D$25:$D$29,$C75)&gt;0),"",INDEX($R75:$AA75,MATCH($AB93,$R$63:$AA$63,0)))</f>
        <v/>
      </c>
      <c r="O93" s="245" t="str">
        <f>IF(OR($C76="",INDEX($R76:$AA76,MATCH($AB93,$R$63:$AA$63,0))="",$E76&lt;&gt;"Yes",COUNTIF($H$25:$H$35,$C76)&gt;0,COUNTIF($D$25:$D$29,$C76)&gt;0),"",INDEX($R76:$AA76,MATCH($AB93,$R$63:$AA$63,0)))</f>
        <v/>
      </c>
      <c r="P93" s="245" t="str">
        <f>IF(OR($C77="",INDEX($R77:$AA77,MATCH($AB93,$R$63:$AA$63,0))="",$E77&lt;&gt;"Yes",COUNTIF($H$25:$H$35,$C77)&gt;0,COUNTIF($D$25:$D$29,$C77)&gt;0),"",INDEX($R77:$AA77,MATCH($AB93,$R$63:$AA$63,0)))</f>
        <v/>
      </c>
      <c r="Q93" s="245" t="str">
        <f>IF(OR($C78="",INDEX($R78:$AA78,MATCH($AB93,$R$63:$AA$63,0))="",$E78&lt;&gt;"Yes",COUNTIF($H$25:$H$35,$C78)&gt;0,COUNTIF($D$25:$D$29,$C78)&gt;0),"",INDEX($R78:$AA78,MATCH($AB93,$R$63:$AA$63,0)))</f>
        <v/>
      </c>
      <c r="R93" s="245" t="str">
        <f>IF(OR($C79="",INDEX($R79:$AA79,MATCH($AB93,$R$63:$AA$63,0))="",$E79&lt;&gt;"Yes",COUNTIF($H$25:$H$35,$C79)&gt;0,COUNTIF($D$25:$D$29,$C79)&gt;0),"",INDEX($R79:$AA79,MATCH($AB93,$R$63:$AA$63,0)))</f>
        <v/>
      </c>
      <c r="S93" s="245" t="str">
        <f>IF(OR($C80="",INDEX($R80:$AA80,MATCH($AB93,$R$63:$AA$63,0))="",$E80&lt;&gt;"Yes",COUNTIF($H$25:$H$35,$C80)&gt;0,COUNTIF($D$25:$D$29,$C80)&gt;0),"",INDEX($R80:$AA80,MATCH($AB93,$R$63:$AA$63,0)))</f>
        <v/>
      </c>
      <c r="T93" s="245" t="str">
        <f>IF(OR($C81="",INDEX($R81:$AA81,MATCH($AB93,$R$63:$AA$63,0))="",$E81&lt;&gt;"Yes",COUNTIF($H$25:$H$35,$C81)&gt;0,COUNTIF($D$25:$D$29,$C81)&gt;0),"",INDEX($R81:$AA81,MATCH($AB93,$R$63:$AA$63,0)))</f>
        <v/>
      </c>
      <c r="U93" s="245" t="str">
        <f>IF(OR($C82="",INDEX($R82:$AA82,MATCH($AB93,$R$63:$AA$63,0))="",$E82&lt;&gt;"Yes",COUNTIF($H$25:$H$35,$C82)&gt;0,COUNTIF($D$25:$D$29,$C82)&gt;0),"",INDEX($R82:$AA82,MATCH($AB93,$R$63:$AA$63,0)))</f>
        <v/>
      </c>
      <c r="V93" s="245" t="str">
        <f>IF(OR($C83="",INDEX($R83:$AA83,MATCH($AB93,$R$63:$AA$63,0))="",$E83&lt;&gt;"Yes",COUNTIF($H$25:$H$35,$C83)&gt;0,COUNTIF($D$25:$D$29,$C83)&gt;0),"",INDEX($R83:$AA83,MATCH($AB93,$R$63:$AA$63,0)))</f>
        <v/>
      </c>
      <c r="X93">
        <v>6</v>
      </c>
      <c r="Y93" t="s">
        <v>273</v>
      </c>
      <c r="Z93" t="s">
        <v>511</v>
      </c>
      <c r="AA93" t="str">
        <f t="shared" si="17"/>
        <v>LWB</v>
      </c>
      <c r="AB93" t="str">
        <f t="shared" si="18"/>
        <v>LB</v>
      </c>
    </row>
    <row r="94" spans="2:30" hidden="1" outlineLevel="1" x14ac:dyDescent="0.45">
      <c r="B94" s="244" t="str">
        <f>7&amp;" "&amp;$AA$94</f>
        <v>7 CM</v>
      </c>
      <c r="C94" s="245" t="str">
        <f>IF(OR($C64="",INDEX($R64:$AA64,MATCH($AB94,$R$63:$AA$63,0))="",$E64&lt;&gt;"Yes",COUNTIF($H$25:$H$35,$C64)&gt;0,COUNTIF($D$25:$D$30,$C64)&gt;0),"",INDEX($R64:$AA64,MATCH($AB94,$R$63:$AA$63,0)))</f>
        <v/>
      </c>
      <c r="D94" s="245" t="str">
        <f>IF(OR($C65="",INDEX($R65:$AA65,MATCH($AB94,$R$63:$AA$63,0))="",$E65&lt;&gt;"Yes",COUNTIF($H$25:$H$35,$C65)&gt;0,COUNTIF($D$25:$D$30,$C65)&gt;0),"",INDEX($R65:$AA65,MATCH($AB94,$R$63:$AA$63,0)))</f>
        <v/>
      </c>
      <c r="E94" s="245" t="str">
        <f>IF(OR($C66="",INDEX($R66:$AA66,MATCH($AB94,$R$63:$AA$63,0))="",$E66&lt;&gt;"Yes",COUNTIF($H$25:$H$35,$C66)&gt;0,COUNTIF($D$25:$D$30,$C66)&gt;0),"",INDEX($R66:$AA66,MATCH($AB94,$R$63:$AA$63,0)))</f>
        <v/>
      </c>
      <c r="F94" s="245" t="str">
        <f>IF(OR($C67="",INDEX($R67:$AA67,MATCH($AB94,$R$63:$AA$63,0))="",$E67&lt;&gt;"Yes",COUNTIF($H$25:$H$35,$C67)&gt;0,COUNTIF($D$25:$D$30,$C67)&gt;0),"",INDEX($R67:$AA67,MATCH($AB94,$R$63:$AA$63,0)))</f>
        <v/>
      </c>
      <c r="G94" s="245">
        <f>IF(OR($C68="",INDEX($R68:$AA68,MATCH($AB94,$R$63:$AA$63,0))="",$E68&lt;&gt;"Yes",COUNTIF($H$25:$H$35,$C68)&gt;0,COUNTIF($D$25:$D$30,$C68)&gt;0),"",INDEX($R68:$AA68,MATCH($AB94,$R$63:$AA$63,0)))</f>
        <v>12.778231292517006</v>
      </c>
      <c r="H94" s="245">
        <f>IF(OR($C69="",INDEX($R69:$AA69,MATCH($AB94,$R$63:$AA$63,0))="",$E69&lt;&gt;"Yes",COUNTIF($H$25:$H$35,$C69)&gt;0,COUNTIF($D$25:$D$30,$C69)&gt;0),"",INDEX($R69:$AA69,MATCH($AB94,$R$63:$AA$63,0)))</f>
        <v>12.268027210884354</v>
      </c>
      <c r="I94" s="245" t="str">
        <f>IF(OR($C70="",INDEX($R70:$AA70,MATCH($AB94,$R$63:$AA$63,0))="",$E70&lt;&gt;"Yes",COUNTIF($H$25:$H$35,$C70)&gt;0,COUNTIF($D$25:$D$30,$C70)&gt;0),"",INDEX($R70:$AA70,MATCH($AB94,$R$63:$AA$63,0)))</f>
        <v/>
      </c>
      <c r="J94" s="245" t="str">
        <f>IF(OR($C71="",INDEX($R71:$AA71,MATCH($AB94,$R$63:$AA$63,0))="",$E71&lt;&gt;"Yes",COUNTIF($H$25:$H$35,$C71)&gt;0,COUNTIF($D$25:$D$30,$C71)&gt;0),"",INDEX($R71:$AA71,MATCH($AB94,$R$63:$AA$63,0)))</f>
        <v/>
      </c>
      <c r="K94" s="245">
        <f>IF(OR($C72="",INDEX($R72:$AA72,MATCH($AB94,$R$63:$AA$63,0))="",$E72&lt;&gt;"Yes",COUNTIF($H$25:$H$35,$C72)&gt;0,COUNTIF($D$25:$D$30,$C72)&gt;0),"",INDEX($R72:$AA72,MATCH($AB94,$R$63:$AA$63,0)))</f>
        <v>12.676190476190476</v>
      </c>
      <c r="L94" s="245" t="str">
        <f>IF(OR($C73="",INDEX($R73:$AA73,MATCH($AB94,$R$63:$AA$63,0))="",$E73&lt;&gt;"Yes",COUNTIF($H$25:$H$35,$C73)&gt;0,COUNTIF($D$25:$D$30,$C73)&gt;0),"",INDEX($R73:$AA73,MATCH($AB94,$R$63:$AA$63,0)))</f>
        <v/>
      </c>
      <c r="M94" s="245" t="str">
        <f>IF(OR($C74="",INDEX($R74:$AA74,MATCH($AB94,$R$63:$AA$63,0))="",$E74&lt;&gt;"Yes",COUNTIF($H$25:$H$35,$C74)&gt;0,COUNTIF($D$25:$D$30,$C74)&gt;0),"",INDEX($R74:$AA74,MATCH($AB94,$R$63:$AA$63,0)))</f>
        <v/>
      </c>
      <c r="N94" s="245" t="str">
        <f>IF(OR($C75="",INDEX($R75:$AA75,MATCH($AB94,$R$63:$AA$63,0))="",$E75&lt;&gt;"Yes",COUNTIF($H$25:$H$35,$C75)&gt;0,COUNTIF($D$25:$D$30,$C75)&gt;0),"",INDEX($R75:$AA75,MATCH($AB94,$R$63:$AA$63,0)))</f>
        <v/>
      </c>
      <c r="O94" s="245">
        <f>IF(OR($C76="",INDEX($R76:$AA76,MATCH($AB94,$R$63:$AA$63,0))="",$E76&lt;&gt;"Yes",COUNTIF($H$25:$H$35,$C76)&gt;0,COUNTIF($D$25:$D$30,$C76)&gt;0),"",INDEX($R76:$AA76,MATCH($AB94,$R$63:$AA$63,0)))</f>
        <v>11.574149659863945</v>
      </c>
      <c r="P94" s="245" t="str">
        <f>IF(OR($C77="",INDEX($R77:$AA77,MATCH($AB94,$R$63:$AA$63,0))="",$E77&lt;&gt;"Yes",COUNTIF($H$25:$H$35,$C77)&gt;0,COUNTIF($D$25:$D$30,$C77)&gt;0),"",INDEX($R77:$AA77,MATCH($AB94,$R$63:$AA$63,0)))</f>
        <v/>
      </c>
      <c r="Q94" s="245" t="str">
        <f>IF(OR($C78="",INDEX($R78:$AA78,MATCH($AB94,$R$63:$AA$63,0))="",$E78&lt;&gt;"Yes",COUNTIF($H$25:$H$35,$C78)&gt;0,COUNTIF($D$25:$D$30,$C78)&gt;0),"",INDEX($R78:$AA78,MATCH($AB94,$R$63:$AA$63,0)))</f>
        <v/>
      </c>
      <c r="R94" s="245" t="str">
        <f>IF(OR($C79="",INDEX($R79:$AA79,MATCH($AB94,$R$63:$AA$63,0))="",$E79&lt;&gt;"Yes",COUNTIF($H$25:$H$35,$C79)&gt;0,COUNTIF($D$25:$D$30,$C79)&gt;0),"",INDEX($R79:$AA79,MATCH($AB94,$R$63:$AA$63,0)))</f>
        <v/>
      </c>
      <c r="S94" s="245" t="str">
        <f>IF(OR($C80="",INDEX($R80:$AA80,MATCH($AB94,$R$63:$AA$63,0))="",$E80&lt;&gt;"Yes",COUNTIF($H$25:$H$35,$C80)&gt;0,COUNTIF($D$25:$D$30,$C80)&gt;0),"",INDEX($R80:$AA80,MATCH($AB94,$R$63:$AA$63,0)))</f>
        <v/>
      </c>
      <c r="T94" s="245" t="str">
        <f>IF(OR($C81="",INDEX($R81:$AA81,MATCH($AB94,$R$63:$AA$63,0))="",$E81&lt;&gt;"Yes",COUNTIF($H$25:$H$35,$C81)&gt;0,COUNTIF($D$25:$D$30,$C81)&gt;0),"",INDEX($R81:$AA81,MATCH($AB94,$R$63:$AA$63,0)))</f>
        <v/>
      </c>
      <c r="U94" s="245" t="str">
        <f>IF(OR($C82="",INDEX($R82:$AA82,MATCH($AB94,$R$63:$AA$63,0))="",$E82&lt;&gt;"Yes",COUNTIF($H$25:$H$35,$C82)&gt;0,COUNTIF($D$25:$D$30,$C82)&gt;0),"",INDEX($R82:$AA82,MATCH($AB94,$R$63:$AA$63,0)))</f>
        <v/>
      </c>
      <c r="V94" s="245" t="str">
        <f>IF(OR($C83="",INDEX($R83:$AA83,MATCH($AB94,$R$63:$AA$63,0))="",$E83&lt;&gt;"Yes",COUNTIF($H$25:$H$35,$C83)&gt;0,COUNTIF($D$25:$D$30,$C83)&gt;0),"",INDEX($R83:$AA83,MATCH($AB94,$R$63:$AA$63,0)))</f>
        <v/>
      </c>
      <c r="X94">
        <v>7</v>
      </c>
      <c r="Y94" t="s">
        <v>275</v>
      </c>
      <c r="Z94" t="s">
        <v>275</v>
      </c>
      <c r="AA94" t="str">
        <f t="shared" si="17"/>
        <v>CM</v>
      </c>
      <c r="AB94" t="str">
        <f t="shared" si="18"/>
        <v>CM</v>
      </c>
    </row>
    <row r="95" spans="2:30" hidden="1" outlineLevel="1" x14ac:dyDescent="0.45">
      <c r="B95" s="244" t="str">
        <f>8&amp;" "&amp;$AA$95</f>
        <v>8 CM</v>
      </c>
      <c r="C95" s="245" t="str">
        <f>IF(OR($C64="",INDEX($R64:$AA64,MATCH($AB95,$R$63:$AA$63,0))="",$E64&lt;&gt;"Yes",COUNTIF($H$25:$H$35,$C64)&gt;0,COUNTIF($D$25:$D$31,$C64)&gt;0),"",INDEX($R64:$AA64,MATCH($AB95,$R$63:$AA$63,0)))</f>
        <v/>
      </c>
      <c r="D95" s="245" t="str">
        <f>IF(OR($C65="",INDEX($R65:$AA65,MATCH($AB95,$R$63:$AA$63,0))="",$E65&lt;&gt;"Yes",COUNTIF($H$25:$H$35,$C65)&gt;0,COUNTIF($D$25:$D$31,$C65)&gt;0),"",INDEX($R65:$AA65,MATCH($AB95,$R$63:$AA$63,0)))</f>
        <v/>
      </c>
      <c r="E95" s="245" t="str">
        <f>IF(OR($C66="",INDEX($R66:$AA66,MATCH($AB95,$R$63:$AA$63,0))="",$E66&lt;&gt;"Yes",COUNTIF($H$25:$H$35,$C66)&gt;0,COUNTIF($D$25:$D$31,$C66)&gt;0),"",INDEX($R66:$AA66,MATCH($AB95,$R$63:$AA$63,0)))</f>
        <v/>
      </c>
      <c r="F95" s="245" t="str">
        <f>IF(OR($C67="",INDEX($R67:$AA67,MATCH($AB95,$R$63:$AA$63,0))="",$E67&lt;&gt;"Yes",COUNTIF($H$25:$H$35,$C67)&gt;0,COUNTIF($D$25:$D$31,$C67)&gt;0),"",INDEX($R67:$AA67,MATCH($AB95,$R$63:$AA$63,0)))</f>
        <v/>
      </c>
      <c r="G95" s="245" t="str">
        <f>IF(OR($C68="",INDEX($R68:$AA68,MATCH($AB95,$R$63:$AA$63,0))="",$E68&lt;&gt;"Yes",COUNTIF($H$25:$H$35,$C68)&gt;0,COUNTIF($D$25:$D$31,$C68)&gt;0),"",INDEX($R68:$AA68,MATCH($AB95,$R$63:$AA$63,0)))</f>
        <v/>
      </c>
      <c r="H95" s="245">
        <f>IF(OR($C69="",INDEX($R69:$AA69,MATCH($AB95,$R$63:$AA$63,0))="",$E69&lt;&gt;"Yes",COUNTIF($H$25:$H$35,$C69)&gt;0,COUNTIF($D$25:$D$31,$C69)&gt;0),"",INDEX($R69:$AA69,MATCH($AB95,$R$63:$AA$63,0)))</f>
        <v>12.268027210884354</v>
      </c>
      <c r="I95" s="245" t="str">
        <f>IF(OR($C70="",INDEX($R70:$AA70,MATCH($AB95,$R$63:$AA$63,0))="",$E70&lt;&gt;"Yes",COUNTIF($H$25:$H$35,$C70)&gt;0,COUNTIF($D$25:$D$31,$C70)&gt;0),"",INDEX($R70:$AA70,MATCH($AB95,$R$63:$AA$63,0)))</f>
        <v/>
      </c>
      <c r="J95" s="245" t="str">
        <f>IF(OR($C71="",INDEX($R71:$AA71,MATCH($AB95,$R$63:$AA$63,0))="",$E71&lt;&gt;"Yes",COUNTIF($H$25:$H$35,$C71)&gt;0,COUNTIF($D$25:$D$31,$C71)&gt;0),"",INDEX($R71:$AA71,MATCH($AB95,$R$63:$AA$63,0)))</f>
        <v/>
      </c>
      <c r="K95" s="245">
        <f>IF(OR($C72="",INDEX($R72:$AA72,MATCH($AB95,$R$63:$AA$63,0))="",$E72&lt;&gt;"Yes",COUNTIF($H$25:$H$35,$C72)&gt;0,COUNTIF($D$25:$D$31,$C72)&gt;0),"",INDEX($R72:$AA72,MATCH($AB95,$R$63:$AA$63,0)))</f>
        <v>12.676190476190476</v>
      </c>
      <c r="L95" s="245" t="str">
        <f>IF(OR($C73="",INDEX($R73:$AA73,MATCH($AB95,$R$63:$AA$63,0))="",$E73&lt;&gt;"Yes",COUNTIF($H$25:$H$35,$C73)&gt;0,COUNTIF($D$25:$D$31,$C73)&gt;0),"",INDEX($R73:$AA73,MATCH($AB95,$R$63:$AA$63,0)))</f>
        <v/>
      </c>
      <c r="M95" s="245" t="str">
        <f>IF(OR($C74="",INDEX($R74:$AA74,MATCH($AB95,$R$63:$AA$63,0))="",$E74&lt;&gt;"Yes",COUNTIF($H$25:$H$35,$C74)&gt;0,COUNTIF($D$25:$D$31,$C74)&gt;0),"",INDEX($R74:$AA74,MATCH($AB95,$R$63:$AA$63,0)))</f>
        <v/>
      </c>
      <c r="N95" s="245" t="str">
        <f>IF(OR($C75="",INDEX($R75:$AA75,MATCH($AB95,$R$63:$AA$63,0))="",$E75&lt;&gt;"Yes",COUNTIF($H$25:$H$35,$C75)&gt;0,COUNTIF($D$25:$D$31,$C75)&gt;0),"",INDEX($R75:$AA75,MATCH($AB95,$R$63:$AA$63,0)))</f>
        <v/>
      </c>
      <c r="O95" s="245">
        <f>IF(OR($C76="",INDEX($R76:$AA76,MATCH($AB95,$R$63:$AA$63,0))="",$E76&lt;&gt;"Yes",COUNTIF($H$25:$H$35,$C76)&gt;0,COUNTIF($D$25:$D$31,$C76)&gt;0),"",INDEX($R76:$AA76,MATCH($AB95,$R$63:$AA$63,0)))</f>
        <v>11.574149659863945</v>
      </c>
      <c r="P95" s="245" t="str">
        <f>IF(OR($C77="",INDEX($R77:$AA77,MATCH($AB95,$R$63:$AA$63,0))="",$E77&lt;&gt;"Yes",COUNTIF($H$25:$H$35,$C77)&gt;0,COUNTIF($D$25:$D$31,$C77)&gt;0),"",INDEX($R77:$AA77,MATCH($AB95,$R$63:$AA$63,0)))</f>
        <v/>
      </c>
      <c r="Q95" s="245" t="str">
        <f>IF(OR($C78="",INDEX($R78:$AA78,MATCH($AB95,$R$63:$AA$63,0))="",$E78&lt;&gt;"Yes",COUNTIF($H$25:$H$35,$C78)&gt;0,COUNTIF($D$25:$D$31,$C78)&gt;0),"",INDEX($R78:$AA78,MATCH($AB95,$R$63:$AA$63,0)))</f>
        <v/>
      </c>
      <c r="R95" s="245" t="str">
        <f>IF(OR($C79="",INDEX($R79:$AA79,MATCH($AB95,$R$63:$AA$63,0))="",$E79&lt;&gt;"Yes",COUNTIF($H$25:$H$35,$C79)&gt;0,COUNTIF($D$25:$D$31,$C79)&gt;0),"",INDEX($R79:$AA79,MATCH($AB95,$R$63:$AA$63,0)))</f>
        <v/>
      </c>
      <c r="S95" s="245" t="str">
        <f>IF(OR($C80="",INDEX($R80:$AA80,MATCH($AB95,$R$63:$AA$63,0))="",$E80&lt;&gt;"Yes",COUNTIF($H$25:$H$35,$C80)&gt;0,COUNTIF($D$25:$D$31,$C80)&gt;0),"",INDEX($R80:$AA80,MATCH($AB95,$R$63:$AA$63,0)))</f>
        <v/>
      </c>
      <c r="T95" s="245" t="str">
        <f>IF(OR($C81="",INDEX($R81:$AA81,MATCH($AB95,$R$63:$AA$63,0))="",$E81&lt;&gt;"Yes",COUNTIF($H$25:$H$35,$C81)&gt;0,COUNTIF($D$25:$D$31,$C81)&gt;0),"",INDEX($R81:$AA81,MATCH($AB95,$R$63:$AA$63,0)))</f>
        <v/>
      </c>
      <c r="U95" s="245" t="str">
        <f>IF(OR($C82="",INDEX($R82:$AA82,MATCH($AB95,$R$63:$AA$63,0))="",$E82&lt;&gt;"Yes",COUNTIF($H$25:$H$35,$C82)&gt;0,COUNTIF($D$25:$D$31,$C82)&gt;0),"",INDEX($R82:$AA82,MATCH($AB95,$R$63:$AA$63,0)))</f>
        <v/>
      </c>
      <c r="V95" s="245" t="str">
        <f>IF(OR($C83="",INDEX($R83:$AA83,MATCH($AB95,$R$63:$AA$63,0))="",$E83&lt;&gt;"Yes",COUNTIF($H$25:$H$35,$C83)&gt;0,COUNTIF($D$25:$D$31,$C83)&gt;0),"",INDEX($R83:$AA83,MATCH($AB95,$R$63:$AA$63,0)))</f>
        <v/>
      </c>
      <c r="X95">
        <v>8</v>
      </c>
      <c r="Y95" t="s">
        <v>277</v>
      </c>
      <c r="Z95" t="s">
        <v>275</v>
      </c>
      <c r="AA95" t="str">
        <f t="shared" si="17"/>
        <v>CM</v>
      </c>
      <c r="AB95" t="str">
        <f t="shared" si="18"/>
        <v>CM</v>
      </c>
    </row>
    <row r="96" spans="2:30" hidden="1" outlineLevel="1" x14ac:dyDescent="0.45">
      <c r="B96" s="244" t="str">
        <f>9&amp;" "&amp;$AA$96</f>
        <v>9 CM</v>
      </c>
      <c r="C96" s="245" t="str">
        <f>IF(OR($C64="",INDEX($R64:$AA64,MATCH($AB96,$R$63:$AA$63,0))="",$E64&lt;&gt;"Yes",COUNTIF($H$25:$H$35,$C64)&gt;0,COUNTIF($D$25:$D$32,$C64)&gt;0),"",INDEX($R64:$AA64,MATCH($AB96,$R$63:$AA$63,0)))</f>
        <v/>
      </c>
      <c r="D96" s="245" t="str">
        <f>IF(OR($C65="",INDEX($R65:$AA65,MATCH($AB96,$R$63:$AA$63,0))="",$E65&lt;&gt;"Yes",COUNTIF($H$25:$H$35,$C65)&gt;0,COUNTIF($D$25:$D$32,$C65)&gt;0),"",INDEX($R65:$AA65,MATCH($AB96,$R$63:$AA$63,0)))</f>
        <v/>
      </c>
      <c r="E96" s="245" t="str">
        <f>IF(OR($C66="",INDEX($R66:$AA66,MATCH($AB96,$R$63:$AA$63,0))="",$E66&lt;&gt;"Yes",COUNTIF($H$25:$H$35,$C66)&gt;0,COUNTIF($D$25:$D$32,$C66)&gt;0),"",INDEX($R66:$AA66,MATCH($AB96,$R$63:$AA$63,0)))</f>
        <v/>
      </c>
      <c r="F96" s="245" t="str">
        <f>IF(OR($C67="",INDEX($R67:$AA67,MATCH($AB96,$R$63:$AA$63,0))="",$E67&lt;&gt;"Yes",COUNTIF($H$25:$H$35,$C67)&gt;0,COUNTIF($D$25:$D$32,$C67)&gt;0),"",INDEX($R67:$AA67,MATCH($AB96,$R$63:$AA$63,0)))</f>
        <v/>
      </c>
      <c r="G96" s="245" t="str">
        <f>IF(OR($C68="",INDEX($R68:$AA68,MATCH($AB96,$R$63:$AA$63,0))="",$E68&lt;&gt;"Yes",COUNTIF($H$25:$H$35,$C68)&gt;0,COUNTIF($D$25:$D$32,$C68)&gt;0),"",INDEX($R68:$AA68,MATCH($AB96,$R$63:$AA$63,0)))</f>
        <v/>
      </c>
      <c r="H96" s="245">
        <f>IF(OR($C69="",INDEX($R69:$AA69,MATCH($AB96,$R$63:$AA$63,0))="",$E69&lt;&gt;"Yes",COUNTIF($H$25:$H$35,$C69)&gt;0,COUNTIF($D$25:$D$32,$C69)&gt;0),"",INDEX($R69:$AA69,MATCH($AB96,$R$63:$AA$63,0)))</f>
        <v>12.268027210884354</v>
      </c>
      <c r="I96" s="245" t="str">
        <f>IF(OR($C70="",INDEX($R70:$AA70,MATCH($AB96,$R$63:$AA$63,0))="",$E70&lt;&gt;"Yes",COUNTIF($H$25:$H$35,$C70)&gt;0,COUNTIF($D$25:$D$32,$C70)&gt;0),"",INDEX($R70:$AA70,MATCH($AB96,$R$63:$AA$63,0)))</f>
        <v/>
      </c>
      <c r="J96" s="245" t="str">
        <f>IF(OR($C71="",INDEX($R71:$AA71,MATCH($AB96,$R$63:$AA$63,0))="",$E71&lt;&gt;"Yes",COUNTIF($H$25:$H$35,$C71)&gt;0,COUNTIF($D$25:$D$32,$C71)&gt;0),"",INDEX($R71:$AA71,MATCH($AB96,$R$63:$AA$63,0)))</f>
        <v/>
      </c>
      <c r="K96" s="245">
        <f>IF(OR($C72="",INDEX($R72:$AA72,MATCH($AB96,$R$63:$AA$63,0))="",$E72&lt;&gt;"Yes",COUNTIF($H$25:$H$35,$C72)&gt;0,COUNTIF($D$25:$D$32,$C72)&gt;0),"",INDEX($R72:$AA72,MATCH($AB96,$R$63:$AA$63,0)))</f>
        <v>12.676190476190476</v>
      </c>
      <c r="L96" s="245" t="str">
        <f>IF(OR($C73="",INDEX($R73:$AA73,MATCH($AB96,$R$63:$AA$63,0))="",$E73&lt;&gt;"Yes",COUNTIF($H$25:$H$35,$C73)&gt;0,COUNTIF($D$25:$D$32,$C73)&gt;0),"",INDEX($R73:$AA73,MATCH($AB96,$R$63:$AA$63,0)))</f>
        <v/>
      </c>
      <c r="M96" s="245" t="str">
        <f>IF(OR($C74="",INDEX($R74:$AA74,MATCH($AB96,$R$63:$AA$63,0))="",$E74&lt;&gt;"Yes",COUNTIF($H$25:$H$35,$C74)&gt;0,COUNTIF($D$25:$D$32,$C74)&gt;0),"",INDEX($R74:$AA74,MATCH($AB96,$R$63:$AA$63,0)))</f>
        <v/>
      </c>
      <c r="N96" s="245" t="str">
        <f>IF(OR($C75="",INDEX($R75:$AA75,MATCH($AB96,$R$63:$AA$63,0))="",$E75&lt;&gt;"Yes",COUNTIF($H$25:$H$35,$C75)&gt;0,COUNTIF($D$25:$D$32,$C75)&gt;0),"",INDEX($R75:$AA75,MATCH($AB96,$R$63:$AA$63,0)))</f>
        <v/>
      </c>
      <c r="O96" s="245">
        <f>IF(OR($C76="",INDEX($R76:$AA76,MATCH($AB96,$R$63:$AA$63,0))="",$E76&lt;&gt;"Yes",COUNTIF($H$25:$H$35,$C76)&gt;0,COUNTIF($D$25:$D$32,$C76)&gt;0),"",INDEX($R76:$AA76,MATCH($AB96,$R$63:$AA$63,0)))</f>
        <v>11.574149659863945</v>
      </c>
      <c r="P96" s="245" t="str">
        <f>IF(OR($C77="",INDEX($R77:$AA77,MATCH($AB96,$R$63:$AA$63,0))="",$E77&lt;&gt;"Yes",COUNTIF($H$25:$H$35,$C77)&gt;0,COUNTIF($D$25:$D$32,$C77)&gt;0),"",INDEX($R77:$AA77,MATCH($AB96,$R$63:$AA$63,0)))</f>
        <v/>
      </c>
      <c r="Q96" s="245" t="str">
        <f>IF(OR($C78="",INDEX($R78:$AA78,MATCH($AB96,$R$63:$AA$63,0))="",$E78&lt;&gt;"Yes",COUNTIF($H$25:$H$35,$C78)&gt;0,COUNTIF($D$25:$D$32,$C78)&gt;0),"",INDEX($R78:$AA78,MATCH($AB96,$R$63:$AA$63,0)))</f>
        <v/>
      </c>
      <c r="R96" s="245" t="str">
        <f>IF(OR($C79="",INDEX($R79:$AA79,MATCH($AB96,$R$63:$AA$63,0))="",$E79&lt;&gt;"Yes",COUNTIF($H$25:$H$35,$C79)&gt;0,COUNTIF($D$25:$D$32,$C79)&gt;0),"",INDEX($R79:$AA79,MATCH($AB96,$R$63:$AA$63,0)))</f>
        <v/>
      </c>
      <c r="S96" s="245" t="str">
        <f>IF(OR($C80="",INDEX($R80:$AA80,MATCH($AB96,$R$63:$AA$63,0))="",$E80&lt;&gt;"Yes",COUNTIF($H$25:$H$35,$C80)&gt;0,COUNTIF($D$25:$D$32,$C80)&gt;0),"",INDEX($R80:$AA80,MATCH($AB96,$R$63:$AA$63,0)))</f>
        <v/>
      </c>
      <c r="T96" s="245" t="str">
        <f>IF(OR($C81="",INDEX($R81:$AA81,MATCH($AB96,$R$63:$AA$63,0))="",$E81&lt;&gt;"Yes",COUNTIF($H$25:$H$35,$C81)&gt;0,COUNTIF($D$25:$D$32,$C81)&gt;0),"",INDEX($R81:$AA81,MATCH($AB96,$R$63:$AA$63,0)))</f>
        <v/>
      </c>
      <c r="U96" s="245" t="str">
        <f>IF(OR($C82="",INDEX($R82:$AA82,MATCH($AB96,$R$63:$AA$63,0))="",$E82&lt;&gt;"Yes",COUNTIF($H$25:$H$35,$C82)&gt;0,COUNTIF($D$25:$D$32,$C82)&gt;0),"",INDEX($R82:$AA82,MATCH($AB96,$R$63:$AA$63,0)))</f>
        <v/>
      </c>
      <c r="V96" s="245" t="str">
        <f>IF(OR($C83="",INDEX($R83:$AA83,MATCH($AB96,$R$63:$AA$63,0))="",$E83&lt;&gt;"Yes",COUNTIF($H$25:$H$35,$C83)&gt;0,COUNTIF($D$25:$D$32,$C83)&gt;0),"",INDEX($R83:$AA83,MATCH($AB96,$R$63:$AA$63,0)))</f>
        <v/>
      </c>
      <c r="X96">
        <v>9</v>
      </c>
      <c r="Y96" t="s">
        <v>279</v>
      </c>
      <c r="Z96" t="s">
        <v>275</v>
      </c>
      <c r="AA96" t="str">
        <f t="shared" si="17"/>
        <v>CM</v>
      </c>
      <c r="AB96" t="str">
        <f t="shared" si="18"/>
        <v>CM</v>
      </c>
    </row>
    <row r="97" spans="2:30" hidden="1" outlineLevel="1" x14ac:dyDescent="0.45">
      <c r="B97" s="244" t="str">
        <f>10&amp;" "&amp;$AA$97</f>
        <v>10 ST</v>
      </c>
      <c r="C97" s="245" t="str">
        <f>IF(OR($C64="",INDEX($R64:$AA64,MATCH($AB97,$R$63:$AA$63,0))="",$E64&lt;&gt;"Yes",COUNTIF($H$25:$H$35,$C64)&gt;0,COUNTIF($D$25:$D$33,$C64)&gt;0),"",INDEX($R64:$AA64,MATCH($AB97,$R$63:$AA$63,0)))</f>
        <v/>
      </c>
      <c r="D97" s="245" t="str">
        <f>IF(OR($C65="",INDEX($R65:$AA65,MATCH($AB97,$R$63:$AA$63,0))="",$E65&lt;&gt;"Yes",COUNTIF($H$25:$H$35,$C65)&gt;0,COUNTIF($D$25:$D$33,$C65)&gt;0),"",INDEX($R65:$AA65,MATCH($AB97,$R$63:$AA$63,0)))</f>
        <v/>
      </c>
      <c r="E97" s="245" t="str">
        <f>IF(OR($C66="",INDEX($R66:$AA66,MATCH($AB97,$R$63:$AA$63,0))="",$E66&lt;&gt;"Yes",COUNTIF($H$25:$H$35,$C66)&gt;0,COUNTIF($D$25:$D$33,$C66)&gt;0),"",INDEX($R66:$AA66,MATCH($AB97,$R$63:$AA$63,0)))</f>
        <v/>
      </c>
      <c r="F97" s="245" t="str">
        <f>IF(OR($C67="",INDEX($R67:$AA67,MATCH($AB97,$R$63:$AA$63,0))="",$E67&lt;&gt;"Yes",COUNTIF($H$25:$H$35,$C67)&gt;0,COUNTIF($D$25:$D$33,$C67)&gt;0),"",INDEX($R67:$AA67,MATCH($AB97,$R$63:$AA$63,0)))</f>
        <v/>
      </c>
      <c r="G97" s="245" t="str">
        <f>IF(OR($C68="",INDEX($R68:$AA68,MATCH($AB97,$R$63:$AA$63,0))="",$E68&lt;&gt;"Yes",COUNTIF($H$25:$H$35,$C68)&gt;0,COUNTIF($D$25:$D$33,$C68)&gt;0),"",INDEX($R68:$AA68,MATCH($AB97,$R$63:$AA$63,0)))</f>
        <v/>
      </c>
      <c r="H97" s="245" t="str">
        <f>IF(OR($C69="",INDEX($R69:$AA69,MATCH($AB97,$R$63:$AA$63,0))="",$E69&lt;&gt;"Yes",COUNTIF($H$25:$H$35,$C69)&gt;0,COUNTIF($D$25:$D$33,$C69)&gt;0),"",INDEX($R69:$AA69,MATCH($AB97,$R$63:$AA$63,0)))</f>
        <v/>
      </c>
      <c r="I97" s="245">
        <f>IF(OR($C70="",INDEX($R70:$AA70,MATCH($AB97,$R$63:$AA$63,0))="",$E70&lt;&gt;"Yes",COUNTIF($H$25:$H$35,$C70)&gt;0,COUNTIF($D$25:$D$33,$C70)&gt;0),"",INDEX($R70:$AA70,MATCH($AB97,$R$63:$AA$63,0)))</f>
        <v>9.5733333333333324</v>
      </c>
      <c r="J97" s="245">
        <f>IF(OR($C71="",INDEX($R71:$AA71,MATCH($AB97,$R$63:$AA$63,0))="",$E71&lt;&gt;"Yes",COUNTIF($H$25:$H$35,$C71)&gt;0,COUNTIF($D$25:$D$33,$C71)&gt;0),"",INDEX($R71:$AA71,MATCH($AB97,$R$63:$AA$63,0)))</f>
        <v>8.14</v>
      </c>
      <c r="K97" s="245" t="str">
        <f>IF(OR($C72="",INDEX($R72:$AA72,MATCH($AB97,$R$63:$AA$63,0))="",$E72&lt;&gt;"Yes",COUNTIF($H$25:$H$35,$C72)&gt;0,COUNTIF($D$25:$D$33,$C72)&gt;0),"",INDEX($R72:$AA72,MATCH($AB97,$R$63:$AA$63,0)))</f>
        <v/>
      </c>
      <c r="L97" s="245" t="str">
        <f>IF(OR($C73="",INDEX($R73:$AA73,MATCH($AB97,$R$63:$AA$63,0))="",$E73&lt;&gt;"Yes",COUNTIF($H$25:$H$35,$C73)&gt;0,COUNTIF($D$25:$D$33,$C73)&gt;0),"",INDEX($R73:$AA73,MATCH($AB97,$R$63:$AA$63,0)))</f>
        <v/>
      </c>
      <c r="M97" s="245" t="str">
        <f>IF(OR($C74="",INDEX($R74:$AA74,MATCH($AB97,$R$63:$AA$63,0))="",$E74&lt;&gt;"Yes",COUNTIF($H$25:$H$35,$C74)&gt;0,COUNTIF($D$25:$D$33,$C74)&gt;0),"",INDEX($R74:$AA74,MATCH($AB97,$R$63:$AA$63,0)))</f>
        <v/>
      </c>
      <c r="N97" s="245" t="str">
        <f>IF(OR($C75="",INDEX($R75:$AA75,MATCH($AB97,$R$63:$AA$63,0))="",$E75&lt;&gt;"Yes",COUNTIF($H$25:$H$35,$C75)&gt;0,COUNTIF($D$25:$D$33,$C75)&gt;0),"",INDEX($R75:$AA75,MATCH($AB97,$R$63:$AA$63,0)))</f>
        <v/>
      </c>
      <c r="O97" s="245" t="str">
        <f>IF(OR($C76="",INDEX($R76:$AA76,MATCH($AB97,$R$63:$AA$63,0))="",$E76&lt;&gt;"Yes",COUNTIF($H$25:$H$35,$C76)&gt;0,COUNTIF($D$25:$D$33,$C76)&gt;0),"",INDEX($R76:$AA76,MATCH($AB97,$R$63:$AA$63,0)))</f>
        <v/>
      </c>
      <c r="P97" s="245" t="str">
        <f>IF(OR($C77="",INDEX($R77:$AA77,MATCH($AB97,$R$63:$AA$63,0))="",$E77&lt;&gt;"Yes",COUNTIF($H$25:$H$35,$C77)&gt;0,COUNTIF($D$25:$D$33,$C77)&gt;0),"",INDEX($R77:$AA77,MATCH($AB97,$R$63:$AA$63,0)))</f>
        <v/>
      </c>
      <c r="Q97" s="245" t="str">
        <f>IF(OR($C78="",INDEX($R78:$AA78,MATCH($AB97,$R$63:$AA$63,0))="",$E78&lt;&gt;"Yes",COUNTIF($H$25:$H$35,$C78)&gt;0,COUNTIF($D$25:$D$33,$C78)&gt;0),"",INDEX($R78:$AA78,MATCH($AB97,$R$63:$AA$63,0)))</f>
        <v/>
      </c>
      <c r="R97" s="245">
        <f>IF(OR($C79="",INDEX($R79:$AA79,MATCH($AB97,$R$63:$AA$63,0))="",$E79&lt;&gt;"Yes",COUNTIF($H$25:$H$35,$C79)&gt;0,COUNTIF($D$25:$D$33,$C79)&gt;0),"",INDEX($R79:$AA79,MATCH($AB97,$R$63:$AA$63,0)))</f>
        <v>11.6</v>
      </c>
      <c r="S97" s="245" t="str">
        <f>IF(OR($C80="",INDEX($R80:$AA80,MATCH($AB97,$R$63:$AA$63,0))="",$E80&lt;&gt;"Yes",COUNTIF($H$25:$H$35,$C80)&gt;0,COUNTIF($D$25:$D$33,$C80)&gt;0),"",INDEX($R80:$AA80,MATCH($AB97,$R$63:$AA$63,0)))</f>
        <v/>
      </c>
      <c r="T97" s="245" t="str">
        <f>IF(OR($C81="",INDEX($R81:$AA81,MATCH($AB97,$R$63:$AA$63,0))="",$E81&lt;&gt;"Yes",COUNTIF($H$25:$H$35,$C81)&gt;0,COUNTIF($D$25:$D$33,$C81)&gt;0),"",INDEX($R81:$AA81,MATCH($AB97,$R$63:$AA$63,0)))</f>
        <v/>
      </c>
      <c r="U97" s="245" t="str">
        <f>IF(OR($C82="",INDEX($R82:$AA82,MATCH($AB97,$R$63:$AA$63,0))="",$E82&lt;&gt;"Yes",COUNTIF($H$25:$H$35,$C82)&gt;0,COUNTIF($D$25:$D$33,$C82)&gt;0),"",INDEX($R82:$AA82,MATCH($AB97,$R$63:$AA$63,0)))</f>
        <v/>
      </c>
      <c r="V97" s="245" t="str">
        <f>IF(OR($C83="",INDEX($R83:$AA83,MATCH($AB97,$R$63:$AA$63,0))="",$E83&lt;&gt;"Yes",COUNTIF($H$25:$H$35,$C83)&gt;0,COUNTIF($D$25:$D$33,$C83)&gt;0),"",INDEX($R83:$AA83,MATCH($AB97,$R$63:$AA$63,0)))</f>
        <v/>
      </c>
      <c r="X97">
        <v>10</v>
      </c>
      <c r="Y97" t="s">
        <v>283</v>
      </c>
      <c r="Z97" t="s">
        <v>283</v>
      </c>
      <c r="AA97" t="str">
        <f t="shared" si="17"/>
        <v>ST</v>
      </c>
      <c r="AB97" t="str">
        <f t="shared" si="18"/>
        <v>ST</v>
      </c>
    </row>
    <row r="98" spans="2:30" hidden="1" outlineLevel="1" x14ac:dyDescent="0.45">
      <c r="B98" s="244" t="str">
        <f>11&amp;" "&amp;$AA$98</f>
        <v>11 ST</v>
      </c>
      <c r="C98" s="245" t="str">
        <f>IF(OR($C64="",INDEX($R64:$AA64,MATCH($AB98,$R$63:$AA$63,0))="",$E64&lt;&gt;"Yes",COUNTIF($H$25:$H$35,$C64)&gt;0,COUNTIF($D$25:$D$34,$C64)&gt;0),"",INDEX($R64:$AA64,MATCH($AB98,$R$63:$AA$63,0)))</f>
        <v/>
      </c>
      <c r="D98" s="245" t="str">
        <f>IF(OR($C65="",INDEX($R65:$AA65,MATCH($AB98,$R$63:$AA$63,0))="",$E65&lt;&gt;"Yes",COUNTIF($H$25:$H$35,$C65)&gt;0,COUNTIF($D$25:$D$34,$C65)&gt;0),"",INDEX($R65:$AA65,MATCH($AB98,$R$63:$AA$63,0)))</f>
        <v/>
      </c>
      <c r="E98" s="245" t="str">
        <f>IF(OR($C66="",INDEX($R66:$AA66,MATCH($AB98,$R$63:$AA$63,0))="",$E66&lt;&gt;"Yes",COUNTIF($H$25:$H$35,$C66)&gt;0,COUNTIF($D$25:$D$34,$C66)&gt;0),"",INDEX($R66:$AA66,MATCH($AB98,$R$63:$AA$63,0)))</f>
        <v/>
      </c>
      <c r="F98" s="245" t="str">
        <f>IF(OR($C67="",INDEX($R67:$AA67,MATCH($AB98,$R$63:$AA$63,0))="",$E67&lt;&gt;"Yes",COUNTIF($H$25:$H$35,$C67)&gt;0,COUNTIF($D$25:$D$34,$C67)&gt;0),"",INDEX($R67:$AA67,MATCH($AB98,$R$63:$AA$63,0)))</f>
        <v/>
      </c>
      <c r="G98" s="245" t="str">
        <f>IF(OR($C68="",INDEX($R68:$AA68,MATCH($AB98,$R$63:$AA$63,0))="",$E68&lt;&gt;"Yes",COUNTIF($H$25:$H$35,$C68)&gt;0,COUNTIF($D$25:$D$34,$C68)&gt;0),"",INDEX($R68:$AA68,MATCH($AB98,$R$63:$AA$63,0)))</f>
        <v/>
      </c>
      <c r="H98" s="245" t="str">
        <f>IF(OR($C69="",INDEX($R69:$AA69,MATCH($AB98,$R$63:$AA$63,0))="",$E69&lt;&gt;"Yes",COUNTIF($H$25:$H$35,$C69)&gt;0,COUNTIF($D$25:$D$34,$C69)&gt;0),"",INDEX($R69:$AA69,MATCH($AB98,$R$63:$AA$63,0)))</f>
        <v/>
      </c>
      <c r="I98" s="245">
        <f>IF(OR($C70="",INDEX($R70:$AA70,MATCH($AB98,$R$63:$AA$63,0))="",$E70&lt;&gt;"Yes",COUNTIF($H$25:$H$35,$C70)&gt;0,COUNTIF($D$25:$D$34,$C70)&gt;0),"",INDEX($R70:$AA70,MATCH($AB98,$R$63:$AA$63,0)))</f>
        <v>9.5733333333333324</v>
      </c>
      <c r="J98" s="245">
        <f>IF(OR($C71="",INDEX($R71:$AA71,MATCH($AB98,$R$63:$AA$63,0))="",$E71&lt;&gt;"Yes",COUNTIF($H$25:$H$35,$C71)&gt;0,COUNTIF($D$25:$D$34,$C71)&gt;0),"",INDEX($R71:$AA71,MATCH($AB98,$R$63:$AA$63,0)))</f>
        <v>8.14</v>
      </c>
      <c r="K98" s="245" t="str">
        <f>IF(OR($C72="",INDEX($R72:$AA72,MATCH($AB98,$R$63:$AA$63,0))="",$E72&lt;&gt;"Yes",COUNTIF($H$25:$H$35,$C72)&gt;0,COUNTIF($D$25:$D$34,$C72)&gt;0),"",INDEX($R72:$AA72,MATCH($AB98,$R$63:$AA$63,0)))</f>
        <v/>
      </c>
      <c r="L98" s="245" t="str">
        <f>IF(OR($C73="",INDEX($R73:$AA73,MATCH($AB98,$R$63:$AA$63,0))="",$E73&lt;&gt;"Yes",COUNTIF($H$25:$H$35,$C73)&gt;0,COUNTIF($D$25:$D$34,$C73)&gt;0),"",INDEX($R73:$AA73,MATCH($AB98,$R$63:$AA$63,0)))</f>
        <v/>
      </c>
      <c r="M98" s="245" t="str">
        <f>IF(OR($C74="",INDEX($R74:$AA74,MATCH($AB98,$R$63:$AA$63,0))="",$E74&lt;&gt;"Yes",COUNTIF($H$25:$H$35,$C74)&gt;0,COUNTIF($D$25:$D$34,$C74)&gt;0),"",INDEX($R74:$AA74,MATCH($AB98,$R$63:$AA$63,0)))</f>
        <v/>
      </c>
      <c r="N98" s="245" t="str">
        <f>IF(OR($C75="",INDEX($R75:$AA75,MATCH($AB98,$R$63:$AA$63,0))="",$E75&lt;&gt;"Yes",COUNTIF($H$25:$H$35,$C75)&gt;0,COUNTIF($D$25:$D$34,$C75)&gt;0),"",INDEX($R75:$AA75,MATCH($AB98,$R$63:$AA$63,0)))</f>
        <v/>
      </c>
      <c r="O98" s="245" t="str">
        <f>IF(OR($C76="",INDEX($R76:$AA76,MATCH($AB98,$R$63:$AA$63,0))="",$E76&lt;&gt;"Yes",COUNTIF($H$25:$H$35,$C76)&gt;0,COUNTIF($D$25:$D$34,$C76)&gt;0),"",INDEX($R76:$AA76,MATCH($AB98,$R$63:$AA$63,0)))</f>
        <v/>
      </c>
      <c r="P98" s="245" t="str">
        <f>IF(OR($C77="",INDEX($R77:$AA77,MATCH($AB98,$R$63:$AA$63,0))="",$E77&lt;&gt;"Yes",COUNTIF($H$25:$H$35,$C77)&gt;0,COUNTIF($D$25:$D$34,$C77)&gt;0),"",INDEX($R77:$AA77,MATCH($AB98,$R$63:$AA$63,0)))</f>
        <v/>
      </c>
      <c r="Q98" s="245" t="str">
        <f>IF(OR($C78="",INDEX($R78:$AA78,MATCH($AB98,$R$63:$AA$63,0))="",$E78&lt;&gt;"Yes",COUNTIF($H$25:$H$35,$C78)&gt;0,COUNTIF($D$25:$D$34,$C78)&gt;0),"",INDEX($R78:$AA78,MATCH($AB98,$R$63:$AA$63,0)))</f>
        <v/>
      </c>
      <c r="R98" s="245" t="str">
        <f>IF(OR($C79="",INDEX($R79:$AA79,MATCH($AB98,$R$63:$AA$63,0))="",$E79&lt;&gt;"Yes",COUNTIF($H$25:$H$35,$C79)&gt;0,COUNTIF($D$25:$D$34,$C79)&gt;0),"",INDEX($R79:$AA79,MATCH($AB98,$R$63:$AA$63,0)))</f>
        <v/>
      </c>
      <c r="S98" s="245" t="str">
        <f>IF(OR($C80="",INDEX($R80:$AA80,MATCH($AB98,$R$63:$AA$63,0))="",$E80&lt;&gt;"Yes",COUNTIF($H$25:$H$35,$C80)&gt;0,COUNTIF($D$25:$D$34,$C80)&gt;0),"",INDEX($R80:$AA80,MATCH($AB98,$R$63:$AA$63,0)))</f>
        <v/>
      </c>
      <c r="T98" s="245" t="str">
        <f>IF(OR($C81="",INDEX($R81:$AA81,MATCH($AB98,$R$63:$AA$63,0))="",$E81&lt;&gt;"Yes",COUNTIF($H$25:$H$35,$C81)&gt;0,COUNTIF($D$25:$D$34,$C81)&gt;0),"",INDEX($R81:$AA81,MATCH($AB98,$R$63:$AA$63,0)))</f>
        <v/>
      </c>
      <c r="U98" s="245" t="str">
        <f>IF(OR($C82="",INDEX($R82:$AA82,MATCH($AB98,$R$63:$AA$63,0))="",$E82&lt;&gt;"Yes",COUNTIF($H$25:$H$35,$C82)&gt;0,COUNTIF($D$25:$D$34,$C82)&gt;0),"",INDEX($R82:$AA82,MATCH($AB98,$R$63:$AA$63,0)))</f>
        <v/>
      </c>
      <c r="V98" s="245" t="str">
        <f>IF(OR($C83="",INDEX($R83:$AA83,MATCH($AB98,$R$63:$AA$63,0))="",$E83&lt;&gt;"Yes",COUNTIF($H$25:$H$35,$C83)&gt;0,COUNTIF($D$25:$D$34,$C83)&gt;0),"",INDEX($R83:$AA83,MATCH($AB98,$R$63:$AA$63,0)))</f>
        <v/>
      </c>
      <c r="X98">
        <v>11</v>
      </c>
      <c r="Y98" t="s">
        <v>281</v>
      </c>
      <c r="Z98" t="s">
        <v>283</v>
      </c>
      <c r="AA98" t="str">
        <f t="shared" si="17"/>
        <v>ST</v>
      </c>
      <c r="AB98" t="str">
        <f t="shared" si="18"/>
        <v>ST</v>
      </c>
    </row>
    <row r="99" spans="2:30" hidden="1" outlineLevel="1" x14ac:dyDescent="0.45"/>
    <row r="100" spans="2:30" hidden="1" outlineLevel="1" x14ac:dyDescent="0.45"/>
    <row r="101" spans="2:30" collapsed="1" x14ac:dyDescent="0.45"/>
    <row r="102" spans="2:30" x14ac:dyDescent="0.45">
      <c r="B102" s="372" t="s">
        <v>325</v>
      </c>
      <c r="C102" s="372"/>
      <c r="D102" s="372"/>
      <c r="E102" s="372"/>
      <c r="F102" s="372"/>
      <c r="G102" s="372"/>
      <c r="H102" s="372"/>
    </row>
    <row r="103" spans="2:30" ht="45.75" customHeight="1" x14ac:dyDescent="0.45">
      <c r="B103" s="227" t="s">
        <v>218</v>
      </c>
      <c r="C103" s="146" t="s">
        <v>219</v>
      </c>
      <c r="D103" s="146" t="s">
        <v>220</v>
      </c>
      <c r="E103" s="146" t="s">
        <v>221</v>
      </c>
      <c r="F103" s="146" t="s">
        <v>222</v>
      </c>
      <c r="G103" s="146" t="s">
        <v>223</v>
      </c>
      <c r="H103" s="146" t="s">
        <v>224</v>
      </c>
      <c r="I103" s="146" t="s">
        <v>225</v>
      </c>
      <c r="J103" s="146" t="s">
        <v>226</v>
      </c>
      <c r="K103" s="146" t="s">
        <v>227</v>
      </c>
      <c r="L103" s="146" t="s">
        <v>228</v>
      </c>
      <c r="M103" s="146" t="s">
        <v>229</v>
      </c>
      <c r="N103" s="146" t="s">
        <v>230</v>
      </c>
      <c r="O103" s="146" t="s">
        <v>231</v>
      </c>
      <c r="P103" s="146" t="s">
        <v>232</v>
      </c>
      <c r="Q103" s="146" t="s">
        <v>233</v>
      </c>
      <c r="R103" s="146" t="s">
        <v>40</v>
      </c>
      <c r="S103" s="146" t="s">
        <v>234</v>
      </c>
      <c r="T103" s="146" t="s">
        <v>235</v>
      </c>
      <c r="U103" s="146" t="s">
        <v>236</v>
      </c>
      <c r="V103" s="146" t="s">
        <v>237</v>
      </c>
      <c r="W103" s="146" t="s">
        <v>238</v>
      </c>
      <c r="X103" s="146" t="s">
        <v>239</v>
      </c>
      <c r="Y103" s="146" t="s">
        <v>240</v>
      </c>
      <c r="Z103" s="146" t="s">
        <v>241</v>
      </c>
      <c r="AA103" s="146" t="s">
        <v>242</v>
      </c>
      <c r="AB103" s="246">
        <v>4.2361111111111099E-2</v>
      </c>
      <c r="AC103" s="146" t="s">
        <v>244</v>
      </c>
      <c r="AD103" s="148" t="s">
        <v>245</v>
      </c>
    </row>
    <row r="104" spans="2:30" x14ac:dyDescent="0.45">
      <c r="B104" s="247" t="s">
        <v>251</v>
      </c>
      <c r="C104" s="248">
        <v>0</v>
      </c>
      <c r="D104" s="248">
        <v>0</v>
      </c>
      <c r="E104" s="248">
        <v>1</v>
      </c>
      <c r="F104" s="248">
        <v>0</v>
      </c>
      <c r="G104" s="248">
        <v>0</v>
      </c>
      <c r="H104" s="248">
        <v>1</v>
      </c>
      <c r="I104" s="248">
        <v>0</v>
      </c>
      <c r="J104" s="248">
        <v>0</v>
      </c>
      <c r="K104" s="248">
        <v>3</v>
      </c>
      <c r="L104" s="248">
        <v>3</v>
      </c>
      <c r="M104" s="248">
        <v>2</v>
      </c>
      <c r="N104" s="248">
        <v>2</v>
      </c>
      <c r="O104" s="248">
        <v>3</v>
      </c>
      <c r="P104" s="248">
        <v>1</v>
      </c>
      <c r="Q104" s="248">
        <v>0</v>
      </c>
      <c r="R104" s="248">
        <v>1</v>
      </c>
      <c r="S104" s="248">
        <v>3</v>
      </c>
      <c r="T104" s="248">
        <v>1</v>
      </c>
      <c r="U104" s="248">
        <v>1</v>
      </c>
      <c r="V104" s="248">
        <v>1</v>
      </c>
      <c r="W104" s="248">
        <v>2</v>
      </c>
      <c r="X104" s="248">
        <v>2</v>
      </c>
      <c r="Y104" s="248">
        <v>3</v>
      </c>
      <c r="Z104" s="248">
        <v>3</v>
      </c>
      <c r="AA104" s="248">
        <v>3</v>
      </c>
      <c r="AB104" s="248">
        <v>3</v>
      </c>
      <c r="AC104" s="248">
        <v>3</v>
      </c>
      <c r="AD104" s="249">
        <v>2</v>
      </c>
    </row>
    <row r="105" spans="2:30" x14ac:dyDescent="0.45">
      <c r="B105" s="247" t="s">
        <v>253</v>
      </c>
      <c r="C105" s="248">
        <v>1</v>
      </c>
      <c r="D105" s="248">
        <v>3</v>
      </c>
      <c r="E105" s="248">
        <v>2</v>
      </c>
      <c r="F105" s="248">
        <v>0</v>
      </c>
      <c r="G105" s="248">
        <v>1</v>
      </c>
      <c r="H105" s="248">
        <v>2</v>
      </c>
      <c r="I105" s="248">
        <v>0</v>
      </c>
      <c r="J105" s="248">
        <v>1</v>
      </c>
      <c r="K105" s="248">
        <v>2</v>
      </c>
      <c r="L105" s="248">
        <v>2</v>
      </c>
      <c r="M105" s="248">
        <v>2</v>
      </c>
      <c r="N105" s="248">
        <v>3</v>
      </c>
      <c r="O105" s="248">
        <v>2</v>
      </c>
      <c r="P105" s="248">
        <v>3</v>
      </c>
      <c r="Q105" s="248">
        <v>2</v>
      </c>
      <c r="R105" s="248">
        <v>3</v>
      </c>
      <c r="S105" s="248">
        <v>2</v>
      </c>
      <c r="T105" s="248">
        <v>3</v>
      </c>
      <c r="U105" s="248">
        <v>3</v>
      </c>
      <c r="V105" s="248">
        <v>3</v>
      </c>
      <c r="W105" s="248">
        <v>2</v>
      </c>
      <c r="X105" s="248">
        <v>3</v>
      </c>
      <c r="Y105" s="248">
        <v>0</v>
      </c>
      <c r="Z105" s="248">
        <v>0</v>
      </c>
      <c r="AA105" s="248">
        <v>0</v>
      </c>
      <c r="AB105" s="248">
        <v>0</v>
      </c>
      <c r="AC105" s="248">
        <v>0</v>
      </c>
      <c r="AD105" s="249">
        <v>0</v>
      </c>
    </row>
    <row r="106" spans="2:30" x14ac:dyDescent="0.45">
      <c r="B106" s="247" t="s">
        <v>260</v>
      </c>
      <c r="C106" s="248">
        <v>0</v>
      </c>
      <c r="D106" s="248">
        <v>0</v>
      </c>
      <c r="E106" s="248">
        <v>2</v>
      </c>
      <c r="F106" s="248">
        <v>0</v>
      </c>
      <c r="G106" s="248">
        <v>0</v>
      </c>
      <c r="H106" s="248">
        <v>2</v>
      </c>
      <c r="I106" s="248">
        <v>0</v>
      </c>
      <c r="J106" s="248">
        <v>3</v>
      </c>
      <c r="K106" s="248">
        <v>3</v>
      </c>
      <c r="L106" s="248">
        <v>3</v>
      </c>
      <c r="M106" s="248">
        <v>3</v>
      </c>
      <c r="N106" s="248">
        <v>3</v>
      </c>
      <c r="O106" s="248">
        <v>3</v>
      </c>
      <c r="P106" s="248">
        <v>3</v>
      </c>
      <c r="Q106" s="248">
        <v>0</v>
      </c>
      <c r="R106" s="248">
        <v>2</v>
      </c>
      <c r="S106" s="248">
        <v>3</v>
      </c>
      <c r="T106" s="248">
        <v>1</v>
      </c>
      <c r="U106" s="248">
        <v>2</v>
      </c>
      <c r="V106" s="248">
        <v>2</v>
      </c>
      <c r="W106" s="248">
        <v>3</v>
      </c>
      <c r="X106" s="248">
        <v>3</v>
      </c>
      <c r="Y106" s="248">
        <v>0</v>
      </c>
      <c r="Z106" s="248">
        <v>0</v>
      </c>
      <c r="AA106" s="248">
        <v>0</v>
      </c>
      <c r="AB106" s="248">
        <v>0</v>
      </c>
      <c r="AC106" s="248">
        <v>0</v>
      </c>
      <c r="AD106" s="249">
        <v>0</v>
      </c>
    </row>
    <row r="107" spans="2:30" x14ac:dyDescent="0.45">
      <c r="B107" s="247" t="s">
        <v>270</v>
      </c>
      <c r="C107" s="248">
        <v>1</v>
      </c>
      <c r="D107" s="248">
        <v>3</v>
      </c>
      <c r="E107" s="248">
        <v>2</v>
      </c>
      <c r="F107" s="248">
        <v>0</v>
      </c>
      <c r="G107" s="248">
        <v>1</v>
      </c>
      <c r="H107" s="248">
        <v>2</v>
      </c>
      <c r="I107" s="248">
        <v>0</v>
      </c>
      <c r="J107" s="248">
        <v>1</v>
      </c>
      <c r="K107" s="248">
        <v>2</v>
      </c>
      <c r="L107" s="248">
        <v>2</v>
      </c>
      <c r="M107" s="248">
        <v>2</v>
      </c>
      <c r="N107" s="248">
        <v>3</v>
      </c>
      <c r="O107" s="248">
        <v>2</v>
      </c>
      <c r="P107" s="248">
        <v>3</v>
      </c>
      <c r="Q107" s="248">
        <v>2</v>
      </c>
      <c r="R107" s="248">
        <v>3</v>
      </c>
      <c r="S107" s="248">
        <v>2</v>
      </c>
      <c r="T107" s="248">
        <v>3</v>
      </c>
      <c r="U107" s="248">
        <v>3</v>
      </c>
      <c r="V107" s="248">
        <v>3</v>
      </c>
      <c r="W107" s="248">
        <v>2</v>
      </c>
      <c r="X107" s="248">
        <v>3</v>
      </c>
      <c r="Y107" s="248">
        <v>0</v>
      </c>
      <c r="Z107" s="248">
        <v>0</v>
      </c>
      <c r="AA107" s="248">
        <v>0</v>
      </c>
      <c r="AB107" s="248">
        <v>0</v>
      </c>
      <c r="AC107" s="248">
        <v>0</v>
      </c>
      <c r="AD107" s="249">
        <v>0</v>
      </c>
    </row>
    <row r="108" spans="2:30" x14ac:dyDescent="0.45">
      <c r="B108" s="247" t="s">
        <v>273</v>
      </c>
      <c r="C108" s="248">
        <v>0</v>
      </c>
      <c r="D108" s="248">
        <v>1</v>
      </c>
      <c r="E108" s="248">
        <v>2</v>
      </c>
      <c r="F108" s="248">
        <v>0</v>
      </c>
      <c r="G108" s="248">
        <v>1</v>
      </c>
      <c r="H108" s="248">
        <v>3</v>
      </c>
      <c r="I108" s="248">
        <v>0</v>
      </c>
      <c r="J108" s="248">
        <v>2</v>
      </c>
      <c r="K108" s="248">
        <v>3</v>
      </c>
      <c r="L108" s="248">
        <v>3</v>
      </c>
      <c r="M108" s="248">
        <v>3</v>
      </c>
      <c r="N108" s="248">
        <v>3</v>
      </c>
      <c r="O108" s="248">
        <v>3</v>
      </c>
      <c r="P108" s="248">
        <v>3</v>
      </c>
      <c r="Q108" s="248">
        <v>2</v>
      </c>
      <c r="R108" s="248">
        <v>3</v>
      </c>
      <c r="S108" s="248">
        <v>2</v>
      </c>
      <c r="T108" s="248">
        <v>1</v>
      </c>
      <c r="U108" s="248">
        <v>1</v>
      </c>
      <c r="V108" s="248">
        <v>3</v>
      </c>
      <c r="W108" s="248">
        <v>3</v>
      </c>
      <c r="X108" s="248">
        <v>3</v>
      </c>
      <c r="Y108" s="248">
        <v>0</v>
      </c>
      <c r="Z108" s="248">
        <v>0</v>
      </c>
      <c r="AA108" s="248">
        <v>0</v>
      </c>
      <c r="AB108" s="248">
        <v>0</v>
      </c>
      <c r="AC108" s="248">
        <v>0</v>
      </c>
      <c r="AD108" s="249">
        <v>0</v>
      </c>
    </row>
    <row r="109" spans="2:30" x14ac:dyDescent="0.45">
      <c r="B109" s="247" t="s">
        <v>275</v>
      </c>
      <c r="C109" s="248">
        <v>1</v>
      </c>
      <c r="D109" s="248">
        <v>2</v>
      </c>
      <c r="E109" s="248">
        <v>3</v>
      </c>
      <c r="F109" s="248">
        <v>1</v>
      </c>
      <c r="G109" s="248">
        <v>2</v>
      </c>
      <c r="H109" s="248">
        <v>3</v>
      </c>
      <c r="I109" s="248">
        <v>1</v>
      </c>
      <c r="J109" s="248">
        <v>1</v>
      </c>
      <c r="K109" s="248">
        <v>3</v>
      </c>
      <c r="L109" s="248">
        <v>3</v>
      </c>
      <c r="M109" s="248">
        <v>3</v>
      </c>
      <c r="N109" s="248">
        <v>3</v>
      </c>
      <c r="O109" s="248">
        <v>2</v>
      </c>
      <c r="P109" s="248">
        <v>2</v>
      </c>
      <c r="Q109" s="248">
        <v>3</v>
      </c>
      <c r="R109" s="248">
        <v>3</v>
      </c>
      <c r="S109" s="248">
        <v>1</v>
      </c>
      <c r="T109" s="248">
        <v>2</v>
      </c>
      <c r="U109" s="248">
        <v>2</v>
      </c>
      <c r="V109" s="248">
        <v>3</v>
      </c>
      <c r="W109" s="248">
        <v>2</v>
      </c>
      <c r="X109" s="248">
        <v>3</v>
      </c>
      <c r="Y109" s="248">
        <v>0</v>
      </c>
      <c r="Z109" s="248">
        <v>0</v>
      </c>
      <c r="AA109" s="248">
        <v>0</v>
      </c>
      <c r="AB109" s="248">
        <v>0</v>
      </c>
      <c r="AC109" s="248">
        <v>0</v>
      </c>
      <c r="AD109" s="249">
        <v>0</v>
      </c>
    </row>
    <row r="110" spans="2:30" x14ac:dyDescent="0.45">
      <c r="B110" s="247" t="s">
        <v>277</v>
      </c>
      <c r="C110" s="248">
        <v>2</v>
      </c>
      <c r="D110" s="248">
        <v>2</v>
      </c>
      <c r="E110" s="248">
        <v>3</v>
      </c>
      <c r="F110" s="248">
        <v>2</v>
      </c>
      <c r="G110" s="248">
        <v>3</v>
      </c>
      <c r="H110" s="248">
        <v>3</v>
      </c>
      <c r="I110" s="248">
        <v>2</v>
      </c>
      <c r="J110" s="248">
        <v>1</v>
      </c>
      <c r="K110" s="248">
        <v>3</v>
      </c>
      <c r="L110" s="248">
        <v>2</v>
      </c>
      <c r="M110" s="248">
        <v>3</v>
      </c>
      <c r="N110" s="248">
        <v>2</v>
      </c>
      <c r="O110" s="248">
        <v>2</v>
      </c>
      <c r="P110" s="248">
        <v>1</v>
      </c>
      <c r="Q110" s="248">
        <v>3</v>
      </c>
      <c r="R110" s="248">
        <v>2</v>
      </c>
      <c r="S110" s="248">
        <v>1</v>
      </c>
      <c r="T110" s="248">
        <v>2</v>
      </c>
      <c r="U110" s="248">
        <v>2</v>
      </c>
      <c r="V110" s="248">
        <v>2</v>
      </c>
      <c r="W110" s="248">
        <v>1</v>
      </c>
      <c r="X110" s="248">
        <v>2</v>
      </c>
      <c r="Y110" s="248">
        <v>0</v>
      </c>
      <c r="Z110" s="248">
        <v>0</v>
      </c>
      <c r="AA110" s="248">
        <v>0</v>
      </c>
      <c r="AB110" s="248">
        <v>0</v>
      </c>
      <c r="AC110" s="248">
        <v>0</v>
      </c>
      <c r="AD110" s="249">
        <v>0</v>
      </c>
    </row>
    <row r="111" spans="2:30" x14ac:dyDescent="0.45">
      <c r="B111" s="247" t="s">
        <v>279</v>
      </c>
      <c r="C111" s="248">
        <v>2</v>
      </c>
      <c r="D111" s="248">
        <v>3</v>
      </c>
      <c r="E111" s="248">
        <v>3</v>
      </c>
      <c r="F111" s="248">
        <v>2</v>
      </c>
      <c r="G111" s="248">
        <v>2</v>
      </c>
      <c r="H111" s="248">
        <v>2</v>
      </c>
      <c r="I111" s="248">
        <v>1</v>
      </c>
      <c r="J111" s="248">
        <v>0</v>
      </c>
      <c r="K111" s="248">
        <v>2</v>
      </c>
      <c r="L111" s="248">
        <v>2</v>
      </c>
      <c r="M111" s="248">
        <v>2</v>
      </c>
      <c r="N111" s="248">
        <v>2</v>
      </c>
      <c r="O111" s="248">
        <v>1</v>
      </c>
      <c r="P111" s="248">
        <v>1</v>
      </c>
      <c r="Q111" s="248">
        <v>3</v>
      </c>
      <c r="R111" s="248">
        <v>3</v>
      </c>
      <c r="S111" s="248">
        <v>1</v>
      </c>
      <c r="T111" s="248">
        <v>3</v>
      </c>
      <c r="U111" s="248">
        <v>3</v>
      </c>
      <c r="V111" s="248">
        <v>3</v>
      </c>
      <c r="W111" s="248">
        <v>1</v>
      </c>
      <c r="X111" s="248">
        <v>3</v>
      </c>
      <c r="Y111" s="248">
        <v>0</v>
      </c>
      <c r="Z111" s="248">
        <v>0</v>
      </c>
      <c r="AA111" s="248">
        <v>0</v>
      </c>
      <c r="AB111" s="248">
        <v>0</v>
      </c>
      <c r="AC111" s="248">
        <v>0</v>
      </c>
      <c r="AD111" s="249">
        <v>0</v>
      </c>
    </row>
    <row r="112" spans="2:30" x14ac:dyDescent="0.45">
      <c r="B112" s="247" t="s">
        <v>281</v>
      </c>
      <c r="C112" s="248">
        <v>2</v>
      </c>
      <c r="D112" s="248">
        <v>3</v>
      </c>
      <c r="E112" s="248">
        <v>3</v>
      </c>
      <c r="F112" s="248">
        <v>2</v>
      </c>
      <c r="G112" s="248">
        <v>2</v>
      </c>
      <c r="H112" s="248">
        <v>2</v>
      </c>
      <c r="I112" s="248">
        <v>1</v>
      </c>
      <c r="J112" s="248">
        <v>0</v>
      </c>
      <c r="K112" s="248">
        <v>2</v>
      </c>
      <c r="L112" s="248">
        <v>2</v>
      </c>
      <c r="M112" s="248">
        <v>2</v>
      </c>
      <c r="N112" s="248">
        <v>2</v>
      </c>
      <c r="O112" s="248">
        <v>1</v>
      </c>
      <c r="P112" s="248">
        <v>1</v>
      </c>
      <c r="Q112" s="248">
        <v>3</v>
      </c>
      <c r="R112" s="248">
        <v>3</v>
      </c>
      <c r="S112" s="248">
        <v>1</v>
      </c>
      <c r="T112" s="248">
        <v>3</v>
      </c>
      <c r="U112" s="248">
        <v>3</v>
      </c>
      <c r="V112" s="248">
        <v>3</v>
      </c>
      <c r="W112" s="248">
        <v>1</v>
      </c>
      <c r="X112" s="248">
        <v>3</v>
      </c>
      <c r="Y112" s="248">
        <v>0</v>
      </c>
      <c r="Z112" s="248">
        <v>0</v>
      </c>
      <c r="AA112" s="248">
        <v>0</v>
      </c>
      <c r="AB112" s="248">
        <v>0</v>
      </c>
      <c r="AC112" s="248">
        <v>0</v>
      </c>
      <c r="AD112" s="249">
        <v>0</v>
      </c>
    </row>
    <row r="113" spans="2:30" x14ac:dyDescent="0.45">
      <c r="B113" s="250" t="s">
        <v>283</v>
      </c>
      <c r="C113" s="251">
        <v>0</v>
      </c>
      <c r="D113" s="251">
        <v>1</v>
      </c>
      <c r="E113" s="251">
        <v>3</v>
      </c>
      <c r="F113" s="251">
        <v>3</v>
      </c>
      <c r="G113" s="251">
        <v>2</v>
      </c>
      <c r="H113" s="251">
        <v>2</v>
      </c>
      <c r="I113" s="251">
        <v>1</v>
      </c>
      <c r="J113" s="251">
        <v>3</v>
      </c>
      <c r="K113" s="251">
        <v>3</v>
      </c>
      <c r="L113" s="251">
        <v>2</v>
      </c>
      <c r="M113" s="251">
        <v>3</v>
      </c>
      <c r="N113" s="251">
        <v>3</v>
      </c>
      <c r="O113" s="251">
        <v>3</v>
      </c>
      <c r="P113" s="251">
        <v>0</v>
      </c>
      <c r="Q113" s="251">
        <v>3</v>
      </c>
      <c r="R113" s="251">
        <v>2</v>
      </c>
      <c r="S113" s="251">
        <v>3</v>
      </c>
      <c r="T113" s="251">
        <v>3</v>
      </c>
      <c r="U113" s="251">
        <v>3</v>
      </c>
      <c r="V113" s="251">
        <v>2</v>
      </c>
      <c r="W113" s="251">
        <v>3</v>
      </c>
      <c r="X113" s="251">
        <v>2</v>
      </c>
      <c r="Y113" s="251">
        <v>0</v>
      </c>
      <c r="Z113" s="251">
        <v>0</v>
      </c>
      <c r="AA113" s="251">
        <v>0</v>
      </c>
      <c r="AB113" s="251">
        <v>0</v>
      </c>
      <c r="AC113" s="251">
        <v>0</v>
      </c>
      <c r="AD113" s="252">
        <v>0</v>
      </c>
    </row>
    <row r="116" spans="2:30" x14ac:dyDescent="0.45">
      <c r="B116" s="390" t="s">
        <v>326</v>
      </c>
      <c r="C116" s="390"/>
      <c r="D116" s="390"/>
      <c r="E116" s="390"/>
      <c r="F116" s="390"/>
      <c r="G116" s="390"/>
      <c r="H116" s="136"/>
      <c r="I116" s="136"/>
    </row>
    <row r="117" spans="2:30" x14ac:dyDescent="0.45">
      <c r="B117" s="182" t="s">
        <v>154</v>
      </c>
      <c r="C117" s="182" t="s">
        <v>18</v>
      </c>
      <c r="D117" s="253" t="s">
        <v>218</v>
      </c>
      <c r="E117" s="254" t="s">
        <v>318</v>
      </c>
      <c r="F117" s="254" t="s">
        <v>327</v>
      </c>
      <c r="G117" s="254" t="s">
        <v>328</v>
      </c>
      <c r="H117" s="254" t="s">
        <v>329</v>
      </c>
      <c r="I117" s="254" t="s">
        <v>330</v>
      </c>
    </row>
    <row r="118" spans="2:30" x14ac:dyDescent="0.45">
      <c r="B118" s="217">
        <f>IF($C118="","",ROWS($B$118:B118))</f>
        <v>1</v>
      </c>
      <c r="C118" s="230" t="str">
        <f t="shared" ref="C118:C137" si="19">IF($C64="","",$C64)</f>
        <v>Aoife Kennan</v>
      </c>
      <c r="D118" s="255" t="str">
        <f t="shared" ref="D118:D137" si="20">IF($C118="","",$D64)</f>
        <v>GK</v>
      </c>
      <c r="E118" s="256" t="s">
        <v>308</v>
      </c>
      <c r="F118" s="257"/>
      <c r="G118" s="258"/>
      <c r="H118" s="248"/>
      <c r="I118" s="259" t="str">
        <f t="shared" ref="I118:I137" si="21">IF($C118="","",IF(AND($E118="Injured",$G118&lt;&gt;"",$H118&lt;&gt;""),$G118+$H118*7,""))</f>
        <v/>
      </c>
    </row>
    <row r="119" spans="2:30" x14ac:dyDescent="0.45">
      <c r="B119" s="221">
        <f>IF($C119="","",ROWS($B$118:B119))</f>
        <v>2</v>
      </c>
      <c r="C119" s="234" t="str">
        <f t="shared" si="19"/>
        <v>Stella McEvoy</v>
      </c>
      <c r="D119" s="260" t="str">
        <f t="shared" si="20"/>
        <v>LB / RB / CB</v>
      </c>
      <c r="E119" s="256" t="s">
        <v>308</v>
      </c>
      <c r="F119" s="257"/>
      <c r="G119" s="258"/>
      <c r="H119" s="248"/>
      <c r="I119" s="259" t="str">
        <f t="shared" si="21"/>
        <v/>
      </c>
    </row>
    <row r="120" spans="2:30" x14ac:dyDescent="0.45">
      <c r="B120" s="217">
        <f>IF($C120="","",ROWS($B$118:B120))</f>
        <v>3</v>
      </c>
      <c r="C120" s="230" t="str">
        <f t="shared" si="19"/>
        <v>Zara Power</v>
      </c>
      <c r="D120" s="255" t="str">
        <f t="shared" si="20"/>
        <v>RB</v>
      </c>
      <c r="E120" s="256" t="s">
        <v>309</v>
      </c>
      <c r="F120" s="257" t="s">
        <v>331</v>
      </c>
      <c r="G120" s="258">
        <v>46255</v>
      </c>
      <c r="H120" s="248">
        <v>6</v>
      </c>
      <c r="I120" s="259">
        <f t="shared" si="21"/>
        <v>46297</v>
      </c>
    </row>
    <row r="121" spans="2:30" x14ac:dyDescent="0.45">
      <c r="B121" s="221">
        <f>IF($C121="","",ROWS($B$118:B121))</f>
        <v>4</v>
      </c>
      <c r="C121" s="234" t="str">
        <f t="shared" si="19"/>
        <v>Heidi Cerubini Dunne</v>
      </c>
      <c r="D121" s="260" t="str">
        <f t="shared" si="20"/>
        <v>LB / RB</v>
      </c>
      <c r="E121" s="256" t="s">
        <v>308</v>
      </c>
      <c r="F121" s="257"/>
      <c r="G121" s="258"/>
      <c r="H121" s="248"/>
      <c r="I121" s="259" t="str">
        <f t="shared" si="21"/>
        <v/>
      </c>
    </row>
    <row r="122" spans="2:30" x14ac:dyDescent="0.45">
      <c r="B122" s="217">
        <f>IF($C122="","",ROWS($B$118:B122))</f>
        <v>5</v>
      </c>
      <c r="C122" s="230" t="str">
        <f t="shared" si="19"/>
        <v>Roisin Offenhausen</v>
      </c>
      <c r="D122" s="255" t="str">
        <f>IF($C122="","",$D68)</f>
        <v>RW / CM / ST</v>
      </c>
      <c r="E122" s="256" t="s">
        <v>308</v>
      </c>
      <c r="F122" s="257"/>
      <c r="G122" s="258"/>
      <c r="H122" s="248"/>
      <c r="I122" s="259" t="str">
        <f t="shared" si="21"/>
        <v/>
      </c>
    </row>
    <row r="123" spans="2:30" x14ac:dyDescent="0.45">
      <c r="B123" s="221">
        <f>IF($C123="","",ROWS($B$118:B123))</f>
        <v>6</v>
      </c>
      <c r="C123" s="234" t="str">
        <f t="shared" si="19"/>
        <v>Naomi Adewoyin</v>
      </c>
      <c r="D123" s="260" t="str">
        <f t="shared" si="20"/>
        <v>CM / ACM</v>
      </c>
      <c r="E123" s="256" t="s">
        <v>308</v>
      </c>
      <c r="F123" s="257"/>
      <c r="G123" s="258"/>
      <c r="H123" s="248"/>
      <c r="I123" s="259" t="str">
        <f t="shared" si="21"/>
        <v/>
      </c>
    </row>
    <row r="124" spans="2:30" x14ac:dyDescent="0.45">
      <c r="B124" s="217">
        <f>IF($C124="","",ROWS($B$118:B124))</f>
        <v>7</v>
      </c>
      <c r="C124" s="230" t="str">
        <f t="shared" si="19"/>
        <v>Amber Kilalee</v>
      </c>
      <c r="D124" s="255" t="str">
        <f t="shared" si="20"/>
        <v>LW / ST</v>
      </c>
      <c r="E124" s="256" t="s">
        <v>308</v>
      </c>
      <c r="F124" s="257"/>
      <c r="G124" s="258"/>
      <c r="H124" s="248"/>
      <c r="I124" s="259" t="str">
        <f t="shared" si="21"/>
        <v/>
      </c>
    </row>
    <row r="125" spans="2:30" x14ac:dyDescent="0.45">
      <c r="B125" s="221">
        <f>IF($C125="","",ROWS($B$118:B125))</f>
        <v>8</v>
      </c>
      <c r="C125" s="234" t="str">
        <f t="shared" si="19"/>
        <v>Shauna Kavanagh</v>
      </c>
      <c r="D125" s="260" t="str">
        <f t="shared" si="20"/>
        <v>ST / RW</v>
      </c>
      <c r="E125" s="256" t="s">
        <v>308</v>
      </c>
      <c r="F125" s="257"/>
      <c r="G125" s="258"/>
      <c r="H125" s="248"/>
      <c r="I125" s="259" t="str">
        <f t="shared" si="21"/>
        <v/>
      </c>
    </row>
    <row r="126" spans="2:30" x14ac:dyDescent="0.45">
      <c r="B126" s="217">
        <f>IF($C126="","",ROWS($B$118:B126))</f>
        <v>9</v>
      </c>
      <c r="C126" s="230" t="str">
        <f t="shared" si="19"/>
        <v>Tara Brannigan</v>
      </c>
      <c r="D126" s="255" t="str">
        <f t="shared" si="20"/>
        <v>DM / CM</v>
      </c>
      <c r="E126" s="256" t="s">
        <v>308</v>
      </c>
      <c r="F126" s="257"/>
      <c r="G126" s="258"/>
      <c r="H126" s="248"/>
      <c r="I126" s="259" t="str">
        <f t="shared" si="21"/>
        <v/>
      </c>
    </row>
    <row r="127" spans="2:30" x14ac:dyDescent="0.45">
      <c r="B127" s="221">
        <f>IF($C127="","",ROWS($B$118:B127))</f>
        <v>10</v>
      </c>
      <c r="C127" s="234" t="str">
        <f t="shared" si="19"/>
        <v>Semilore Adesanya</v>
      </c>
      <c r="D127" s="260" t="str">
        <f t="shared" si="20"/>
        <v>CB / CM</v>
      </c>
      <c r="E127" s="256" t="s">
        <v>308</v>
      </c>
      <c r="F127" s="257"/>
      <c r="G127" s="258"/>
      <c r="H127" s="248"/>
      <c r="I127" s="259" t="str">
        <f t="shared" si="21"/>
        <v/>
      </c>
    </row>
    <row r="128" spans="2:30" x14ac:dyDescent="0.45">
      <c r="B128" s="217">
        <f>IF($C128="","",ROWS($B$118:B128))</f>
        <v>11</v>
      </c>
      <c r="C128" s="230" t="str">
        <f t="shared" si="19"/>
        <v>Hannah Fleming</v>
      </c>
      <c r="D128" s="255" t="str">
        <f t="shared" si="20"/>
        <v>LB / LW</v>
      </c>
      <c r="E128" s="256" t="s">
        <v>308</v>
      </c>
      <c r="F128" s="257"/>
      <c r="G128" s="258"/>
      <c r="H128" s="248"/>
      <c r="I128" s="259" t="str">
        <f t="shared" si="21"/>
        <v/>
      </c>
    </row>
    <row r="129" spans="2:9" x14ac:dyDescent="0.45">
      <c r="B129" s="221">
        <f>IF($C129="","",ROWS($B$118:B129))</f>
        <v>12</v>
      </c>
      <c r="C129" s="234" t="str">
        <f t="shared" si="19"/>
        <v>Emma Kelly</v>
      </c>
      <c r="D129" s="260" t="str">
        <f t="shared" si="20"/>
        <v>CB</v>
      </c>
      <c r="E129" s="256" t="s">
        <v>308</v>
      </c>
      <c r="F129" s="257"/>
      <c r="G129" s="258"/>
      <c r="H129" s="248"/>
      <c r="I129" s="259" t="str">
        <f t="shared" si="21"/>
        <v/>
      </c>
    </row>
    <row r="130" spans="2:9" x14ac:dyDescent="0.45">
      <c r="B130" s="217">
        <f>IF($C130="","",ROWS($B$118:B130))</f>
        <v>13</v>
      </c>
      <c r="C130" s="230" t="str">
        <f t="shared" si="19"/>
        <v>Roma Memon</v>
      </c>
      <c r="D130" s="255" t="str">
        <f t="shared" si="20"/>
        <v>DM / CM</v>
      </c>
      <c r="E130" s="256" t="s">
        <v>308</v>
      </c>
      <c r="F130" s="257"/>
      <c r="G130" s="258"/>
      <c r="H130" s="248"/>
      <c r="I130" s="259" t="str">
        <f t="shared" si="21"/>
        <v/>
      </c>
    </row>
    <row r="131" spans="2:9" x14ac:dyDescent="0.45">
      <c r="B131" s="221">
        <f>IF($C131="","",ROWS($B$118:B131))</f>
        <v>14</v>
      </c>
      <c r="C131" s="234" t="str">
        <f t="shared" si="19"/>
        <v>Emma Dromgoole</v>
      </c>
      <c r="D131" s="260" t="str">
        <f t="shared" si="20"/>
        <v>RW / ST</v>
      </c>
      <c r="E131" s="256" t="s">
        <v>309</v>
      </c>
      <c r="F131" s="257" t="s">
        <v>332</v>
      </c>
      <c r="G131" s="258">
        <v>46248</v>
      </c>
      <c r="H131" s="248">
        <v>2</v>
      </c>
      <c r="I131" s="259">
        <f t="shared" si="21"/>
        <v>46262</v>
      </c>
    </row>
    <row r="132" spans="2:9" x14ac:dyDescent="0.45">
      <c r="B132" s="217">
        <f>IF($C132="","",ROWS($B$118:B132))</f>
        <v>15</v>
      </c>
      <c r="C132" s="230" t="str">
        <f t="shared" si="19"/>
        <v>Elsie Morrison</v>
      </c>
      <c r="D132" s="255" t="str">
        <f t="shared" si="20"/>
        <v>LW / ST / GK</v>
      </c>
      <c r="E132" s="256" t="s">
        <v>308</v>
      </c>
      <c r="F132" s="257"/>
      <c r="G132" s="258"/>
      <c r="H132" s="248"/>
      <c r="I132" s="259" t="str">
        <f t="shared" si="21"/>
        <v/>
      </c>
    </row>
    <row r="133" spans="2:9" x14ac:dyDescent="0.45">
      <c r="B133" s="221">
        <f>IF($C133="","",ROWS($B$118:B133))</f>
        <v>16</v>
      </c>
      <c r="C133" s="234" t="str">
        <f t="shared" si="19"/>
        <v>Zara Freeman</v>
      </c>
      <c r="D133" s="260" t="str">
        <f t="shared" si="20"/>
        <v xml:space="preserve">ST </v>
      </c>
      <c r="E133" s="256" t="s">
        <v>308</v>
      </c>
      <c r="F133" s="257"/>
      <c r="G133" s="258"/>
      <c r="H133" s="248"/>
      <c r="I133" s="259" t="str">
        <f t="shared" si="21"/>
        <v/>
      </c>
    </row>
    <row r="134" spans="2:9" x14ac:dyDescent="0.45">
      <c r="B134" s="217">
        <f>IF($C134="","",ROWS($B$118:B134))</f>
        <v>17</v>
      </c>
      <c r="C134" s="230" t="str">
        <f t="shared" si="19"/>
        <v>Mariana</v>
      </c>
      <c r="D134" s="255" t="str">
        <f t="shared" si="20"/>
        <v>RB / CB</v>
      </c>
      <c r="E134" s="256" t="s">
        <v>308</v>
      </c>
      <c r="F134" s="257"/>
      <c r="G134" s="258"/>
      <c r="H134" s="248"/>
      <c r="I134" s="259" t="str">
        <f t="shared" si="21"/>
        <v/>
      </c>
    </row>
    <row r="135" spans="2:9" x14ac:dyDescent="0.45">
      <c r="B135" s="221">
        <f>IF($C135="","",ROWS($B$118:B135))</f>
        <v>18</v>
      </c>
      <c r="C135" s="234" t="str">
        <f t="shared" si="19"/>
        <v>Rama</v>
      </c>
      <c r="D135" s="260" t="str">
        <f t="shared" si="20"/>
        <v>RW / ST / LW</v>
      </c>
      <c r="E135" s="256"/>
      <c r="F135" s="257"/>
      <c r="G135" s="258"/>
      <c r="H135" s="248"/>
      <c r="I135" s="259" t="str">
        <f t="shared" si="21"/>
        <v/>
      </c>
    </row>
    <row r="136" spans="2:9" x14ac:dyDescent="0.45">
      <c r="B136" s="217" t="str">
        <f>IF($C136="","",ROWS($B$118:B136))</f>
        <v/>
      </c>
      <c r="C136" s="230" t="str">
        <f t="shared" si="19"/>
        <v/>
      </c>
      <c r="D136" s="255" t="str">
        <f t="shared" si="20"/>
        <v/>
      </c>
      <c r="E136" s="256"/>
      <c r="F136" s="257"/>
      <c r="G136" s="258"/>
      <c r="H136" s="248"/>
      <c r="I136" s="259" t="str">
        <f t="shared" si="21"/>
        <v/>
      </c>
    </row>
    <row r="137" spans="2:9" x14ac:dyDescent="0.45">
      <c r="B137" s="221" t="str">
        <f>IF($C137="","",ROWS($B$118:B137))</f>
        <v/>
      </c>
      <c r="C137" s="234" t="str">
        <f t="shared" si="19"/>
        <v/>
      </c>
      <c r="D137" s="260" t="str">
        <f t="shared" si="20"/>
        <v/>
      </c>
      <c r="E137" s="261"/>
      <c r="F137" s="262"/>
      <c r="G137" s="263"/>
      <c r="H137" s="251"/>
      <c r="I137" s="264" t="str">
        <f t="shared" si="21"/>
        <v/>
      </c>
    </row>
    <row r="138" spans="2:9" x14ac:dyDescent="0.45">
      <c r="E138" s="265"/>
      <c r="F138" s="265"/>
      <c r="G138" s="265"/>
      <c r="H138" s="265"/>
      <c r="I138" s="265"/>
    </row>
    <row r="139" spans="2:9" x14ac:dyDescent="0.45">
      <c r="B139" s="266" t="s">
        <v>333</v>
      </c>
      <c r="D139" s="267" t="str">
        <f t="array" ref="D139">COUNTIF($E$64:$E$83,"Yes")&amp;" of "&amp;SUMPRODUCT(--($C$64:$C$83&lt;&gt;""))</f>
        <v>16 of 18</v>
      </c>
    </row>
    <row r="140" spans="2:9" x14ac:dyDescent="0.45">
      <c r="B140" s="268" t="s">
        <v>309</v>
      </c>
      <c r="D140" s="269">
        <f>COUNTIF($E$118:$E$137,"Injured")</f>
        <v>2</v>
      </c>
    </row>
    <row r="141" spans="2:9" x14ac:dyDescent="0.45">
      <c r="B141" s="268" t="s">
        <v>310</v>
      </c>
      <c r="D141" s="269">
        <f>COUNTIF($E$118:$E$137,"Absent")</f>
        <v>0</v>
      </c>
    </row>
    <row r="142" spans="2:9" x14ac:dyDescent="0.45">
      <c r="B142" s="268"/>
      <c r="D142" s="269"/>
    </row>
  </sheetData>
  <mergeCells count="53">
    <mergeCell ref="R62:AA62"/>
    <mergeCell ref="B86:F86"/>
    <mergeCell ref="B102:H102"/>
    <mergeCell ref="B116:G116"/>
    <mergeCell ref="M18:O18"/>
    <mergeCell ref="M19:O19"/>
    <mergeCell ref="B23:H23"/>
    <mergeCell ref="B38:G38"/>
    <mergeCell ref="B62:P62"/>
    <mergeCell ref="P15:R15"/>
    <mergeCell ref="S15:U15"/>
    <mergeCell ref="G16:I16"/>
    <mergeCell ref="S16:U16"/>
    <mergeCell ref="J16:L16"/>
    <mergeCell ref="M16:O16"/>
    <mergeCell ref="P16:R16"/>
    <mergeCell ref="B14:C14"/>
    <mergeCell ref="D14:F14"/>
    <mergeCell ref="G15:I15"/>
    <mergeCell ref="J15:L15"/>
    <mergeCell ref="M15:O15"/>
    <mergeCell ref="P12:R12"/>
    <mergeCell ref="S12:U12"/>
    <mergeCell ref="G13:I13"/>
    <mergeCell ref="J13:L13"/>
    <mergeCell ref="P13:R13"/>
    <mergeCell ref="S13:U13"/>
    <mergeCell ref="J12:L12"/>
    <mergeCell ref="M12:O12"/>
    <mergeCell ref="B13:C13"/>
    <mergeCell ref="D13:F13"/>
    <mergeCell ref="M13:O13"/>
    <mergeCell ref="B11:C11"/>
    <mergeCell ref="D11:F11"/>
    <mergeCell ref="B12:C12"/>
    <mergeCell ref="D12:F12"/>
    <mergeCell ref="G12:I12"/>
    <mergeCell ref="B10:C10"/>
    <mergeCell ref="D10:F10"/>
    <mergeCell ref="G10:I10"/>
    <mergeCell ref="M10:O10"/>
    <mergeCell ref="S10:U10"/>
    <mergeCell ref="J10:L10"/>
    <mergeCell ref="P10:R10"/>
    <mergeCell ref="B2:F2"/>
    <mergeCell ref="B3:L3"/>
    <mergeCell ref="B8:F8"/>
    <mergeCell ref="G8:U8"/>
    <mergeCell ref="G9:I9"/>
    <mergeCell ref="M9:O9"/>
    <mergeCell ref="S9:U9"/>
    <mergeCell ref="J9:L9"/>
    <mergeCell ref="P9:R9"/>
  </mergeCells>
  <conditionalFormatting sqref="E118:E137">
    <cfRule type="containsText" dxfId="11" priority="2" operator="containsText" text="Injured">
      <formula>NOT(ISERROR(SEARCH("Injured",E118)))</formula>
    </cfRule>
    <cfRule type="containsText" dxfId="10" priority="3" operator="containsText" text="Holiday">
      <formula>NOT(ISERROR(SEARCH("Holiday",E118)))</formula>
    </cfRule>
    <cfRule type="containsText" dxfId="9" priority="4" operator="containsText" text="Suspended">
      <formula>NOT(ISERROR(SEARCH("Suspended",E118)))</formula>
    </cfRule>
  </conditionalFormatting>
  <conditionalFormatting sqref="G40:G59">
    <cfRule type="containsText" dxfId="8" priority="5" operator="containsText" text="Unavailable">
      <formula>NOT(ISERROR(SEARCH("Unavailable",G40)))</formula>
    </cfRule>
  </conditionalFormatting>
  <conditionalFormatting sqref="G9:U16">
    <cfRule type="expression" dxfId="7"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200"/>
  <sheetViews>
    <sheetView topLeftCell="C1" zoomScaleNormal="100" workbookViewId="0">
      <pane ySplit="6" topLeftCell="A7" activePane="bottomLeft" state="frozen"/>
      <selection pane="bottomLeft" activeCell="Q3" sqref="Q3"/>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3.59765625" customWidth="1"/>
    <col min="10" max="10" width="10.73046875" customWidth="1"/>
    <col min="11" max="16" width="23.1328125" customWidth="1"/>
    <col min="17" max="17" width="12.59765625" customWidth="1"/>
    <col min="18" max="18" width="30.1328125" customWidth="1"/>
    <col min="19" max="28" width="23.1328125" customWidth="1"/>
    <col min="29" max="30" width="56.86328125" customWidth="1"/>
  </cols>
  <sheetData>
    <row r="1" spans="1:30" x14ac:dyDescent="0.45">
      <c r="A1" s="270"/>
      <c r="B1" s="270"/>
      <c r="C1" s="270"/>
      <c r="D1" s="270"/>
      <c r="E1" s="270"/>
      <c r="F1" s="270"/>
      <c r="G1" s="270"/>
      <c r="H1" s="270"/>
    </row>
    <row r="2" spans="1:30" ht="18" customHeight="1" x14ac:dyDescent="0.55000000000000004">
      <c r="A2" s="270"/>
      <c r="B2" s="440" t="s">
        <v>334</v>
      </c>
      <c r="C2" s="440"/>
      <c r="D2" s="440"/>
      <c r="E2" s="270"/>
      <c r="F2" s="270"/>
      <c r="G2" s="270"/>
      <c r="H2" s="270"/>
    </row>
    <row r="3" spans="1:30" x14ac:dyDescent="0.45">
      <c r="A3" s="270"/>
      <c r="B3" s="441" t="s">
        <v>335</v>
      </c>
      <c r="C3" s="441"/>
      <c r="D3" s="441"/>
      <c r="E3" s="441"/>
      <c r="F3" s="441"/>
      <c r="G3" s="441"/>
      <c r="H3" s="441"/>
    </row>
    <row r="4" spans="1:30" x14ac:dyDescent="0.45">
      <c r="A4" s="270"/>
      <c r="B4" s="270"/>
      <c r="C4" s="270"/>
      <c r="D4" s="270"/>
      <c r="E4" s="270"/>
      <c r="F4" s="270"/>
      <c r="G4" s="270"/>
      <c r="H4" s="270"/>
    </row>
    <row r="5" spans="1:30" x14ac:dyDescent="0.45">
      <c r="A5" s="270"/>
      <c r="B5" s="91" t="s">
        <v>299</v>
      </c>
      <c r="C5" s="270"/>
      <c r="D5" s="270"/>
      <c r="E5" s="270"/>
      <c r="F5" s="270"/>
      <c r="G5" s="270"/>
      <c r="H5" s="270"/>
    </row>
    <row r="6" spans="1:30" ht="15.75" customHeight="1" x14ac:dyDescent="0.5">
      <c r="A6" s="270"/>
      <c r="B6" s="272">
        <v>1</v>
      </c>
      <c r="C6" s="442" t="str">
        <f>"GW "&amp;$B$6&amp;" of 22"&amp;IF($D$10="(not set)",""," — vs "&amp;$D$10&amp;" ("&amp;$D$11&amp;")"&amp;IF($D$12="Not played",""," — "&amp;$D$12&amp;" "&amp;$D$13))</f>
        <v>GW 1 of 22 — vs Enniskerry FC (Home)</v>
      </c>
      <c r="D6" s="442"/>
      <c r="E6" s="442"/>
      <c r="F6" s="442"/>
      <c r="G6" s="442"/>
      <c r="H6" s="270"/>
    </row>
    <row r="7" spans="1:30" x14ac:dyDescent="0.45">
      <c r="A7" s="270"/>
      <c r="B7" s="270"/>
      <c r="C7" s="270"/>
      <c r="D7" s="270"/>
      <c r="E7" s="270"/>
      <c r="F7" s="270"/>
      <c r="G7" s="270"/>
      <c r="H7" s="270"/>
      <c r="J7" s="443" t="s">
        <v>336</v>
      </c>
      <c r="K7" s="443"/>
      <c r="L7" s="443"/>
      <c r="M7" s="443"/>
      <c r="N7" s="443"/>
      <c r="O7" s="443"/>
      <c r="P7" s="443"/>
      <c r="Q7" s="443"/>
      <c r="R7" s="443"/>
      <c r="S7" s="443"/>
      <c r="T7" s="443"/>
      <c r="U7" s="443"/>
      <c r="V7" s="443"/>
      <c r="W7" s="443"/>
      <c r="X7" s="443"/>
      <c r="Y7" s="443"/>
      <c r="Z7" s="443"/>
      <c r="AA7" s="443"/>
      <c r="AB7" s="443"/>
      <c r="AC7" s="443"/>
      <c r="AD7" s="443"/>
    </row>
    <row r="8" spans="1:30" ht="26.25" customHeight="1" x14ac:dyDescent="0.45">
      <c r="A8" s="270"/>
      <c r="B8" s="444" t="s">
        <v>337</v>
      </c>
      <c r="C8" s="444"/>
      <c r="D8" s="444"/>
      <c r="E8" s="444"/>
      <c r="F8" s="444"/>
      <c r="J8" s="273" t="s">
        <v>338</v>
      </c>
      <c r="K8" s="273" t="s">
        <v>339</v>
      </c>
      <c r="L8" s="273" t="s">
        <v>340</v>
      </c>
      <c r="M8" s="273" t="s">
        <v>341</v>
      </c>
      <c r="N8" s="273" t="s">
        <v>342</v>
      </c>
      <c r="O8" s="273" t="s">
        <v>343</v>
      </c>
      <c r="P8" s="273" t="s">
        <v>344</v>
      </c>
      <c r="Q8" s="273" t="s">
        <v>345</v>
      </c>
      <c r="R8" s="273" t="s">
        <v>346</v>
      </c>
      <c r="S8" s="273" t="s">
        <v>347</v>
      </c>
      <c r="T8" s="273" t="s">
        <v>348</v>
      </c>
      <c r="U8" s="273" t="s">
        <v>349</v>
      </c>
      <c r="V8" s="273" t="s">
        <v>350</v>
      </c>
      <c r="W8" s="273" t="s">
        <v>351</v>
      </c>
      <c r="X8" s="273" t="s">
        <v>352</v>
      </c>
      <c r="Y8" s="273" t="s">
        <v>353</v>
      </c>
      <c r="Z8" s="273" t="s">
        <v>354</v>
      </c>
      <c r="AA8" s="273" t="s">
        <v>355</v>
      </c>
      <c r="AB8" s="273" t="s">
        <v>356</v>
      </c>
      <c r="AC8" s="273" t="s">
        <v>357</v>
      </c>
      <c r="AD8" s="273" t="s">
        <v>358</v>
      </c>
    </row>
    <row r="9" spans="1:30" x14ac:dyDescent="0.45">
      <c r="A9" s="270"/>
      <c r="B9" s="445" t="s">
        <v>302</v>
      </c>
      <c r="C9" s="445"/>
      <c r="D9" s="446">
        <f t="array" ref="D9">IFERROR(IF(INDEX(Attendance!$CP$2:$FY$2,1,($B$6-1)*4+1)="","(not set)",INDEX(Attendance!$CP$2:$FY$2,1,($B$6-1)*4+1)),"(not set)")</f>
        <v>46264</v>
      </c>
      <c r="E9" s="446"/>
      <c r="F9" s="446"/>
      <c r="G9" s="270"/>
      <c r="H9" s="270"/>
      <c r="J9" s="274">
        <v>1</v>
      </c>
      <c r="K9" s="275"/>
      <c r="L9" s="275"/>
      <c r="M9" s="275"/>
      <c r="N9" s="275"/>
      <c r="O9" s="275"/>
      <c r="P9" s="275"/>
      <c r="Q9" s="275"/>
      <c r="R9" s="275"/>
      <c r="S9" s="275"/>
      <c r="T9" s="275"/>
      <c r="U9" s="275"/>
      <c r="V9" s="275"/>
      <c r="W9" s="275"/>
      <c r="X9" s="275"/>
      <c r="Y9" s="275"/>
      <c r="Z9" s="275"/>
      <c r="AA9" s="275"/>
      <c r="AB9" s="275"/>
      <c r="AC9" s="276"/>
      <c r="AD9" s="276"/>
    </row>
    <row r="10" spans="1:30" x14ac:dyDescent="0.45">
      <c r="A10" s="270"/>
      <c r="B10" s="445" t="s">
        <v>359</v>
      </c>
      <c r="C10" s="445"/>
      <c r="D10" s="447" t="str">
        <f t="array" ref="D10">IFERROR(IF(INDEX(Attendance!$CP$3:$FY$3,1,($B$6-1)*4+1)="","(not set)",INDEX(Attendance!$CP$3:$FY$3,1,($B$6-1)*4+1)),"(not set)")</f>
        <v>Enniskerry FC</v>
      </c>
      <c r="E10" s="447"/>
      <c r="F10" s="447"/>
      <c r="G10" s="270"/>
      <c r="H10" s="270"/>
      <c r="J10" s="274">
        <v>2</v>
      </c>
      <c r="K10" s="275"/>
      <c r="L10" s="275"/>
      <c r="M10" s="275"/>
      <c r="N10" s="275"/>
      <c r="O10" s="275"/>
      <c r="P10" s="275"/>
      <c r="Q10" s="275"/>
      <c r="R10" s="275"/>
      <c r="S10" s="275"/>
      <c r="T10" s="275"/>
      <c r="U10" s="275"/>
      <c r="V10" s="275"/>
      <c r="W10" s="275"/>
      <c r="X10" s="275"/>
      <c r="Y10" s="275"/>
      <c r="Z10" s="275"/>
      <c r="AA10" s="275"/>
      <c r="AB10" s="275"/>
      <c r="AC10" s="276"/>
      <c r="AD10" s="276"/>
    </row>
    <row r="11" spans="1:30" x14ac:dyDescent="0.45">
      <c r="A11" s="270"/>
      <c r="B11" s="445" t="s">
        <v>360</v>
      </c>
      <c r="C11" s="445"/>
      <c r="D11" s="448" t="str">
        <f t="array" ref="D11">IFERROR(IF(INDEX(Attendance!$CP$3:$FY$3,1,($B$6-1)*4+4)="","(not set)",IF(INDEX(Attendance!$CP$3:$FY$3,1,($B$6-1)*4+4)="H","Home","Away")),"(not set)")</f>
        <v>Home</v>
      </c>
      <c r="E11" s="448"/>
      <c r="F11" s="448"/>
      <c r="G11" s="270"/>
      <c r="H11" s="270"/>
      <c r="J11" s="274">
        <v>3</v>
      </c>
      <c r="K11" s="275"/>
      <c r="L11" s="275"/>
      <c r="M11" s="275"/>
      <c r="N11" s="275"/>
      <c r="O11" s="275"/>
      <c r="P11" s="275"/>
      <c r="Q11" s="275"/>
      <c r="R11" s="275"/>
      <c r="S11" s="275"/>
      <c r="T11" s="275"/>
      <c r="U11" s="275"/>
      <c r="V11" s="275"/>
      <c r="W11" s="275"/>
      <c r="X11" s="275"/>
      <c r="Y11" s="275"/>
      <c r="Z11" s="275"/>
      <c r="AA11" s="275"/>
      <c r="AB11" s="275"/>
      <c r="AC11" s="276"/>
      <c r="AD11" s="276"/>
    </row>
    <row r="12" spans="1:30" x14ac:dyDescent="0.45">
      <c r="A12" s="270"/>
      <c r="B12" s="445" t="s">
        <v>361</v>
      </c>
      <c r="C12" s="445"/>
      <c r="D12" s="447" t="str">
        <f t="array" ref="D12">IFERROR(IF(OR(INDEX(Attendance!$CP$26:$FY$26,1,($B$6-1)*4+1)="",INDEX(Attendance!$CP$27:$FY$27,1,($B$6-1)*4+1)=""),"Not played",INDEX(Attendance!$CP$26:$FY$26,1,($B$6-1)*4+1)&amp;" - "&amp;INDEX(Attendance!$CP$27:$FY$27,1,($B$6-1)*4+1)),"Not played")</f>
        <v>Not played</v>
      </c>
      <c r="E12" s="447"/>
      <c r="F12" s="447"/>
      <c r="G12" s="270"/>
      <c r="H12" s="270"/>
      <c r="J12" s="274">
        <v>4</v>
      </c>
      <c r="K12" s="275"/>
      <c r="L12" s="275"/>
      <c r="M12" s="275"/>
      <c r="N12" s="275"/>
      <c r="O12" s="275"/>
      <c r="P12" s="275"/>
      <c r="Q12" s="275"/>
      <c r="R12" s="275"/>
      <c r="S12" s="275"/>
      <c r="T12" s="275"/>
      <c r="U12" s="275"/>
      <c r="V12" s="275"/>
      <c r="W12" s="275"/>
      <c r="X12" s="275"/>
      <c r="Y12" s="275"/>
      <c r="Z12" s="275"/>
      <c r="AA12" s="275"/>
      <c r="AB12" s="275"/>
      <c r="AC12" s="276"/>
      <c r="AD12" s="276"/>
    </row>
    <row r="13" spans="1:30" x14ac:dyDescent="0.45">
      <c r="A13" s="270"/>
      <c r="B13" s="445" t="s">
        <v>305</v>
      </c>
      <c r="C13" s="445"/>
      <c r="D13" s="448" t="str">
        <f t="array" ref="D13">IFERROR(IF(INDEX(Attendance!$CP$28:$FY$28,1,($B$6-1)*4+1)="","Not played",IF(INDEX(Attendance!$CP$28:$FY$28,1,($B$6-1)*4+1)="W","Win",IF(INDEX(Attendance!$CP$28:$FY$28,1,($B$6-1)*4+1)="D","Draw","Loss"))),"Not played")</f>
        <v>Not played</v>
      </c>
      <c r="E13" s="448"/>
      <c r="F13" s="448"/>
      <c r="G13" s="270"/>
      <c r="H13" s="270"/>
      <c r="J13" s="274">
        <v>5</v>
      </c>
      <c r="K13" s="275"/>
      <c r="L13" s="275"/>
      <c r="M13" s="275"/>
      <c r="N13" s="275"/>
      <c r="O13" s="275"/>
      <c r="P13" s="275"/>
      <c r="Q13" s="275"/>
      <c r="R13" s="275"/>
      <c r="S13" s="275"/>
      <c r="T13" s="275"/>
      <c r="U13" s="275"/>
      <c r="V13" s="275"/>
      <c r="W13" s="275"/>
      <c r="X13" s="275"/>
      <c r="Y13" s="275"/>
      <c r="Z13" s="275"/>
      <c r="AA13" s="275"/>
      <c r="AB13" s="275"/>
      <c r="AC13" s="276"/>
      <c r="AD13" s="276"/>
    </row>
    <row r="14" spans="1:30" x14ac:dyDescent="0.45">
      <c r="A14" s="270"/>
      <c r="B14" s="445" t="s">
        <v>362</v>
      </c>
      <c r="C14" s="445"/>
      <c r="D14" s="447" t="str">
        <f>IFERROR(INDEX(Attendance!$D$5:$D$24,MATCH("Yes",INDEX(Attendance!$CP$5:$FY$24,0,($B$6-1)*4+4),0)),"(not awarded)")</f>
        <v>(not awarded)</v>
      </c>
      <c r="E14" s="447"/>
      <c r="F14" s="447"/>
      <c r="G14" s="270"/>
      <c r="H14" s="270"/>
      <c r="J14" s="274">
        <v>6</v>
      </c>
      <c r="K14" s="275"/>
      <c r="L14" s="275"/>
      <c r="M14" s="275"/>
      <c r="N14" s="275"/>
      <c r="O14" s="275"/>
      <c r="P14" s="275"/>
      <c r="Q14" s="275"/>
      <c r="R14" s="275"/>
      <c r="S14" s="275"/>
      <c r="T14" s="275"/>
      <c r="U14" s="275"/>
      <c r="V14" s="275"/>
      <c r="W14" s="275"/>
      <c r="X14" s="275"/>
      <c r="Y14" s="275"/>
      <c r="Z14" s="275"/>
      <c r="AA14" s="275"/>
      <c r="AB14" s="275"/>
      <c r="AC14" s="276"/>
      <c r="AD14" s="276"/>
    </row>
    <row r="15" spans="1:30" x14ac:dyDescent="0.45">
      <c r="A15" s="270"/>
      <c r="B15" s="270"/>
      <c r="C15" s="270"/>
      <c r="D15" s="270"/>
      <c r="E15" s="270"/>
      <c r="F15" s="270"/>
      <c r="G15" s="270"/>
      <c r="H15" s="270"/>
      <c r="J15" s="274">
        <v>7</v>
      </c>
      <c r="K15" s="275"/>
      <c r="L15" s="275"/>
      <c r="M15" s="275"/>
      <c r="N15" s="275"/>
      <c r="O15" s="275"/>
      <c r="P15" s="275"/>
      <c r="Q15" s="275"/>
      <c r="R15" s="275"/>
      <c r="S15" s="275"/>
      <c r="T15" s="275"/>
      <c r="U15" s="275"/>
      <c r="V15" s="275"/>
      <c r="W15" s="275"/>
      <c r="X15" s="275"/>
      <c r="Y15" s="275"/>
      <c r="Z15" s="275"/>
      <c r="AA15" s="275"/>
      <c r="AB15" s="275"/>
      <c r="AC15" s="276"/>
      <c r="AD15" s="276"/>
    </row>
    <row r="16" spans="1:30" x14ac:dyDescent="0.45">
      <c r="A16" s="270"/>
      <c r="B16" s="444" t="s">
        <v>363</v>
      </c>
      <c r="C16" s="444"/>
      <c r="D16" s="444"/>
      <c r="E16" s="444"/>
      <c r="F16" s="444"/>
      <c r="G16" s="444"/>
      <c r="J16" s="274">
        <v>8</v>
      </c>
      <c r="K16" s="275"/>
      <c r="L16" s="275"/>
      <c r="M16" s="275"/>
      <c r="N16" s="275"/>
      <c r="O16" s="275"/>
      <c r="P16" s="275"/>
      <c r="Q16" s="275"/>
      <c r="R16" s="275"/>
      <c r="S16" s="275"/>
      <c r="T16" s="275"/>
      <c r="U16" s="275"/>
      <c r="V16" s="275"/>
      <c r="W16" s="275"/>
      <c r="X16" s="275"/>
      <c r="Y16" s="275"/>
      <c r="Z16" s="275"/>
      <c r="AA16" s="275"/>
      <c r="AB16" s="275"/>
      <c r="AC16" s="276"/>
      <c r="AD16" s="276"/>
    </row>
    <row r="17" spans="1:30" x14ac:dyDescent="0.45">
      <c r="A17" s="270"/>
      <c r="B17" s="182" t="s">
        <v>313</v>
      </c>
      <c r="C17" s="182" t="s">
        <v>18</v>
      </c>
      <c r="D17" s="182" t="s">
        <v>155</v>
      </c>
      <c r="E17" s="182" t="s">
        <v>156</v>
      </c>
      <c r="F17" s="182" t="s">
        <v>364</v>
      </c>
      <c r="G17" s="182" t="s">
        <v>157</v>
      </c>
      <c r="H17" s="270"/>
      <c r="J17" s="274">
        <v>9</v>
      </c>
      <c r="K17" s="275"/>
      <c r="L17" s="275"/>
      <c r="M17" s="275"/>
      <c r="N17" s="275"/>
      <c r="O17" s="275"/>
      <c r="P17" s="275"/>
      <c r="Q17" s="275"/>
      <c r="R17" s="275"/>
      <c r="S17" s="275"/>
      <c r="T17" s="275"/>
      <c r="U17" s="275"/>
      <c r="V17" s="275"/>
      <c r="W17" s="275"/>
      <c r="X17" s="275"/>
      <c r="Y17" s="275"/>
      <c r="Z17" s="275"/>
      <c r="AA17" s="275"/>
      <c r="AB17" s="275"/>
      <c r="AC17" s="276"/>
      <c r="AD17" s="276"/>
    </row>
    <row r="18" spans="1:30" x14ac:dyDescent="0.45">
      <c r="A18" s="270"/>
      <c r="B18" s="277" t="s">
        <v>251</v>
      </c>
      <c r="C18" s="230" t="str">
        <f t="array" ref="C18">IFERROR(IF(INDEX($K$9:$U$30,MATCH($B$6,$J$9:$J$30,0),ROWS($C$18:C18))="",IF($B$6='Team Selection'!$B$6,'Team Selection'!$D25,""),INDEX($K$9:$U$30,MATCH($B$6,$J$9:$J$30,0),ROWS($C$18:C18))),"")</f>
        <v>Elsie Morrison</v>
      </c>
      <c r="D18" s="278" t="str">
        <f t="array" ref="D18">IFERROR(IF(OR($C18="",INDEX(INDEX(Attendance!$CP$5:$FY$24,MATCH($C18,Attendance!$D$5:$D$24,0),0),1,($B$6-1)*4+2)=""),"",INDEX(INDEX(Attendance!$CP$5:$FY$24,MATCH($C18,Attendance!$D$5:$D$24,0),0),1,($B$6-1)*4+2)),"")</f>
        <v/>
      </c>
      <c r="E18" s="279" t="str">
        <f t="array" ref="E18">IFERROR(IF(OR($C18="",INDEX(INDEX(Attendance!$CP$5:$FY$24,MATCH($C18,Attendance!$D$5:$D$24,0),0),1,($B$6-1)*4+3)=""),"",INDEX(INDEX(Attendance!$CP$5:$FY$24,MATCH($C18,Attendance!$D$5:$D$24,0),0),1,($B$6-1)*4+3)),"")</f>
        <v/>
      </c>
      <c r="F18" s="37" t="str">
        <f t="shared" ref="F18:F28" si="0">IFERROR(IF($E18="","",LOOKUP($E18,$J$35:$J$40,$K$35:$K$40)),"")</f>
        <v/>
      </c>
      <c r="G18" s="280" t="str">
        <f t="shared" ref="G18:G28" si="1">IF($C18="","",IF($C18=$D$14,"★ MOTM",""))</f>
        <v/>
      </c>
      <c r="H18" s="270"/>
      <c r="J18" s="274">
        <v>10</v>
      </c>
      <c r="K18" s="275"/>
      <c r="L18" s="275"/>
      <c r="M18" s="275"/>
      <c r="N18" s="275"/>
      <c r="O18" s="275"/>
      <c r="P18" s="275"/>
      <c r="Q18" s="275"/>
      <c r="R18" s="275"/>
      <c r="S18" s="275"/>
      <c r="T18" s="275"/>
      <c r="U18" s="275"/>
      <c r="V18" s="275"/>
      <c r="W18" s="275"/>
      <c r="X18" s="275"/>
      <c r="Y18" s="275"/>
      <c r="Z18" s="275"/>
      <c r="AA18" s="275"/>
      <c r="AB18" s="275"/>
      <c r="AC18" s="276"/>
      <c r="AD18" s="276"/>
    </row>
    <row r="19" spans="1:30" x14ac:dyDescent="0.45">
      <c r="A19" s="270"/>
      <c r="B19" s="281" t="s">
        <v>253</v>
      </c>
      <c r="C19" s="234" t="str">
        <f t="array" ref="C19">IFERROR(IF(INDEX($K$9:$U$30,MATCH($B$6,$J$9:$J$30,0),ROWS($C$18:C19))="",IF($B$6='Team Selection'!$B$6,'Team Selection'!$D26,""),INDEX($K$9:$U$30,MATCH($B$6,$J$9:$J$30,0),ROWS($C$18:C19))),"")</f>
        <v>Stella McEvoy</v>
      </c>
      <c r="D19" s="282" t="str">
        <f t="array" ref="D19">IFERROR(IF(OR($C19="",INDEX(INDEX(Attendance!$CP$5:$FY$24,MATCH($C19,Attendance!$D$5:$D$24,0),0),1,($B$6-1)*4+2)=""),"",INDEX(INDEX(Attendance!$CP$5:$FY$24,MATCH($C19,Attendance!$D$5:$D$24,0),0),1,($B$6-1)*4+2)),"")</f>
        <v/>
      </c>
      <c r="E19" s="283" t="str">
        <f t="array" ref="E19">IFERROR(IF(OR($C19="",INDEX(INDEX(Attendance!$CP$5:$FY$24,MATCH($C19,Attendance!$D$5:$D$24,0),0),1,($B$6-1)*4+3)=""),"",INDEX(INDEX(Attendance!$CP$5:$FY$24,MATCH($C19,Attendance!$D$5:$D$24,0),0),1,($B$6-1)*4+3)),"")</f>
        <v/>
      </c>
      <c r="F19" s="223" t="str">
        <f t="shared" si="0"/>
        <v/>
      </c>
      <c r="G19" s="284" t="str">
        <f t="shared" si="1"/>
        <v/>
      </c>
      <c r="H19" s="270"/>
      <c r="J19" s="274">
        <v>11</v>
      </c>
      <c r="K19" s="275"/>
      <c r="L19" s="275"/>
      <c r="M19" s="275"/>
      <c r="N19" s="275"/>
      <c r="O19" s="275"/>
      <c r="P19" s="275"/>
      <c r="Q19" s="275"/>
      <c r="R19" s="275"/>
      <c r="S19" s="275"/>
      <c r="T19" s="275"/>
      <c r="U19" s="275"/>
      <c r="V19" s="275"/>
      <c r="W19" s="275"/>
      <c r="X19" s="275"/>
      <c r="Y19" s="275"/>
      <c r="Z19" s="275"/>
      <c r="AA19" s="275"/>
      <c r="AB19" s="275"/>
      <c r="AC19" s="276"/>
      <c r="AD19" s="276"/>
    </row>
    <row r="20" spans="1:30" x14ac:dyDescent="0.45">
      <c r="A20" s="270"/>
      <c r="B20" s="277" t="s">
        <v>260</v>
      </c>
      <c r="C20" s="230" t="str">
        <f t="array" ref="C20">IFERROR(IF(INDEX($K$9:$U$30,MATCH($B$6,$J$9:$J$30,0),ROWS($C$18:C20))="",IF($B$6='Team Selection'!$B$6,'Team Selection'!$D27,""),INDEX($K$9:$U$30,MATCH($B$6,$J$9:$J$30,0),ROWS($C$18:C20))),"")</f>
        <v>Emma Kelly</v>
      </c>
      <c r="D20" s="278" t="str">
        <f t="array" ref="D20">IFERROR(IF(OR($C20="",INDEX(INDEX(Attendance!$CP$5:$FY$24,MATCH($C20,Attendance!$D$5:$D$24,0),0),1,($B$6-1)*4+2)=""),"",INDEX(INDEX(Attendance!$CP$5:$FY$24,MATCH($C20,Attendance!$D$5:$D$24,0),0),1,($B$6-1)*4+2)),"")</f>
        <v/>
      </c>
      <c r="E20" s="279" t="str">
        <f t="array" ref="E20">IFERROR(IF(OR($C20="",INDEX(INDEX(Attendance!$CP$5:$FY$24,MATCH($C20,Attendance!$D$5:$D$24,0),0),1,($B$6-1)*4+3)=""),"",INDEX(INDEX(Attendance!$CP$5:$FY$24,MATCH($C20,Attendance!$D$5:$D$24,0),0),1,($B$6-1)*4+3)),"")</f>
        <v/>
      </c>
      <c r="F20" s="37" t="str">
        <f t="shared" si="0"/>
        <v/>
      </c>
      <c r="G20" s="280" t="str">
        <f t="shared" si="1"/>
        <v/>
      </c>
      <c r="H20" s="270"/>
      <c r="J20" s="274">
        <v>12</v>
      </c>
      <c r="K20" s="275"/>
      <c r="L20" s="275"/>
      <c r="M20" s="275"/>
      <c r="N20" s="275"/>
      <c r="O20" s="275"/>
      <c r="P20" s="275"/>
      <c r="Q20" s="275"/>
      <c r="R20" s="275"/>
      <c r="S20" s="275"/>
      <c r="T20" s="275"/>
      <c r="U20" s="275"/>
      <c r="V20" s="275"/>
      <c r="W20" s="275"/>
      <c r="X20" s="275"/>
      <c r="Y20" s="275"/>
      <c r="Z20" s="275"/>
      <c r="AA20" s="275"/>
      <c r="AB20" s="275"/>
      <c r="AC20" s="276"/>
      <c r="AD20" s="276"/>
    </row>
    <row r="21" spans="1:30" x14ac:dyDescent="0.45">
      <c r="A21" s="270"/>
      <c r="B21" s="281" t="s">
        <v>260</v>
      </c>
      <c r="C21" s="234" t="str">
        <f t="array" ref="C21">IFERROR(IF(INDEX($K$9:$U$30,MATCH($B$6,$J$9:$J$30,0),ROWS($C$18:C21))="",IF($B$6='Team Selection'!$B$6,'Team Selection'!$D28,""),INDEX($K$9:$U$30,MATCH($B$6,$J$9:$J$30,0),ROWS($C$18:C21))),"")</f>
        <v>Mariana</v>
      </c>
      <c r="D21" s="282" t="str">
        <f t="array" ref="D21">IFERROR(IF(OR($C21="",INDEX(INDEX(Attendance!$CP$5:$FY$24,MATCH($C21,Attendance!$D$5:$D$24,0),0),1,($B$6-1)*4+2)=""),"",INDEX(INDEX(Attendance!$CP$5:$FY$24,MATCH($C21,Attendance!$D$5:$D$24,0),0),1,($B$6-1)*4+2)),"")</f>
        <v/>
      </c>
      <c r="E21" s="283" t="str">
        <f t="array" ref="E21">IFERROR(IF(OR($C21="",INDEX(INDEX(Attendance!$CP$5:$FY$24,MATCH($C21,Attendance!$D$5:$D$24,0),0),1,($B$6-1)*4+3)=""),"",INDEX(INDEX(Attendance!$CP$5:$FY$24,MATCH($C21,Attendance!$D$5:$D$24,0),0),1,($B$6-1)*4+3)),"")</f>
        <v/>
      </c>
      <c r="F21" s="223" t="str">
        <f t="shared" si="0"/>
        <v/>
      </c>
      <c r="G21" s="284" t="str">
        <f t="shared" si="1"/>
        <v/>
      </c>
      <c r="H21" s="270"/>
      <c r="J21" s="274">
        <v>13</v>
      </c>
      <c r="K21" s="275"/>
      <c r="L21" s="275"/>
      <c r="M21" s="275"/>
      <c r="N21" s="275"/>
      <c r="O21" s="275"/>
      <c r="P21" s="275"/>
      <c r="Q21" s="275"/>
      <c r="R21" s="275"/>
      <c r="S21" s="275"/>
      <c r="T21" s="275"/>
      <c r="U21" s="275"/>
      <c r="V21" s="275"/>
      <c r="W21" s="275"/>
      <c r="X21" s="275"/>
      <c r="Y21" s="275"/>
      <c r="Z21" s="275"/>
      <c r="AA21" s="275"/>
      <c r="AB21" s="275"/>
      <c r="AC21" s="276"/>
      <c r="AD21" s="276"/>
    </row>
    <row r="22" spans="1:30" x14ac:dyDescent="0.45">
      <c r="A22" s="270"/>
      <c r="B22" s="277" t="s">
        <v>270</v>
      </c>
      <c r="C22" s="230" t="str">
        <f t="array" ref="C22">IFERROR(IF(INDEX($K$9:$U$30,MATCH($B$6,$J$9:$J$30,0),ROWS($C$18:C22))="",IF($B$6='Team Selection'!$B$6,'Team Selection'!$D29,""),INDEX($K$9:$U$30,MATCH($B$6,$J$9:$J$30,0),ROWS($C$18:C22))),"")</f>
        <v>Rama</v>
      </c>
      <c r="D22" s="278" t="str">
        <f t="array" ref="D22">IFERROR(IF(OR($C22="",INDEX(INDEX(Attendance!$CP$5:$FY$24,MATCH($C22,Attendance!$D$5:$D$24,0),0),1,($B$6-1)*4+2)=""),"",INDEX(INDEX(Attendance!$CP$5:$FY$24,MATCH($C22,Attendance!$D$5:$D$24,0),0),1,($B$6-1)*4+2)),"")</f>
        <v/>
      </c>
      <c r="E22" s="279" t="str">
        <f t="array" ref="E22">IFERROR(IF(OR($C22="",INDEX(INDEX(Attendance!$CP$5:$FY$24,MATCH($C22,Attendance!$D$5:$D$24,0),0),1,($B$6-1)*4+3)=""),"",INDEX(INDEX(Attendance!$CP$5:$FY$24,MATCH($C22,Attendance!$D$5:$D$24,0),0),1,($B$6-1)*4+3)),"")</f>
        <v/>
      </c>
      <c r="F22" s="37" t="str">
        <f t="shared" si="0"/>
        <v/>
      </c>
      <c r="G22" s="280" t="str">
        <f t="shared" si="1"/>
        <v/>
      </c>
      <c r="H22" s="270"/>
      <c r="J22" s="274">
        <v>14</v>
      </c>
      <c r="K22" s="275"/>
      <c r="L22" s="275"/>
      <c r="M22" s="275"/>
      <c r="N22" s="275"/>
      <c r="O22" s="275"/>
      <c r="P22" s="275"/>
      <c r="Q22" s="275"/>
      <c r="R22" s="275"/>
      <c r="S22" s="275"/>
      <c r="T22" s="275"/>
      <c r="U22" s="275"/>
      <c r="V22" s="275"/>
      <c r="W22" s="275"/>
      <c r="X22" s="275"/>
      <c r="Y22" s="275"/>
      <c r="Z22" s="275"/>
      <c r="AA22" s="275"/>
      <c r="AB22" s="275"/>
      <c r="AC22" s="276"/>
      <c r="AD22" s="276"/>
    </row>
    <row r="23" spans="1:30" x14ac:dyDescent="0.45">
      <c r="A23" s="270"/>
      <c r="B23" s="281" t="s">
        <v>273</v>
      </c>
      <c r="C23" s="234" t="str">
        <f t="array" ref="C23">IFERROR(IF(INDEX($K$9:$U$30,MATCH($B$6,$J$9:$J$30,0),ROWS($C$18:C23))="",IF($B$6='Team Selection'!$B$6,'Team Selection'!$D30,""),INDEX($K$9:$U$30,MATCH($B$6,$J$9:$J$30,0),ROWS($C$18:C23))),"")</f>
        <v>Hannah Fleming</v>
      </c>
      <c r="D23" s="282" t="str">
        <f t="array" ref="D23">IFERROR(IF(OR($C23="",INDEX(INDEX(Attendance!$CP$5:$FY$24,MATCH($C23,Attendance!$D$5:$D$24,0),0),1,($B$6-1)*4+2)=""),"",INDEX(INDEX(Attendance!$CP$5:$FY$24,MATCH($C23,Attendance!$D$5:$D$24,0),0),1,($B$6-1)*4+2)),"")</f>
        <v/>
      </c>
      <c r="E23" s="283" t="str">
        <f t="array" ref="E23">IFERROR(IF(OR($C23="",INDEX(INDEX(Attendance!$CP$5:$FY$24,MATCH($C23,Attendance!$D$5:$D$24,0),0),1,($B$6-1)*4+3)=""),"",INDEX(INDEX(Attendance!$CP$5:$FY$24,MATCH($C23,Attendance!$D$5:$D$24,0),0),1,($B$6-1)*4+3)),"")</f>
        <v/>
      </c>
      <c r="F23" s="223" t="str">
        <f t="shared" si="0"/>
        <v/>
      </c>
      <c r="G23" s="284" t="str">
        <f t="shared" si="1"/>
        <v/>
      </c>
      <c r="H23" s="270"/>
      <c r="J23" s="274">
        <v>15</v>
      </c>
      <c r="K23" s="275"/>
      <c r="L23" s="275"/>
      <c r="M23" s="275"/>
      <c r="N23" s="275"/>
      <c r="O23" s="275"/>
      <c r="P23" s="275"/>
      <c r="Q23" s="275"/>
      <c r="R23" s="275"/>
      <c r="S23" s="275"/>
      <c r="T23" s="275"/>
      <c r="U23" s="275"/>
      <c r="V23" s="275"/>
      <c r="W23" s="275"/>
      <c r="X23" s="275"/>
      <c r="Y23" s="275"/>
      <c r="Z23" s="275"/>
      <c r="AA23" s="275"/>
      <c r="AB23" s="275"/>
      <c r="AC23" s="276"/>
      <c r="AD23" s="276"/>
    </row>
    <row r="24" spans="1:30" x14ac:dyDescent="0.45">
      <c r="A24" s="270"/>
      <c r="B24" s="277" t="s">
        <v>275</v>
      </c>
      <c r="C24" s="230" t="str">
        <f t="array" ref="C24">IFERROR(IF(INDEX($K$9:$U$30,MATCH($B$6,$J$9:$J$30,0),ROWS($C$18:C24))="",IF($B$6='Team Selection'!$B$6,'Team Selection'!$D31,""),INDEX($K$9:$U$30,MATCH($B$6,$J$9:$J$30,0),ROWS($C$18:C24))),"")</f>
        <v>Roisin Offenhausen</v>
      </c>
      <c r="D24" s="278" t="str">
        <f t="array" ref="D24">IFERROR(IF(OR($C24="",INDEX(INDEX(Attendance!$CP$5:$FY$24,MATCH($C24,Attendance!$D$5:$D$24,0),0),1,($B$6-1)*4+2)=""),"",INDEX(INDEX(Attendance!$CP$5:$FY$24,MATCH($C24,Attendance!$D$5:$D$24,0),0),1,($B$6-1)*4+2)),"")</f>
        <v/>
      </c>
      <c r="E24" s="279" t="str">
        <f t="array" ref="E24">IFERROR(IF(OR($C24="",INDEX(INDEX(Attendance!$CP$5:$FY$24,MATCH($C24,Attendance!$D$5:$D$24,0),0),1,($B$6-1)*4+3)=""),"",INDEX(INDEX(Attendance!$CP$5:$FY$24,MATCH($C24,Attendance!$D$5:$D$24,0),0),1,($B$6-1)*4+3)),"")</f>
        <v/>
      </c>
      <c r="F24" s="37" t="str">
        <f t="shared" si="0"/>
        <v/>
      </c>
      <c r="G24" s="280" t="str">
        <f t="shared" si="1"/>
        <v/>
      </c>
      <c r="H24" s="270"/>
      <c r="J24" s="274">
        <v>16</v>
      </c>
      <c r="K24" s="275"/>
      <c r="L24" s="275"/>
      <c r="M24" s="275"/>
      <c r="N24" s="275"/>
      <c r="O24" s="275"/>
      <c r="P24" s="275"/>
      <c r="Q24" s="275"/>
      <c r="R24" s="275"/>
      <c r="S24" s="275"/>
      <c r="T24" s="275"/>
      <c r="U24" s="275"/>
      <c r="V24" s="275"/>
      <c r="W24" s="275"/>
      <c r="X24" s="275"/>
      <c r="Y24" s="275"/>
      <c r="Z24" s="275"/>
      <c r="AA24" s="275"/>
      <c r="AB24" s="275"/>
      <c r="AC24" s="276"/>
      <c r="AD24" s="276"/>
    </row>
    <row r="25" spans="1:30" x14ac:dyDescent="0.45">
      <c r="A25" s="270"/>
      <c r="B25" s="281" t="s">
        <v>277</v>
      </c>
      <c r="C25" s="234" t="str">
        <f t="array" ref="C25">IFERROR(IF(INDEX($K$9:$U$30,MATCH($B$6,$J$9:$J$30,0),ROWS($C$18:C25))="",IF($B$6='Team Selection'!$B$6,'Team Selection'!$D32,""),INDEX($K$9:$U$30,MATCH($B$6,$J$9:$J$30,0),ROWS($C$18:C25))),"")</f>
        <v>Semilore Adesanya</v>
      </c>
      <c r="D25" s="282" t="str">
        <f t="array" ref="D25">IFERROR(IF(OR($C25="",INDEX(INDEX(Attendance!$CP$5:$FY$24,MATCH($C25,Attendance!$D$5:$D$24,0),0),1,($B$6-1)*4+2)=""),"",INDEX(INDEX(Attendance!$CP$5:$FY$24,MATCH($C25,Attendance!$D$5:$D$24,0),0),1,($B$6-1)*4+2)),"")</f>
        <v/>
      </c>
      <c r="E25" s="283" t="str">
        <f t="array" ref="E25">IFERROR(IF(OR($C25="",INDEX(INDEX(Attendance!$CP$5:$FY$24,MATCH($C25,Attendance!$D$5:$D$24,0),0),1,($B$6-1)*4+3)=""),"",INDEX(INDEX(Attendance!$CP$5:$FY$24,MATCH($C25,Attendance!$D$5:$D$24,0),0),1,($B$6-1)*4+3)),"")</f>
        <v/>
      </c>
      <c r="F25" s="223" t="str">
        <f t="shared" si="0"/>
        <v/>
      </c>
      <c r="G25" s="284" t="str">
        <f t="shared" si="1"/>
        <v/>
      </c>
      <c r="H25" s="270"/>
      <c r="J25" s="274">
        <v>17</v>
      </c>
      <c r="K25" s="275"/>
      <c r="L25" s="275"/>
      <c r="M25" s="275"/>
      <c r="N25" s="275"/>
      <c r="O25" s="275"/>
      <c r="P25" s="275"/>
      <c r="Q25" s="275"/>
      <c r="R25" s="275"/>
      <c r="S25" s="275"/>
      <c r="T25" s="275"/>
      <c r="U25" s="275"/>
      <c r="V25" s="275"/>
      <c r="W25" s="275"/>
      <c r="X25" s="275"/>
      <c r="Y25" s="275"/>
      <c r="Z25" s="275"/>
      <c r="AA25" s="275"/>
      <c r="AB25" s="275"/>
      <c r="AC25" s="276"/>
      <c r="AD25" s="276"/>
    </row>
    <row r="26" spans="1:30" x14ac:dyDescent="0.45">
      <c r="A26" s="270"/>
      <c r="B26" s="277" t="s">
        <v>279</v>
      </c>
      <c r="C26" s="230" t="str">
        <f t="array" ref="C26">IFERROR(IF(INDEX($K$9:$U$30,MATCH($B$6,$J$9:$J$30,0),ROWS($C$18:C26))="",IF($B$6='Team Selection'!$B$6,'Team Selection'!$D33,""),INDEX($K$9:$U$30,MATCH($B$6,$J$9:$J$30,0),ROWS($C$18:C26))),"")</f>
        <v>Tara Brannigan</v>
      </c>
      <c r="D26" s="278" t="str">
        <f t="array" ref="D26">IFERROR(IF(OR($C26="",INDEX(INDEX(Attendance!$CP$5:$FY$24,MATCH($C26,Attendance!$D$5:$D$24,0),0),1,($B$6-1)*4+2)=""),"",INDEX(INDEX(Attendance!$CP$5:$FY$24,MATCH($C26,Attendance!$D$5:$D$24,0),0),1,($B$6-1)*4+2)),"")</f>
        <v/>
      </c>
      <c r="E26" s="279" t="str">
        <f t="array" ref="E26">IFERROR(IF(OR($C26="",INDEX(INDEX(Attendance!$CP$5:$FY$24,MATCH($C26,Attendance!$D$5:$D$24,0),0),1,($B$6-1)*4+3)=""),"",INDEX(INDEX(Attendance!$CP$5:$FY$24,MATCH($C26,Attendance!$D$5:$D$24,0),0),1,($B$6-1)*4+3)),"")</f>
        <v/>
      </c>
      <c r="F26" s="37" t="str">
        <f t="shared" si="0"/>
        <v/>
      </c>
      <c r="G26" s="280" t="str">
        <f t="shared" si="1"/>
        <v/>
      </c>
      <c r="H26" s="270"/>
      <c r="J26" s="274">
        <v>18</v>
      </c>
      <c r="K26" s="275"/>
      <c r="L26" s="275"/>
      <c r="M26" s="275"/>
      <c r="N26" s="275"/>
      <c r="O26" s="275"/>
      <c r="P26" s="275"/>
      <c r="Q26" s="275"/>
      <c r="R26" s="275"/>
      <c r="S26" s="275"/>
      <c r="T26" s="275"/>
      <c r="U26" s="275"/>
      <c r="V26" s="275"/>
      <c r="W26" s="275"/>
      <c r="X26" s="275"/>
      <c r="Y26" s="275"/>
      <c r="Z26" s="275"/>
      <c r="AA26" s="275"/>
      <c r="AB26" s="275"/>
      <c r="AC26" s="276"/>
      <c r="AD26" s="276"/>
    </row>
    <row r="27" spans="1:30" x14ac:dyDescent="0.45">
      <c r="A27" s="270"/>
      <c r="B27" s="281" t="s">
        <v>283</v>
      </c>
      <c r="C27" s="234" t="str">
        <f t="array" ref="C27">IFERROR(IF(INDEX($K$9:$U$30,MATCH($B$6,$J$9:$J$30,0),ROWS($C$18:C27))="",IF($B$6='Team Selection'!$B$6,'Team Selection'!$D34,""),INDEX($K$9:$U$30,MATCH($B$6,$J$9:$J$30,0),ROWS($C$18:C27))),"")</f>
        <v>Zara Freeman</v>
      </c>
      <c r="D27" s="282" t="str">
        <f t="array" ref="D27">IFERROR(IF(OR($C27="",INDEX(INDEX(Attendance!$CP$5:$FY$24,MATCH($C27,Attendance!$D$5:$D$24,0),0),1,($B$6-1)*4+2)=""),"",INDEX(INDEX(Attendance!$CP$5:$FY$24,MATCH($C27,Attendance!$D$5:$D$24,0),0),1,($B$6-1)*4+2)),"")</f>
        <v/>
      </c>
      <c r="E27" s="283" t="str">
        <f t="array" ref="E27">IFERROR(IF(OR($C27="",INDEX(INDEX(Attendance!$CP$5:$FY$24,MATCH($C27,Attendance!$D$5:$D$24,0),0),1,($B$6-1)*4+3)=""),"",INDEX(INDEX(Attendance!$CP$5:$FY$24,MATCH($C27,Attendance!$D$5:$D$24,0),0),1,($B$6-1)*4+3)),"")</f>
        <v/>
      </c>
      <c r="F27" s="223" t="str">
        <f t="shared" si="0"/>
        <v/>
      </c>
      <c r="G27" s="284" t="str">
        <f t="shared" si="1"/>
        <v/>
      </c>
      <c r="H27" s="270"/>
      <c r="J27" s="274">
        <v>19</v>
      </c>
      <c r="K27" s="275"/>
      <c r="L27" s="275"/>
      <c r="M27" s="275"/>
      <c r="N27" s="275"/>
      <c r="O27" s="275"/>
      <c r="P27" s="275"/>
      <c r="Q27" s="275"/>
      <c r="R27" s="275"/>
      <c r="S27" s="275"/>
      <c r="T27" s="275"/>
      <c r="U27" s="275"/>
      <c r="V27" s="275"/>
      <c r="W27" s="275"/>
      <c r="X27" s="275"/>
      <c r="Y27" s="275"/>
      <c r="Z27" s="275"/>
      <c r="AA27" s="275"/>
      <c r="AB27" s="275"/>
      <c r="AC27" s="276"/>
      <c r="AD27" s="276"/>
    </row>
    <row r="28" spans="1:30" x14ac:dyDescent="0.45">
      <c r="A28" s="270"/>
      <c r="B28" s="277" t="s">
        <v>281</v>
      </c>
      <c r="C28" s="230" t="str">
        <f t="array" ref="C28">IFERROR(IF(INDEX($K$9:$U$30,MATCH($B$6,$J$9:$J$30,0),ROWS($C$18:C28))="",IF($B$6='Team Selection'!$B$6,'Team Selection'!$D35,""),INDEX($K$9:$U$30,MATCH($B$6,$J$9:$J$30,0),ROWS($C$18:C28))),"")</f>
        <v>Amber Kilalee</v>
      </c>
      <c r="D28" s="278" t="str">
        <f t="array" ref="D28">IFERROR(IF(OR($C28="",INDEX(INDEX(Attendance!$CP$5:$FY$24,MATCH($C28,Attendance!$D$5:$D$24,0),0),1,($B$6-1)*4+2)=""),"",INDEX(INDEX(Attendance!$CP$5:$FY$24,MATCH($C28,Attendance!$D$5:$D$24,0),0),1,($B$6-1)*4+2)),"")</f>
        <v/>
      </c>
      <c r="E28" s="279" t="str">
        <f t="array" ref="E28">IFERROR(IF(OR($C28="",INDEX(INDEX(Attendance!$CP$5:$FY$24,MATCH($C28,Attendance!$D$5:$D$24,0),0),1,($B$6-1)*4+3)=""),"",INDEX(INDEX(Attendance!$CP$5:$FY$24,MATCH($C28,Attendance!$D$5:$D$24,0),0),1,($B$6-1)*4+3)),"")</f>
        <v/>
      </c>
      <c r="F28" s="37" t="str">
        <f t="shared" si="0"/>
        <v/>
      </c>
      <c r="G28" s="280" t="str">
        <f t="shared" si="1"/>
        <v/>
      </c>
      <c r="H28" s="270"/>
      <c r="J28" s="274">
        <v>20</v>
      </c>
      <c r="K28" s="275"/>
      <c r="L28" s="275"/>
      <c r="M28" s="275"/>
      <c r="N28" s="275"/>
      <c r="O28" s="275"/>
      <c r="P28" s="275"/>
      <c r="Q28" s="275"/>
      <c r="R28" s="275"/>
      <c r="S28" s="275"/>
      <c r="T28" s="275"/>
      <c r="U28" s="275"/>
      <c r="V28" s="275"/>
      <c r="W28" s="275"/>
      <c r="X28" s="275"/>
      <c r="Y28" s="275"/>
      <c r="Z28" s="275"/>
      <c r="AA28" s="275"/>
      <c r="AB28" s="275"/>
      <c r="AC28" s="276"/>
      <c r="AD28" s="276"/>
    </row>
    <row r="29" spans="1:30" x14ac:dyDescent="0.45">
      <c r="A29" s="270"/>
      <c r="B29" s="270"/>
      <c r="C29" s="270"/>
      <c r="D29" s="270"/>
      <c r="E29" s="270"/>
      <c r="F29" s="270"/>
      <c r="G29" s="270"/>
      <c r="H29" s="270"/>
      <c r="J29" s="274">
        <v>21</v>
      </c>
      <c r="K29" s="275"/>
      <c r="L29" s="275"/>
      <c r="M29" s="275"/>
      <c r="N29" s="275"/>
      <c r="O29" s="275"/>
      <c r="P29" s="275"/>
      <c r="Q29" s="275"/>
      <c r="R29" s="275"/>
      <c r="S29" s="275"/>
      <c r="T29" s="275"/>
      <c r="U29" s="275"/>
      <c r="V29" s="275"/>
      <c r="W29" s="275"/>
      <c r="X29" s="275"/>
      <c r="Y29" s="275"/>
      <c r="Z29" s="275"/>
      <c r="AA29" s="275"/>
      <c r="AB29" s="275"/>
      <c r="AC29" s="276"/>
      <c r="AD29" s="276"/>
    </row>
    <row r="30" spans="1:30" x14ac:dyDescent="0.45">
      <c r="A30" s="270"/>
      <c r="B30" s="444" t="s">
        <v>365</v>
      </c>
      <c r="C30" s="444"/>
      <c r="D30" s="444"/>
      <c r="E30" s="444"/>
      <c r="F30" s="444"/>
      <c r="G30" s="444"/>
      <c r="J30" s="274">
        <v>22</v>
      </c>
      <c r="K30" s="275"/>
      <c r="L30" s="275"/>
      <c r="M30" s="275"/>
      <c r="N30" s="275"/>
      <c r="O30" s="275"/>
      <c r="P30" s="275"/>
      <c r="Q30" s="275"/>
      <c r="R30" s="275"/>
      <c r="S30" s="275"/>
      <c r="T30" s="275"/>
      <c r="U30" s="275"/>
      <c r="V30" s="275"/>
      <c r="W30" s="275"/>
      <c r="X30" s="275"/>
      <c r="Y30" s="275"/>
      <c r="Z30" s="275"/>
      <c r="AA30" s="275"/>
      <c r="AB30" s="275"/>
      <c r="AC30" s="276"/>
      <c r="AD30" s="276"/>
    </row>
    <row r="31" spans="1:30" x14ac:dyDescent="0.45">
      <c r="A31" s="270"/>
      <c r="B31" s="182" t="s">
        <v>154</v>
      </c>
      <c r="C31" s="182" t="s">
        <v>18</v>
      </c>
      <c r="D31" s="182" t="s">
        <v>155</v>
      </c>
      <c r="E31" s="182" t="s">
        <v>156</v>
      </c>
      <c r="F31" s="182" t="s">
        <v>364</v>
      </c>
      <c r="G31" s="182" t="s">
        <v>157</v>
      </c>
      <c r="H31" s="270"/>
    </row>
    <row r="32" spans="1:30" x14ac:dyDescent="0.45">
      <c r="A32" s="270"/>
      <c r="B32" s="37">
        <v>1</v>
      </c>
      <c r="C32" s="230" t="str">
        <f t="array" ref="C32">IFERROR(IF(INDEX($V$9:$AB$30,MATCH($B$6,$J$9:$J$30,0),ROWS($C$32:C32))="","",INDEX($V$9:$AB$30,MATCH($B$6,$J$9:$J$30,0),ROWS($C$32:C32))),"")</f>
        <v/>
      </c>
      <c r="D32" s="278" t="str">
        <f t="array" ref="D32">IFERROR(IF(OR($C32="",INDEX(INDEX(Attendance!$CP$5:$FY$24,MATCH($C32,Attendance!$D$5:$D$24,0),0),1,($B$6-1)*4+2)=""),"",INDEX(INDEX(Attendance!$CP$5:$FY$24,MATCH($C32,Attendance!$D$5:$D$24,0),0),1,($B$6-1)*4+2)),"")</f>
        <v/>
      </c>
      <c r="E32" s="279" t="str">
        <f t="array" ref="E32">IFERROR(IF(OR($C32="",INDEX(INDEX(Attendance!$CP$5:$FY$24,MATCH($C32,Attendance!$D$5:$D$24,0),0),1,($B$6-1)*4+3)=""),"",INDEX(INDEX(Attendance!$CP$5:$FY$24,MATCH($C32,Attendance!$D$5:$D$24,0),0),1,($B$6-1)*4+3)),"")</f>
        <v/>
      </c>
      <c r="F32" s="37" t="str">
        <f t="shared" ref="F32:F38" si="2">IFERROR(IF($E32="","",LOOKUP($E32,$J$35:$J$40,$K$35:$K$40)),"")</f>
        <v/>
      </c>
      <c r="G32" s="280" t="str">
        <f t="shared" ref="G32:G38" si="3">IF($C32="","",IF($C32=$D$14,"★ MOTM",""))</f>
        <v/>
      </c>
      <c r="H32" s="270"/>
    </row>
    <row r="33" spans="1:18" x14ac:dyDescent="0.45">
      <c r="A33" s="270"/>
      <c r="B33" s="223">
        <v>2</v>
      </c>
      <c r="C33" s="234" t="str">
        <f t="array" ref="C33">IFERROR(IF(INDEX($V$9:$AB$30,MATCH($B$6,$J$9:$J$30,0),ROWS($C$32:C33))="","",INDEX($V$9:$AB$30,MATCH($B$6,$J$9:$J$30,0),ROWS($C$32:C33))),"")</f>
        <v/>
      </c>
      <c r="D33" s="282" t="str">
        <f t="array" ref="D33">IFERROR(IF(OR($C33="",INDEX(INDEX(Attendance!$CP$5:$FY$24,MATCH($C33,Attendance!$D$5:$D$24,0),0),1,($B$6-1)*4+2)=""),"",INDEX(INDEX(Attendance!$CP$5:$FY$24,MATCH($C33,Attendance!$D$5:$D$24,0),0),1,($B$6-1)*4+2)),"")</f>
        <v/>
      </c>
      <c r="E33" s="283" t="str">
        <f t="array" ref="E33">IFERROR(IF(OR($C33="",INDEX(INDEX(Attendance!$CP$5:$FY$24,MATCH($C33,Attendance!$D$5:$D$24,0),0),1,($B$6-1)*4+3)=""),"",INDEX(INDEX(Attendance!$CP$5:$FY$24,MATCH($C33,Attendance!$D$5:$D$24,0),0),1,($B$6-1)*4+3)),"")</f>
        <v/>
      </c>
      <c r="F33" s="223" t="str">
        <f t="shared" si="2"/>
        <v/>
      </c>
      <c r="G33" s="284" t="str">
        <f t="shared" si="3"/>
        <v/>
      </c>
      <c r="H33" s="270"/>
      <c r="J33" s="271" t="s">
        <v>366</v>
      </c>
    </row>
    <row r="34" spans="1:18" x14ac:dyDescent="0.45">
      <c r="A34" s="270"/>
      <c r="B34" s="37">
        <v>3</v>
      </c>
      <c r="C34" s="230" t="str">
        <f t="array" ref="C34">IFERROR(IF(INDEX($V$9:$AB$30,MATCH($B$6,$J$9:$J$30,0),ROWS($C$32:C34))="","",INDEX($V$9:$AB$30,MATCH($B$6,$J$9:$J$30,0),ROWS($C$32:C34))),"")</f>
        <v/>
      </c>
      <c r="D34" s="278" t="str">
        <f t="array" ref="D34">IFERROR(IF(OR($C34="",INDEX(INDEX(Attendance!$CP$5:$FY$24,MATCH($C34,Attendance!$D$5:$D$24,0),0),1,($B$6-1)*4+2)=""),"",INDEX(INDEX(Attendance!$CP$5:$FY$24,MATCH($C34,Attendance!$D$5:$D$24,0),0),1,($B$6-1)*4+2)),"")</f>
        <v/>
      </c>
      <c r="E34" s="279" t="str">
        <f t="array" ref="E34">IFERROR(IF(OR($C34="",INDEX(INDEX(Attendance!$CP$5:$FY$24,MATCH($C34,Attendance!$D$5:$D$24,0),0),1,($B$6-1)*4+3)=""),"",INDEX(INDEX(Attendance!$CP$5:$FY$24,MATCH($C34,Attendance!$D$5:$D$24,0),0),1,($B$6-1)*4+3)),"")</f>
        <v/>
      </c>
      <c r="F34" s="37" t="str">
        <f t="shared" si="2"/>
        <v/>
      </c>
      <c r="G34" s="280" t="str">
        <f t="shared" si="3"/>
        <v/>
      </c>
      <c r="H34" s="270"/>
      <c r="J34" s="285" t="s">
        <v>367</v>
      </c>
      <c r="K34" s="285" t="s">
        <v>364</v>
      </c>
    </row>
    <row r="35" spans="1:18" x14ac:dyDescent="0.45">
      <c r="A35" s="270"/>
      <c r="B35" s="223">
        <v>4</v>
      </c>
      <c r="C35" s="234" t="str">
        <f t="array" ref="C35">IFERROR(IF(INDEX($V$9:$AB$30,MATCH($B$6,$J$9:$J$30,0),ROWS($C$32:C35))="","",INDEX($V$9:$AB$30,MATCH($B$6,$J$9:$J$30,0),ROWS($C$32:C35))),"")</f>
        <v/>
      </c>
      <c r="D35" s="282" t="str">
        <f t="array" ref="D35">IFERROR(IF(OR($C35="",INDEX(INDEX(Attendance!$CP$5:$FY$24,MATCH($C35,Attendance!$D$5:$D$24,0),0),1,($B$6-1)*4+2)=""),"",INDEX(INDEX(Attendance!$CP$5:$FY$24,MATCH($C35,Attendance!$D$5:$D$24,0),0),1,($B$6-1)*4+2)),"")</f>
        <v/>
      </c>
      <c r="E35" s="283" t="str">
        <f t="array" ref="E35">IFERROR(IF(OR($C35="",INDEX(INDEX(Attendance!$CP$5:$FY$24,MATCH($C35,Attendance!$D$5:$D$24,0),0),1,($B$6-1)*4+3)=""),"",INDEX(INDEX(Attendance!$CP$5:$FY$24,MATCH($C35,Attendance!$D$5:$D$24,0),0),1,($B$6-1)*4+3)),"")</f>
        <v/>
      </c>
      <c r="F35" s="223" t="str">
        <f t="shared" si="2"/>
        <v/>
      </c>
      <c r="G35" s="284" t="str">
        <f t="shared" si="3"/>
        <v/>
      </c>
      <c r="H35" s="270"/>
      <c r="J35" s="286">
        <v>0</v>
      </c>
      <c r="K35" s="286" t="s">
        <v>207</v>
      </c>
    </row>
    <row r="36" spans="1:18" x14ac:dyDescent="0.45">
      <c r="A36" s="270"/>
      <c r="B36" s="37">
        <v>5</v>
      </c>
      <c r="C36" s="230" t="str">
        <f t="array" ref="C36">IFERROR(IF(INDEX($V$9:$AB$30,MATCH($B$6,$J$9:$J$30,0),ROWS($C$32:C36))="","",INDEX($V$9:$AB$30,MATCH($B$6,$J$9:$J$30,0),ROWS($C$32:C36))),"")</f>
        <v/>
      </c>
      <c r="D36" s="278" t="str">
        <f t="array" ref="D36">IFERROR(IF(OR($C36="",INDEX(INDEX(Attendance!$CP$5:$FY$24,MATCH($C36,Attendance!$D$5:$D$24,0),0),1,($B$6-1)*4+2)=""),"",INDEX(INDEX(Attendance!$CP$5:$FY$24,MATCH($C36,Attendance!$D$5:$D$24,0),0),1,($B$6-1)*4+2)),"")</f>
        <v/>
      </c>
      <c r="E36" s="279" t="str">
        <f t="array" ref="E36">IFERROR(IF(OR($C36="",INDEX(INDEX(Attendance!$CP$5:$FY$24,MATCH($C36,Attendance!$D$5:$D$24,0),0),1,($B$6-1)*4+3)=""),"",INDEX(INDEX(Attendance!$CP$5:$FY$24,MATCH($C36,Attendance!$D$5:$D$24,0),0),1,($B$6-1)*4+3)),"")</f>
        <v/>
      </c>
      <c r="F36" s="37" t="str">
        <f t="shared" si="2"/>
        <v/>
      </c>
      <c r="G36" s="280" t="str">
        <f t="shared" si="3"/>
        <v/>
      </c>
      <c r="H36" s="270"/>
      <c r="J36" s="286">
        <v>5</v>
      </c>
      <c r="K36" s="286" t="s">
        <v>204</v>
      </c>
    </row>
    <row r="37" spans="1:18" x14ac:dyDescent="0.45">
      <c r="A37" s="270"/>
      <c r="B37" s="223">
        <v>6</v>
      </c>
      <c r="C37" s="234" t="str">
        <f t="array" ref="C37">IFERROR(IF(INDEX($V$9:$AB$30,MATCH($B$6,$J$9:$J$30,0),ROWS($C$32:C37))="","",INDEX($V$9:$AB$30,MATCH($B$6,$J$9:$J$30,0),ROWS($C$32:C37))),"")</f>
        <v/>
      </c>
      <c r="D37" s="282" t="str">
        <f t="array" ref="D37">IFERROR(IF(OR($C37="",INDEX(INDEX(Attendance!$CP$5:$FY$24,MATCH($C37,Attendance!$D$5:$D$24,0),0),1,($B$6-1)*4+2)=""),"",INDEX(INDEX(Attendance!$CP$5:$FY$24,MATCH($C37,Attendance!$D$5:$D$24,0),0),1,($B$6-1)*4+2)),"")</f>
        <v/>
      </c>
      <c r="E37" s="283" t="str">
        <f t="array" ref="E37">IFERROR(IF(OR($C37="",INDEX(INDEX(Attendance!$CP$5:$FY$24,MATCH($C37,Attendance!$D$5:$D$24,0),0),1,($B$6-1)*4+3)=""),"",INDEX(INDEX(Attendance!$CP$5:$FY$24,MATCH($C37,Attendance!$D$5:$D$24,0),0),1,($B$6-1)*4+3)),"")</f>
        <v/>
      </c>
      <c r="F37" s="223" t="str">
        <f t="shared" si="2"/>
        <v/>
      </c>
      <c r="G37" s="284" t="str">
        <f t="shared" si="3"/>
        <v/>
      </c>
      <c r="H37" s="270"/>
      <c r="J37" s="286">
        <v>6</v>
      </c>
      <c r="K37" s="286" t="s">
        <v>201</v>
      </c>
    </row>
    <row r="38" spans="1:18" x14ac:dyDescent="0.45">
      <c r="A38" s="270"/>
      <c r="B38" s="37">
        <v>7</v>
      </c>
      <c r="C38" s="230" t="str">
        <f t="array" ref="C38">IFERROR(IF(INDEX($V$9:$AB$30,MATCH($B$6,$J$9:$J$30,0),ROWS($C$32:C38))="","",INDEX($V$9:$AB$30,MATCH($B$6,$J$9:$J$30,0),ROWS($C$32:C38))),"")</f>
        <v/>
      </c>
      <c r="D38" s="278" t="str">
        <f t="array" ref="D38">IFERROR(IF(OR($C38="",INDEX(INDEX(Attendance!$CP$5:$FY$24,MATCH($C38,Attendance!$D$5:$D$24,0),0),1,($B$6-1)*4+2)=""),"",INDEX(INDEX(Attendance!$CP$5:$FY$24,MATCH($C38,Attendance!$D$5:$D$24,0),0),1,($B$6-1)*4+2)),"")</f>
        <v/>
      </c>
      <c r="E38" s="279" t="str">
        <f t="array" ref="E38">IFERROR(IF(OR($C38="",INDEX(INDEX(Attendance!$CP$5:$FY$24,MATCH($C38,Attendance!$D$5:$D$24,0),0),1,($B$6-1)*4+3)=""),"",INDEX(INDEX(Attendance!$CP$5:$FY$24,MATCH($C38,Attendance!$D$5:$D$24,0),0),1,($B$6-1)*4+3)),"")</f>
        <v/>
      </c>
      <c r="F38" s="37" t="str">
        <f t="shared" si="2"/>
        <v/>
      </c>
      <c r="G38" s="280" t="str">
        <f t="shared" si="3"/>
        <v/>
      </c>
      <c r="H38" s="270"/>
      <c r="J38" s="286">
        <v>7</v>
      </c>
      <c r="K38" s="286" t="s">
        <v>198</v>
      </c>
    </row>
    <row r="39" spans="1:18" x14ac:dyDescent="0.45">
      <c r="A39" s="270"/>
      <c r="B39" s="270"/>
      <c r="C39" s="270"/>
      <c r="D39" s="270"/>
      <c r="E39" s="270"/>
      <c r="F39" s="270"/>
      <c r="G39" s="270"/>
      <c r="H39" s="270"/>
      <c r="J39" s="286">
        <v>8</v>
      </c>
      <c r="K39" s="286" t="s">
        <v>195</v>
      </c>
    </row>
    <row r="40" spans="1:18" x14ac:dyDescent="0.45">
      <c r="A40" s="270"/>
      <c r="B40" s="443" t="s">
        <v>368</v>
      </c>
      <c r="C40" s="443"/>
      <c r="D40" s="443"/>
      <c r="E40" s="443"/>
      <c r="F40" s="443"/>
      <c r="G40" s="443"/>
      <c r="H40" s="443"/>
      <c r="J40" s="286">
        <v>9</v>
      </c>
      <c r="K40" s="286" t="s">
        <v>112</v>
      </c>
    </row>
    <row r="41" spans="1:18" x14ac:dyDescent="0.45">
      <c r="A41" s="270"/>
      <c r="B41" s="182" t="s">
        <v>154</v>
      </c>
      <c r="C41" s="182" t="s">
        <v>18</v>
      </c>
      <c r="D41" s="182" t="s">
        <v>218</v>
      </c>
      <c r="E41" s="182" t="s">
        <v>41</v>
      </c>
      <c r="F41" s="182" t="s">
        <v>155</v>
      </c>
      <c r="G41" s="182" t="s">
        <v>156</v>
      </c>
      <c r="H41" s="182" t="s">
        <v>364</v>
      </c>
    </row>
    <row r="42" spans="1:18" x14ac:dyDescent="0.45">
      <c r="A42" s="270"/>
      <c r="B42" s="217">
        <f>IF($C42="","",ROWS($B$42:B42))</f>
        <v>1</v>
      </c>
      <c r="C42" s="230" t="str">
        <f>IF(Attendance!$D5="","",Attendance!$D5)</f>
        <v>Aoife Kennan</v>
      </c>
      <c r="D42" s="287" t="str">
        <f>IF($C42="","",'Player Grading'!$D6)</f>
        <v>GK</v>
      </c>
      <c r="E42" s="287" t="str">
        <f t="array" ref="E42">IFERROR(IF(OR($C42="",INDEX(Attendance!$CP5:$FY5,1,($B$6-1)*4+1)=""),"",INDEX(Attendance!$CP5:$FY5,1,($B$6-1)*4+1)),"")</f>
        <v/>
      </c>
      <c r="F42" s="278" t="str">
        <f t="array" ref="F42">IFERROR(IF(OR($C42="",INDEX(Attendance!$CP5:$FY5,1,($B$6-1)*4+2)=""),"",INDEX(Attendance!$CP5:$FY5,1,($B$6-1)*4+2)),"")</f>
        <v/>
      </c>
      <c r="G42" s="279" t="str">
        <f t="array" ref="G42">IFERROR(IF(OR($C42="",INDEX(Attendance!$CP5:$FY5,1,($B$6-1)*4+3)=""),"",INDEX(Attendance!$CP5:$FY5,1,($B$6-1)*4+3)),"")</f>
        <v/>
      </c>
      <c r="H42" s="37" t="str">
        <f t="shared" ref="H42:H61" si="4">IFERROR(IF($G42="","",LOOKUP($G42,$J$35:$J$40,$K$35:$K$40)),"")</f>
        <v/>
      </c>
    </row>
    <row r="43" spans="1:18" x14ac:dyDescent="0.45">
      <c r="A43" s="270"/>
      <c r="B43" s="221">
        <f>IF($C43="","",ROWS($B$42:B43))</f>
        <v>2</v>
      </c>
      <c r="C43" s="234" t="str">
        <f>IF(Attendance!$D6="","",Attendance!$D6)</f>
        <v>Stella McEvoy</v>
      </c>
      <c r="D43" s="288" t="str">
        <f>IF($C43="","",'Player Grading'!$D7)</f>
        <v>LB / RB / CB</v>
      </c>
      <c r="E43" s="288" t="str">
        <f t="array" ref="E43">IFERROR(IF(OR($C43="",INDEX(Attendance!$CP6:$FY6,1,($B$6-1)*4+1)=""),"",INDEX(Attendance!$CP6:$FY6,1,($B$6-1)*4+1)),"")</f>
        <v/>
      </c>
      <c r="F43" s="282" t="str">
        <f t="array" ref="F43">IFERROR(IF(OR($C43="",INDEX(Attendance!$CP6:$FY6,1,($B$6-1)*4+2)=""),"",INDEX(Attendance!$CP6:$FY6,1,($B$6-1)*4+2)),"")</f>
        <v/>
      </c>
      <c r="G43" s="283" t="str">
        <f t="array" ref="G43">IFERROR(IF(OR($C43="",INDEX(Attendance!$CP6:$FY6,1,($B$6-1)*4+3)=""),"",INDEX(Attendance!$CP6:$FY6,1,($B$6-1)*4+3)),"")</f>
        <v/>
      </c>
      <c r="H43" s="223" t="str">
        <f t="shared" si="4"/>
        <v/>
      </c>
      <c r="J43" s="443" t="s">
        <v>369</v>
      </c>
      <c r="K43" s="443"/>
      <c r="L43" s="443"/>
      <c r="M43" s="443"/>
      <c r="N43" s="443"/>
      <c r="O43" s="443"/>
      <c r="P43" s="443"/>
      <c r="R43" s="289" t="s">
        <v>370</v>
      </c>
    </row>
    <row r="44" spans="1:18" x14ac:dyDescent="0.45">
      <c r="A44" s="270"/>
      <c r="B44" s="217">
        <f>IF($C44="","",ROWS($B$42:B44))</f>
        <v>3</v>
      </c>
      <c r="C44" s="230" t="str">
        <f>IF(Attendance!$D7="","",Attendance!$D7)</f>
        <v>Zara Power</v>
      </c>
      <c r="D44" s="287" t="str">
        <f>IF($C44="","",'Player Grading'!$D8)</f>
        <v>RB</v>
      </c>
      <c r="E44" s="287" t="str">
        <f t="array" ref="E44">IFERROR(IF(OR($C44="",INDEX(Attendance!$CP7:$FY7,1,($B$6-1)*4+1)=""),"",INDEX(Attendance!$CP7:$FY7,1,($B$6-1)*4+1)),"")</f>
        <v/>
      </c>
      <c r="F44" s="278" t="str">
        <f t="array" ref="F44">IFERROR(IF(OR($C44="",INDEX(Attendance!$CP7:$FY7,1,($B$6-1)*4+2)=""),"",INDEX(Attendance!$CP7:$FY7,1,($B$6-1)*4+2)),"")</f>
        <v/>
      </c>
      <c r="G44" s="279" t="str">
        <f t="array" ref="G44">IFERROR(IF(OR($C44="",INDEX(Attendance!$CP7:$FY7,1,($B$6-1)*4+3)=""),"",INDEX(Attendance!$CP7:$FY7,1,($B$6-1)*4+3)),"")</f>
        <v/>
      </c>
      <c r="H44" s="37" t="str">
        <f t="shared" si="4"/>
        <v/>
      </c>
      <c r="J44" s="290" t="s">
        <v>338</v>
      </c>
      <c r="K44" s="290" t="s">
        <v>302</v>
      </c>
      <c r="L44" s="290" t="s">
        <v>300</v>
      </c>
      <c r="M44" s="290" t="s">
        <v>360</v>
      </c>
      <c r="N44" s="290" t="s">
        <v>303</v>
      </c>
      <c r="O44" s="290" t="s">
        <v>304</v>
      </c>
      <c r="P44" s="290" t="s">
        <v>305</v>
      </c>
      <c r="R44" s="273" t="s">
        <v>371</v>
      </c>
    </row>
    <row r="45" spans="1:18" x14ac:dyDescent="0.45">
      <c r="A45" s="270"/>
      <c r="B45" s="221">
        <f>IF($C45="","",ROWS($B$42:B45))</f>
        <v>4</v>
      </c>
      <c r="C45" s="234" t="str">
        <f>IF(Attendance!$D8="","",Attendance!$D8)</f>
        <v>Heidi Cerubini Dunne</v>
      </c>
      <c r="D45" s="288" t="str">
        <f>IF($C45="","",'Player Grading'!$D9)</f>
        <v>LB / RB</v>
      </c>
      <c r="E45" s="288" t="str">
        <f t="array" ref="E45">IFERROR(IF(OR($C45="",INDEX(Attendance!$CP8:$FY8,1,($B$6-1)*4+1)=""),"",INDEX(Attendance!$CP8:$FY8,1,($B$6-1)*4+1)),"")</f>
        <v/>
      </c>
      <c r="F45" s="282" t="str">
        <f t="array" ref="F45">IFERROR(IF(OR($C45="",INDEX(Attendance!$CP8:$FY8,1,($B$6-1)*4+2)=""),"",INDEX(Attendance!$CP8:$FY8,1,($B$6-1)*4+2)),"")</f>
        <v/>
      </c>
      <c r="G45" s="283" t="str">
        <f t="array" ref="G45">IFERROR(IF(OR($C45="",INDEX(Attendance!$CP8:$FY8,1,($B$6-1)*4+3)=""),"",INDEX(Attendance!$CP8:$FY8,1,($B$6-1)*4+3)),"")</f>
        <v/>
      </c>
      <c r="H45" s="223" t="str">
        <f t="shared" si="4"/>
        <v/>
      </c>
      <c r="J45" s="274">
        <v>1</v>
      </c>
      <c r="K45" s="291">
        <v>46264</v>
      </c>
      <c r="L45" s="292" t="s">
        <v>183</v>
      </c>
      <c r="M45" s="293" t="s">
        <v>372</v>
      </c>
      <c r="N45" s="294"/>
      <c r="O45" s="294"/>
      <c r="P45" s="295" t="str">
        <f t="shared" ref="P45:P66" si="5">IF(OR($N45="",$O45=""),"",IF($N45&gt;$O45,"W",IF($N45=$O45,"D","L")))</f>
        <v/>
      </c>
      <c r="R45" s="96" t="s">
        <v>180</v>
      </c>
    </row>
    <row r="46" spans="1:18" x14ac:dyDescent="0.45">
      <c r="A46" s="270"/>
      <c r="B46" s="217">
        <f>IF($C46="","",ROWS($B$42:B46))</f>
        <v>5</v>
      </c>
      <c r="C46" s="230" t="str">
        <f>IF(Attendance!$D9="","",Attendance!$D9)</f>
        <v>Roisin Offenhausen</v>
      </c>
      <c r="D46" s="287" t="str">
        <f>IF($C46="","",'Player Grading'!$D10)</f>
        <v>RW / CM / ST</v>
      </c>
      <c r="E46" s="287" t="str">
        <f t="array" ref="E46">IFERROR(IF(OR($C46="",INDEX(Attendance!$CP9:$FY9,1,($B$6-1)*4+1)=""),"",INDEX(Attendance!$CP9:$FY9,1,($B$6-1)*4+1)),"")</f>
        <v/>
      </c>
      <c r="F46" s="278" t="str">
        <f t="array" ref="F46">IFERROR(IF(OR($C46="",INDEX(Attendance!$CP9:$FY9,1,($B$6-1)*4+2)=""),"",INDEX(Attendance!$CP9:$FY9,1,($B$6-1)*4+2)),"")</f>
        <v/>
      </c>
      <c r="G46" s="279" t="str">
        <f t="array" ref="G46">IFERROR(IF(OR($C46="",INDEX(Attendance!$CP9:$FY9,1,($B$6-1)*4+3)=""),"",INDEX(Attendance!$CP9:$FY9,1,($B$6-1)*4+3)),"")</f>
        <v/>
      </c>
      <c r="H46" s="37" t="str">
        <f t="shared" si="4"/>
        <v/>
      </c>
      <c r="J46" s="274">
        <v>2</v>
      </c>
      <c r="K46" s="291"/>
      <c r="L46" s="292"/>
      <c r="M46" s="293"/>
      <c r="N46" s="294"/>
      <c r="O46" s="294"/>
      <c r="P46" s="295" t="str">
        <f t="shared" si="5"/>
        <v/>
      </c>
      <c r="R46" s="105" t="s">
        <v>181</v>
      </c>
    </row>
    <row r="47" spans="1:18" x14ac:dyDescent="0.45">
      <c r="A47" s="270"/>
      <c r="B47" s="221">
        <f>IF($C47="","",ROWS($B$42:B47))</f>
        <v>6</v>
      </c>
      <c r="C47" s="234" t="str">
        <f>IF(Attendance!$D10="","",Attendance!$D10)</f>
        <v>Naomi Adewoyin</v>
      </c>
      <c r="D47" s="288" t="str">
        <f>IF($C47="","",'Player Grading'!$D11)</f>
        <v>CM / ACM</v>
      </c>
      <c r="E47" s="288" t="str">
        <f t="array" ref="E47">IFERROR(IF(OR($C47="",INDEX(Attendance!$CP10:$FY10,1,($B$6-1)*4+1)=""),"",INDEX(Attendance!$CP10:$FY10,1,($B$6-1)*4+1)),"")</f>
        <v/>
      </c>
      <c r="F47" s="282" t="str">
        <f t="array" ref="F47">IFERROR(IF(OR($C47="",INDEX(Attendance!$CP10:$FY10,1,($B$6-1)*4+2)=""),"",INDEX(Attendance!$CP10:$FY10,1,($B$6-1)*4+2)),"")</f>
        <v/>
      </c>
      <c r="G47" s="283" t="str">
        <f t="array" ref="G47">IFERROR(IF(OR($C47="",INDEX(Attendance!$CP10:$FY10,1,($B$6-1)*4+3)=""),"",INDEX(Attendance!$CP10:$FY10,1,($B$6-1)*4+3)),"")</f>
        <v/>
      </c>
      <c r="H47" s="223" t="str">
        <f t="shared" si="4"/>
        <v/>
      </c>
      <c r="J47" s="274">
        <v>3</v>
      </c>
      <c r="K47" s="291"/>
      <c r="L47" s="292"/>
      <c r="M47" s="293"/>
      <c r="N47" s="294"/>
      <c r="O47" s="294"/>
      <c r="P47" s="295" t="str">
        <f t="shared" si="5"/>
        <v/>
      </c>
      <c r="R47" s="105" t="s">
        <v>182</v>
      </c>
    </row>
    <row r="48" spans="1:18" x14ac:dyDescent="0.45">
      <c r="A48" s="270"/>
      <c r="B48" s="217">
        <f>IF($C48="","",ROWS($B$42:B48))</f>
        <v>7</v>
      </c>
      <c r="C48" s="230" t="str">
        <f>IF(Attendance!$D11="","",Attendance!$D11)</f>
        <v>Amber Kilalee</v>
      </c>
      <c r="D48" s="287" t="str">
        <f>IF($C48="","",'Player Grading'!$D12)</f>
        <v>LW / ST</v>
      </c>
      <c r="E48" s="287" t="str">
        <f t="array" ref="E48">IFERROR(IF(OR($C48="",INDEX(Attendance!$CP11:$FY11,1,($B$6-1)*4+1)=""),"",INDEX(Attendance!$CP11:$FY11,1,($B$6-1)*4+1)),"")</f>
        <v/>
      </c>
      <c r="F48" s="278" t="str">
        <f t="array" ref="F48">IFERROR(IF(OR($C48="",INDEX(Attendance!$CP11:$FY11,1,($B$6-1)*4+2)=""),"",INDEX(Attendance!$CP11:$FY11,1,($B$6-1)*4+2)),"")</f>
        <v/>
      </c>
      <c r="G48" s="279" t="str">
        <f t="array" ref="G48">IFERROR(IF(OR($C48="",INDEX(Attendance!$CP11:$FY11,1,($B$6-1)*4+3)=""),"",INDEX(Attendance!$CP11:$FY11,1,($B$6-1)*4+3)),"")</f>
        <v/>
      </c>
      <c r="H48" s="37" t="str">
        <f t="shared" si="4"/>
        <v/>
      </c>
      <c r="J48" s="274">
        <v>4</v>
      </c>
      <c r="K48" s="291"/>
      <c r="L48" s="292"/>
      <c r="M48" s="293"/>
      <c r="N48" s="294"/>
      <c r="O48" s="294"/>
      <c r="P48" s="295" t="str">
        <f t="shared" si="5"/>
        <v/>
      </c>
      <c r="R48" s="105" t="s">
        <v>183</v>
      </c>
    </row>
    <row r="49" spans="1:18" x14ac:dyDescent="0.45">
      <c r="A49" s="270"/>
      <c r="B49" s="221">
        <f>IF($C49="","",ROWS($B$42:B49))</f>
        <v>8</v>
      </c>
      <c r="C49" s="234" t="str">
        <f>IF(Attendance!$D12="","",Attendance!$D12)</f>
        <v>Shauna Kavanagh</v>
      </c>
      <c r="D49" s="288" t="str">
        <f>IF($C49="","",'Player Grading'!$D13)</f>
        <v>ST / RW</v>
      </c>
      <c r="E49" s="288" t="str">
        <f t="array" ref="E49">IFERROR(IF(OR($C49="",INDEX(Attendance!$CP12:$FY12,1,($B$6-1)*4+1)=""),"",INDEX(Attendance!$CP12:$FY12,1,($B$6-1)*4+1)),"")</f>
        <v/>
      </c>
      <c r="F49" s="282" t="str">
        <f t="array" ref="F49">IFERROR(IF(OR($C49="",INDEX(Attendance!$CP12:$FY12,1,($B$6-1)*4+2)=""),"",INDEX(Attendance!$CP12:$FY12,1,($B$6-1)*4+2)),"")</f>
        <v/>
      </c>
      <c r="G49" s="283" t="str">
        <f t="array" ref="G49">IFERROR(IF(OR($C49="",INDEX(Attendance!$CP12:$FY12,1,($B$6-1)*4+3)=""),"",INDEX(Attendance!$CP12:$FY12,1,($B$6-1)*4+3)),"")</f>
        <v/>
      </c>
      <c r="H49" s="223" t="str">
        <f t="shared" si="4"/>
        <v/>
      </c>
      <c r="J49" s="274">
        <v>5</v>
      </c>
      <c r="K49" s="291"/>
      <c r="L49" s="292"/>
      <c r="M49" s="293"/>
      <c r="N49" s="294"/>
      <c r="O49" s="294"/>
      <c r="P49" s="295" t="str">
        <f t="shared" si="5"/>
        <v/>
      </c>
      <c r="R49" s="105" t="s">
        <v>184</v>
      </c>
    </row>
    <row r="50" spans="1:18" x14ac:dyDescent="0.45">
      <c r="A50" s="270"/>
      <c r="B50" s="217">
        <f>IF($C50="","",ROWS($B$42:B50))</f>
        <v>9</v>
      </c>
      <c r="C50" s="230" t="str">
        <f>IF(Attendance!$D13="","",Attendance!$D13)</f>
        <v>Tara Brannigan</v>
      </c>
      <c r="D50" s="287" t="str">
        <f>IF($C50="","",'Player Grading'!$D14)</f>
        <v>DM / CM</v>
      </c>
      <c r="E50" s="287" t="str">
        <f t="array" ref="E50">IFERROR(IF(OR($C50="",INDEX(Attendance!$CP13:$FY13,1,($B$6-1)*4+1)=""),"",INDEX(Attendance!$CP13:$FY13,1,($B$6-1)*4+1)),"")</f>
        <v/>
      </c>
      <c r="F50" s="278" t="str">
        <f t="array" ref="F50">IFERROR(IF(OR($C50="",INDEX(Attendance!$CP13:$FY13,1,($B$6-1)*4+2)=""),"",INDEX(Attendance!$CP13:$FY13,1,($B$6-1)*4+2)),"")</f>
        <v/>
      </c>
      <c r="G50" s="279" t="str">
        <f t="array" ref="G50">IFERROR(IF(OR($C50="",INDEX(Attendance!$CP13:$FY13,1,($B$6-1)*4+3)=""),"",INDEX(Attendance!$CP13:$FY13,1,($B$6-1)*4+3)),"")</f>
        <v/>
      </c>
      <c r="H50" s="37" t="str">
        <f t="shared" si="4"/>
        <v/>
      </c>
      <c r="J50" s="274">
        <v>6</v>
      </c>
      <c r="K50" s="291"/>
      <c r="L50" s="292"/>
      <c r="M50" s="293"/>
      <c r="N50" s="294"/>
      <c r="O50" s="294"/>
      <c r="P50" s="295" t="str">
        <f t="shared" si="5"/>
        <v/>
      </c>
      <c r="R50" s="105" t="s">
        <v>185</v>
      </c>
    </row>
    <row r="51" spans="1:18" x14ac:dyDescent="0.45">
      <c r="A51" s="270"/>
      <c r="B51" s="221">
        <f>IF($C51="","",ROWS($B$42:B51))</f>
        <v>10</v>
      </c>
      <c r="C51" s="234" t="str">
        <f>IF(Attendance!$D14="","",Attendance!$D14)</f>
        <v>Semilore Adesanya</v>
      </c>
      <c r="D51" s="288" t="str">
        <f>IF($C51="","",'Player Grading'!$D15)</f>
        <v>CB / CM</v>
      </c>
      <c r="E51" s="288" t="str">
        <f t="array" ref="E51">IFERROR(IF(OR($C51="",INDEX(Attendance!$CP14:$FY14,1,($B$6-1)*4+1)=""),"",INDEX(Attendance!$CP14:$FY14,1,($B$6-1)*4+1)),"")</f>
        <v/>
      </c>
      <c r="F51" s="282" t="str">
        <f t="array" ref="F51">IFERROR(IF(OR($C51="",INDEX(Attendance!$CP14:$FY14,1,($B$6-1)*4+2)=""),"",INDEX(Attendance!$CP14:$FY14,1,($B$6-1)*4+2)),"")</f>
        <v/>
      </c>
      <c r="G51" s="283" t="str">
        <f t="array" ref="G51">IFERROR(IF(OR($C51="",INDEX(Attendance!$CP14:$FY14,1,($B$6-1)*4+3)=""),"",INDEX(Attendance!$CP14:$FY14,1,($B$6-1)*4+3)),"")</f>
        <v/>
      </c>
      <c r="H51" s="223" t="str">
        <f t="shared" si="4"/>
        <v/>
      </c>
      <c r="J51" s="274">
        <v>7</v>
      </c>
      <c r="K51" s="291"/>
      <c r="L51" s="292"/>
      <c r="M51" s="293"/>
      <c r="N51" s="294"/>
      <c r="O51" s="294"/>
      <c r="P51" s="295" t="str">
        <f t="shared" si="5"/>
        <v/>
      </c>
      <c r="R51" s="105" t="s">
        <v>186</v>
      </c>
    </row>
    <row r="52" spans="1:18" x14ac:dyDescent="0.45">
      <c r="A52" s="270"/>
      <c r="B52" s="217">
        <f>IF($C52="","",ROWS($B$42:B52))</f>
        <v>11</v>
      </c>
      <c r="C52" s="230" t="str">
        <f>IF(Attendance!$D15="","",Attendance!$D15)</f>
        <v>Hannah Fleming</v>
      </c>
      <c r="D52" s="287" t="str">
        <f>IF($C52="","",'Player Grading'!$D16)</f>
        <v>LB / LW</v>
      </c>
      <c r="E52" s="287" t="str">
        <f t="array" ref="E52">IFERROR(IF(OR($C52="",INDEX(Attendance!$CP15:$FY15,1,($B$6-1)*4+1)=""),"",INDEX(Attendance!$CP15:$FY15,1,($B$6-1)*4+1)),"")</f>
        <v/>
      </c>
      <c r="F52" s="278" t="str">
        <f t="array" ref="F52">IFERROR(IF(OR($C52="",INDEX(Attendance!$CP15:$FY15,1,($B$6-1)*4+2)=""),"",INDEX(Attendance!$CP15:$FY15,1,($B$6-1)*4+2)),"")</f>
        <v/>
      </c>
      <c r="G52" s="279" t="str">
        <f t="array" ref="G52">IFERROR(IF(OR($C52="",INDEX(Attendance!$CP15:$FY15,1,($B$6-1)*4+3)=""),"",INDEX(Attendance!$CP15:$FY15,1,($B$6-1)*4+3)),"")</f>
        <v/>
      </c>
      <c r="H52" s="37" t="str">
        <f t="shared" si="4"/>
        <v/>
      </c>
      <c r="J52" s="274">
        <v>8</v>
      </c>
      <c r="K52" s="291"/>
      <c r="L52" s="292"/>
      <c r="M52" s="293"/>
      <c r="N52" s="294"/>
      <c r="O52" s="294"/>
      <c r="P52" s="295" t="str">
        <f t="shared" si="5"/>
        <v/>
      </c>
      <c r="R52" s="105" t="s">
        <v>187</v>
      </c>
    </row>
    <row r="53" spans="1:18" x14ac:dyDescent="0.45">
      <c r="A53" s="270"/>
      <c r="B53" s="221">
        <f>IF($C53="","",ROWS($B$42:B53))</f>
        <v>12</v>
      </c>
      <c r="C53" s="234" t="str">
        <f>IF(Attendance!$D16="","",Attendance!$D16)</f>
        <v>Emma Kelly</v>
      </c>
      <c r="D53" s="288" t="str">
        <f>IF($C53="","",'Player Grading'!$D17)</f>
        <v>CB</v>
      </c>
      <c r="E53" s="288" t="str">
        <f t="array" ref="E53">IFERROR(IF(OR($C53="",INDEX(Attendance!$CP16:$FY16,1,($B$6-1)*4+1)=""),"",INDEX(Attendance!$CP16:$FY16,1,($B$6-1)*4+1)),"")</f>
        <v/>
      </c>
      <c r="F53" s="282" t="str">
        <f t="array" ref="F53">IFERROR(IF(OR($C53="",INDEX(Attendance!$CP16:$FY16,1,($B$6-1)*4+2)=""),"",INDEX(Attendance!$CP16:$FY16,1,($B$6-1)*4+2)),"")</f>
        <v/>
      </c>
      <c r="G53" s="283" t="str">
        <f t="array" ref="G53">IFERROR(IF(OR($C53="",INDEX(Attendance!$CP16:$FY16,1,($B$6-1)*4+3)=""),"",INDEX(Attendance!$CP16:$FY16,1,($B$6-1)*4+3)),"")</f>
        <v/>
      </c>
      <c r="H53" s="223" t="str">
        <f t="shared" si="4"/>
        <v/>
      </c>
      <c r="J53" s="274">
        <v>9</v>
      </c>
      <c r="K53" s="291"/>
      <c r="L53" s="292"/>
      <c r="M53" s="293"/>
      <c r="N53" s="294"/>
      <c r="O53" s="294"/>
      <c r="P53" s="295" t="str">
        <f t="shared" si="5"/>
        <v/>
      </c>
      <c r="R53" s="105" t="s">
        <v>188</v>
      </c>
    </row>
    <row r="54" spans="1:18" x14ac:dyDescent="0.45">
      <c r="A54" s="270"/>
      <c r="B54" s="217">
        <f>IF($C54="","",ROWS($B$42:B54))</f>
        <v>13</v>
      </c>
      <c r="C54" s="230" t="str">
        <f>IF(Attendance!$D17="","",Attendance!$D17)</f>
        <v>Roma Memon</v>
      </c>
      <c r="D54" s="287" t="str">
        <f>IF($C54="","",'Player Grading'!$D18)</f>
        <v>DM / CM</v>
      </c>
      <c r="E54" s="287" t="str">
        <f t="array" ref="E54">IFERROR(IF(OR($C54="",INDEX(Attendance!$CP17:$FY17,1,($B$6-1)*4+1)=""),"",INDEX(Attendance!$CP17:$FY17,1,($B$6-1)*4+1)),"")</f>
        <v/>
      </c>
      <c r="F54" s="278" t="str">
        <f t="array" ref="F54">IFERROR(IF(OR($C54="",INDEX(Attendance!$CP17:$FY17,1,($B$6-1)*4+2)=""),"",INDEX(Attendance!$CP17:$FY17,1,($B$6-1)*4+2)),"")</f>
        <v/>
      </c>
      <c r="G54" s="279" t="str">
        <f t="array" ref="G54">IFERROR(IF(OR($C54="",INDEX(Attendance!$CP17:$FY17,1,($B$6-1)*4+3)=""),"",INDEX(Attendance!$CP17:$FY17,1,($B$6-1)*4+3)),"")</f>
        <v/>
      </c>
      <c r="H54" s="37" t="str">
        <f t="shared" si="4"/>
        <v/>
      </c>
      <c r="J54" s="274">
        <v>10</v>
      </c>
      <c r="K54" s="291"/>
      <c r="L54" s="292"/>
      <c r="M54" s="293"/>
      <c r="N54" s="294"/>
      <c r="O54" s="294"/>
      <c r="P54" s="295" t="str">
        <f t="shared" si="5"/>
        <v/>
      </c>
      <c r="R54" s="105" t="s">
        <v>189</v>
      </c>
    </row>
    <row r="55" spans="1:18" x14ac:dyDescent="0.45">
      <c r="A55" s="270"/>
      <c r="B55" s="221">
        <f>IF($C55="","",ROWS($B$42:B55))</f>
        <v>14</v>
      </c>
      <c r="C55" s="234" t="str">
        <f>IF(Attendance!$D18="","",Attendance!$D18)</f>
        <v>Emma Dromgoole</v>
      </c>
      <c r="D55" s="288" t="str">
        <f>IF($C55="","",'Player Grading'!$D19)</f>
        <v>RW / ST</v>
      </c>
      <c r="E55" s="288" t="str">
        <f t="array" ref="E55">IFERROR(IF(OR($C55="",INDEX(Attendance!$CP18:$FY18,1,($B$6-1)*4+1)=""),"",INDEX(Attendance!$CP18:$FY18,1,($B$6-1)*4+1)),"")</f>
        <v/>
      </c>
      <c r="F55" s="282" t="str">
        <f t="array" ref="F55">IFERROR(IF(OR($C55="",INDEX(Attendance!$CP18:$FY18,1,($B$6-1)*4+2)=""),"",INDEX(Attendance!$CP18:$FY18,1,($B$6-1)*4+2)),"")</f>
        <v/>
      </c>
      <c r="G55" s="283" t="str">
        <f t="array" ref="G55">IFERROR(IF(OR($C55="",INDEX(Attendance!$CP18:$FY18,1,($B$6-1)*4+3)=""),"",INDEX(Attendance!$CP18:$FY18,1,($B$6-1)*4+3)),"")</f>
        <v/>
      </c>
      <c r="H55" s="223" t="str">
        <f t="shared" si="4"/>
        <v/>
      </c>
      <c r="J55" s="274">
        <v>11</v>
      </c>
      <c r="K55" s="291"/>
      <c r="L55" s="292"/>
      <c r="M55" s="293"/>
      <c r="N55" s="294"/>
      <c r="O55" s="294"/>
      <c r="P55" s="295" t="str">
        <f t="shared" si="5"/>
        <v/>
      </c>
      <c r="R55" s="133" t="s">
        <v>190</v>
      </c>
    </row>
    <row r="56" spans="1:18" x14ac:dyDescent="0.45">
      <c r="A56" s="270"/>
      <c r="B56" s="217">
        <f>IF($C56="","",ROWS($B$42:B56))</f>
        <v>15</v>
      </c>
      <c r="C56" s="230" t="str">
        <f>IF(Attendance!$D19="","",Attendance!$D19)</f>
        <v>Elsie Morrison</v>
      </c>
      <c r="D56" s="287" t="str">
        <f>IF($C56="","",'Player Grading'!$D20)</f>
        <v>LW / ST / GK</v>
      </c>
      <c r="E56" s="287" t="str">
        <f t="array" ref="E56">IFERROR(IF(OR($C56="",INDEX(Attendance!$CP19:$FY19,1,($B$6-1)*4+1)=""),"",INDEX(Attendance!$CP19:$FY19,1,($B$6-1)*4+1)),"")</f>
        <v/>
      </c>
      <c r="F56" s="278" t="str">
        <f t="array" ref="F56">IFERROR(IF(OR($C56="",INDEX(Attendance!$CP19:$FY19,1,($B$6-1)*4+2)=""),"",INDEX(Attendance!$CP19:$FY19,1,($B$6-1)*4+2)),"")</f>
        <v/>
      </c>
      <c r="G56" s="279" t="str">
        <f t="array" ref="G56">IFERROR(IF(OR($C56="",INDEX(Attendance!$CP19:$FY19,1,($B$6-1)*4+3)=""),"",INDEX(Attendance!$CP19:$FY19,1,($B$6-1)*4+3)),"")</f>
        <v/>
      </c>
      <c r="H56" s="37" t="str">
        <f t="shared" si="4"/>
        <v/>
      </c>
      <c r="J56" s="274">
        <v>12</v>
      </c>
      <c r="K56" s="291"/>
      <c r="L56" s="292"/>
      <c r="M56" s="293"/>
      <c r="N56" s="294"/>
      <c r="O56" s="294"/>
      <c r="P56" s="295" t="str">
        <f t="shared" si="5"/>
        <v/>
      </c>
      <c r="R56" s="296"/>
    </row>
    <row r="57" spans="1:18" x14ac:dyDescent="0.45">
      <c r="A57" s="270"/>
      <c r="B57" s="221">
        <f>IF($C57="","",ROWS($B$42:B57))</f>
        <v>16</v>
      </c>
      <c r="C57" s="234" t="str">
        <f>IF(Attendance!$D20="","",Attendance!$D20)</f>
        <v>Zara Freeman</v>
      </c>
      <c r="D57" s="288" t="str">
        <f>IF($C57="","",'Player Grading'!$D21)</f>
        <v xml:space="preserve">ST </v>
      </c>
      <c r="E57" s="288" t="str">
        <f t="array" ref="E57">IFERROR(IF(OR($C57="",INDEX(Attendance!$CP20:$FY20,1,($B$6-1)*4+1)=""),"",INDEX(Attendance!$CP20:$FY20,1,($B$6-1)*4+1)),"")</f>
        <v/>
      </c>
      <c r="F57" s="282" t="str">
        <f t="array" ref="F57">IFERROR(IF(OR($C57="",INDEX(Attendance!$CP20:$FY20,1,($B$6-1)*4+2)=""),"",INDEX(Attendance!$CP20:$FY20,1,($B$6-1)*4+2)),"")</f>
        <v/>
      </c>
      <c r="G57" s="283" t="str">
        <f t="array" ref="G57">IFERROR(IF(OR($C57="",INDEX(Attendance!$CP20:$FY20,1,($B$6-1)*4+3)=""),"",INDEX(Attendance!$CP20:$FY20,1,($B$6-1)*4+3)),"")</f>
        <v/>
      </c>
      <c r="H57" s="223" t="str">
        <f t="shared" si="4"/>
        <v/>
      </c>
      <c r="J57" s="274">
        <v>13</v>
      </c>
      <c r="K57" s="291"/>
      <c r="L57" s="292"/>
      <c r="M57" s="293"/>
      <c r="N57" s="294"/>
      <c r="O57" s="294"/>
      <c r="P57" s="295" t="str">
        <f t="shared" si="5"/>
        <v/>
      </c>
      <c r="R57" s="296"/>
    </row>
    <row r="58" spans="1:18" x14ac:dyDescent="0.45">
      <c r="A58" s="270"/>
      <c r="B58" s="217">
        <f>IF($C58="","",ROWS($B$42:B58))</f>
        <v>17</v>
      </c>
      <c r="C58" s="230" t="str">
        <f>IF(Attendance!$D21="","",Attendance!$D21)</f>
        <v>Mariana</v>
      </c>
      <c r="D58" s="287" t="str">
        <f>IF($C58="","",'Player Grading'!$D22)</f>
        <v>RB / CB</v>
      </c>
      <c r="E58" s="287" t="str">
        <f t="array" ref="E58">IFERROR(IF(OR($C58="",INDEX(Attendance!$CP21:$FY21,1,($B$6-1)*4+1)=""),"",INDEX(Attendance!$CP21:$FY21,1,($B$6-1)*4+1)),"")</f>
        <v/>
      </c>
      <c r="F58" s="278" t="str">
        <f t="array" ref="F58">IFERROR(IF(OR($C58="",INDEX(Attendance!$CP21:$FY21,1,($B$6-1)*4+2)=""),"",INDEX(Attendance!$CP21:$FY21,1,($B$6-1)*4+2)),"")</f>
        <v/>
      </c>
      <c r="G58" s="279" t="str">
        <f t="array" ref="G58">IFERROR(IF(OR($C58="",INDEX(Attendance!$CP21:$FY21,1,($B$6-1)*4+3)=""),"",INDEX(Attendance!$CP21:$FY21,1,($B$6-1)*4+3)),"")</f>
        <v/>
      </c>
      <c r="H58" s="37" t="str">
        <f t="shared" si="4"/>
        <v/>
      </c>
      <c r="J58" s="274">
        <v>14</v>
      </c>
      <c r="K58" s="291"/>
      <c r="L58" s="292"/>
      <c r="M58" s="293"/>
      <c r="N58" s="294"/>
      <c r="O58" s="294"/>
      <c r="P58" s="295" t="str">
        <f t="shared" si="5"/>
        <v/>
      </c>
      <c r="R58" s="296"/>
    </row>
    <row r="59" spans="1:18" x14ac:dyDescent="0.45">
      <c r="A59" s="270"/>
      <c r="B59" s="221">
        <f>IF($C59="","",ROWS($B$42:B59))</f>
        <v>18</v>
      </c>
      <c r="C59" s="234" t="str">
        <f>IF(Attendance!$D22="","",Attendance!$D22)</f>
        <v>Rama</v>
      </c>
      <c r="D59" s="288" t="str">
        <f>IF($C59="","",'Player Grading'!$D23)</f>
        <v>RW / ST / LW</v>
      </c>
      <c r="E59" s="288" t="str">
        <f t="array" ref="E59">IFERROR(IF(OR($C59="",INDEX(Attendance!$CP22:$FY22,1,($B$6-1)*4+1)=""),"",INDEX(Attendance!$CP22:$FY22,1,($B$6-1)*4+1)),"")</f>
        <v/>
      </c>
      <c r="F59" s="282" t="str">
        <f t="array" ref="F59">IFERROR(IF(OR($C59="",INDEX(Attendance!$CP22:$FY22,1,($B$6-1)*4+2)=""),"",INDEX(Attendance!$CP22:$FY22,1,($B$6-1)*4+2)),"")</f>
        <v/>
      </c>
      <c r="G59" s="283" t="str">
        <f t="array" ref="G59">IFERROR(IF(OR($C59="",INDEX(Attendance!$CP22:$FY22,1,($B$6-1)*4+3)=""),"",INDEX(Attendance!$CP22:$FY22,1,($B$6-1)*4+3)),"")</f>
        <v/>
      </c>
      <c r="H59" s="223" t="str">
        <f t="shared" si="4"/>
        <v/>
      </c>
      <c r="J59" s="274">
        <v>15</v>
      </c>
      <c r="K59" s="291"/>
      <c r="L59" s="292"/>
      <c r="M59" s="293"/>
      <c r="N59" s="294"/>
      <c r="O59" s="294"/>
      <c r="P59" s="295" t="str">
        <f t="shared" si="5"/>
        <v/>
      </c>
      <c r="R59" s="296"/>
    </row>
    <row r="60" spans="1:18" x14ac:dyDescent="0.45">
      <c r="A60" s="270"/>
      <c r="B60" s="217" t="str">
        <f>IF($C60="","",ROWS($B$42:B60))</f>
        <v/>
      </c>
      <c r="C60" s="230" t="str">
        <f>IF(Attendance!$D23="","",Attendance!$D23)</f>
        <v/>
      </c>
      <c r="D60" s="287" t="str">
        <f>IF($C60="","",'Player Grading'!$D24)</f>
        <v/>
      </c>
      <c r="E60" s="287" t="str">
        <f t="array" ref="E60">IFERROR(IF(OR($C60="",INDEX(Attendance!$CP23:$FY23,1,($B$6-1)*4+1)=""),"",INDEX(Attendance!$CP23:$FY23,1,($B$6-1)*4+1)),"")</f>
        <v/>
      </c>
      <c r="F60" s="278" t="str">
        <f t="array" ref="F60">IFERROR(IF(OR($C60="",INDEX(Attendance!$CP23:$FY23,1,($B$6-1)*4+2)=""),"",INDEX(Attendance!$CP23:$FY23,1,($B$6-1)*4+2)),"")</f>
        <v/>
      </c>
      <c r="G60" s="279" t="str">
        <f t="array" ref="G60">IFERROR(IF(OR($C60="",INDEX(Attendance!$CP23:$FY23,1,($B$6-1)*4+3)=""),"",INDEX(Attendance!$CP23:$FY23,1,($B$6-1)*4+3)),"")</f>
        <v/>
      </c>
      <c r="H60" s="37" t="str">
        <f t="shared" si="4"/>
        <v/>
      </c>
      <c r="J60" s="274">
        <v>16</v>
      </c>
      <c r="K60" s="291"/>
      <c r="L60" s="292"/>
      <c r="M60" s="293"/>
      <c r="N60" s="294"/>
      <c r="O60" s="294"/>
      <c r="P60" s="295" t="str">
        <f t="shared" si="5"/>
        <v/>
      </c>
      <c r="R60" s="296"/>
    </row>
    <row r="61" spans="1:18" x14ac:dyDescent="0.45">
      <c r="A61" s="270"/>
      <c r="B61" s="221" t="str">
        <f>IF($C61="","",ROWS($B$42:B61))</f>
        <v/>
      </c>
      <c r="C61" s="234" t="str">
        <f>IF(Attendance!$D24="","",Attendance!$D24)</f>
        <v/>
      </c>
      <c r="D61" s="288" t="str">
        <f>IF($C61="","",'Player Grading'!$D25)</f>
        <v/>
      </c>
      <c r="E61" s="288" t="str">
        <f t="array" ref="E61">IFERROR(IF(OR($C61="",INDEX(Attendance!$CP24:$FY24,1,($B$6-1)*4+1)=""),"",INDEX(Attendance!$CP24:$FY24,1,($B$6-1)*4+1)),"")</f>
        <v/>
      </c>
      <c r="F61" s="282" t="str">
        <f t="array" ref="F61">IFERROR(IF(OR($C61="",INDEX(Attendance!$CP24:$FY24,1,($B$6-1)*4+2)=""),"",INDEX(Attendance!$CP24:$FY24,1,($B$6-1)*4+2)),"")</f>
        <v/>
      </c>
      <c r="G61" s="283" t="str">
        <f t="array" ref="G61">IFERROR(IF(OR($C61="",INDEX(Attendance!$CP24:$FY24,1,($B$6-1)*4+3)=""),"",INDEX(Attendance!$CP24:$FY24,1,($B$6-1)*4+3)),"")</f>
        <v/>
      </c>
      <c r="H61" s="223" t="str">
        <f t="shared" si="4"/>
        <v/>
      </c>
      <c r="J61" s="274">
        <v>17</v>
      </c>
      <c r="K61" s="291"/>
      <c r="L61" s="292"/>
      <c r="M61" s="293"/>
      <c r="N61" s="294"/>
      <c r="O61" s="294"/>
      <c r="P61" s="295" t="str">
        <f t="shared" si="5"/>
        <v/>
      </c>
      <c r="R61" s="296"/>
    </row>
    <row r="62" spans="1:18" x14ac:dyDescent="0.45">
      <c r="A62" s="270"/>
      <c r="B62" s="270"/>
      <c r="C62" s="270"/>
      <c r="D62" s="270"/>
      <c r="E62" s="270"/>
      <c r="F62" s="270"/>
      <c r="G62" s="270"/>
      <c r="H62" s="270"/>
      <c r="J62" s="274">
        <v>18</v>
      </c>
      <c r="K62" s="291"/>
      <c r="L62" s="292"/>
      <c r="M62" s="293"/>
      <c r="N62" s="294"/>
      <c r="O62" s="294"/>
      <c r="P62" s="295" t="str">
        <f t="shared" si="5"/>
        <v/>
      </c>
      <c r="R62" s="296"/>
    </row>
    <row r="63" spans="1:18" x14ac:dyDescent="0.45">
      <c r="A63" s="270"/>
      <c r="B63" s="443" t="s">
        <v>373</v>
      </c>
      <c r="C63" s="443"/>
      <c r="D63" s="443"/>
      <c r="E63" s="443"/>
      <c r="F63" s="443"/>
      <c r="G63" s="443"/>
      <c r="H63" s="443"/>
      <c r="J63" s="274">
        <v>19</v>
      </c>
      <c r="K63" s="291"/>
      <c r="L63" s="292"/>
      <c r="M63" s="293"/>
      <c r="N63" s="294"/>
      <c r="O63" s="294"/>
      <c r="P63" s="295" t="str">
        <f t="shared" si="5"/>
        <v/>
      </c>
      <c r="R63" s="296"/>
    </row>
    <row r="64" spans="1:18" x14ac:dyDescent="0.45">
      <c r="A64" s="270"/>
      <c r="B64" s="449" t="str">
        <f>IFERROR(INDEX($AC$9:$AC$30,MATCH($B$6,$J$9:$J$30,0))&amp;"","")</f>
        <v/>
      </c>
      <c r="C64" s="449"/>
      <c r="D64" s="449"/>
      <c r="E64" s="449"/>
      <c r="F64" s="449"/>
      <c r="G64" s="449"/>
      <c r="H64" s="449"/>
      <c r="J64" s="274">
        <v>20</v>
      </c>
      <c r="K64" s="291"/>
      <c r="L64" s="292"/>
      <c r="M64" s="293"/>
      <c r="N64" s="294"/>
      <c r="O64" s="294"/>
      <c r="P64" s="295" t="str">
        <f t="shared" si="5"/>
        <v/>
      </c>
      <c r="R64" s="296"/>
    </row>
    <row r="65" spans="1:16" x14ac:dyDescent="0.45">
      <c r="A65" s="270"/>
      <c r="B65" s="449"/>
      <c r="C65" s="449"/>
      <c r="D65" s="449"/>
      <c r="E65" s="449"/>
      <c r="F65" s="449"/>
      <c r="G65" s="449"/>
      <c r="H65" s="449"/>
      <c r="J65" s="274">
        <v>21</v>
      </c>
      <c r="K65" s="291"/>
      <c r="L65" s="292"/>
      <c r="M65" s="293"/>
      <c r="N65" s="294"/>
      <c r="O65" s="294"/>
      <c r="P65" s="295" t="str">
        <f t="shared" si="5"/>
        <v/>
      </c>
    </row>
    <row r="66" spans="1:16" x14ac:dyDescent="0.45">
      <c r="A66" s="270"/>
      <c r="B66" s="449"/>
      <c r="C66" s="449"/>
      <c r="D66" s="449"/>
      <c r="E66" s="449"/>
      <c r="F66" s="449"/>
      <c r="G66" s="449"/>
      <c r="H66" s="449"/>
      <c r="J66" s="274">
        <v>22</v>
      </c>
      <c r="K66" s="291"/>
      <c r="L66" s="292"/>
      <c r="M66" s="293"/>
      <c r="N66" s="294"/>
      <c r="O66" s="294"/>
      <c r="P66" s="295" t="str">
        <f t="shared" si="5"/>
        <v/>
      </c>
    </row>
    <row r="67" spans="1:16" x14ac:dyDescent="0.45">
      <c r="A67" s="270"/>
      <c r="B67" s="449"/>
      <c r="C67" s="449"/>
      <c r="D67" s="449"/>
      <c r="E67" s="449"/>
      <c r="F67" s="449"/>
      <c r="G67" s="449"/>
      <c r="H67" s="449"/>
    </row>
    <row r="68" spans="1:16" x14ac:dyDescent="0.45">
      <c r="A68" s="270"/>
      <c r="B68" s="449"/>
      <c r="C68" s="449"/>
      <c r="D68" s="449"/>
      <c r="E68" s="449"/>
      <c r="F68" s="449"/>
      <c r="G68" s="449"/>
      <c r="H68" s="449"/>
    </row>
    <row r="69" spans="1:16" x14ac:dyDescent="0.45">
      <c r="A69" s="270"/>
      <c r="B69" s="449"/>
      <c r="C69" s="449"/>
      <c r="D69" s="449"/>
      <c r="E69" s="449"/>
      <c r="F69" s="449"/>
      <c r="G69" s="449"/>
      <c r="H69" s="449"/>
    </row>
    <row r="70" spans="1:16" x14ac:dyDescent="0.45">
      <c r="A70" s="270"/>
      <c r="B70" s="449"/>
      <c r="C70" s="449"/>
      <c r="D70" s="449"/>
      <c r="E70" s="449"/>
      <c r="F70" s="449"/>
      <c r="G70" s="449"/>
      <c r="H70" s="449"/>
    </row>
    <row r="71" spans="1:16" x14ac:dyDescent="0.45">
      <c r="A71" s="270"/>
      <c r="B71" s="270"/>
      <c r="C71" s="270"/>
      <c r="D71" s="270"/>
      <c r="E71" s="270"/>
      <c r="F71" s="270"/>
      <c r="G71" s="270"/>
      <c r="H71" s="270"/>
    </row>
    <row r="72" spans="1:16" x14ac:dyDescent="0.45">
      <c r="A72" s="270"/>
      <c r="B72" s="443" t="s">
        <v>374</v>
      </c>
      <c r="C72" s="443"/>
      <c r="D72" s="443"/>
      <c r="E72" s="443"/>
      <c r="F72" s="443"/>
      <c r="G72" s="443"/>
      <c r="H72" s="443"/>
    </row>
    <row r="73" spans="1:16" x14ac:dyDescent="0.45">
      <c r="A73" s="270"/>
      <c r="B73" s="449" t="str">
        <f>IFERROR(INDEX($AD$9:$AD$30,MATCH($B$6,$J$9:$J$30,0))&amp;"","")</f>
        <v/>
      </c>
      <c r="C73" s="449"/>
      <c r="D73" s="449"/>
      <c r="E73" s="449"/>
      <c r="F73" s="449"/>
      <c r="G73" s="449"/>
      <c r="H73" s="449"/>
    </row>
    <row r="74" spans="1:16" x14ac:dyDescent="0.45">
      <c r="A74" s="270"/>
      <c r="B74" s="449"/>
      <c r="C74" s="449"/>
      <c r="D74" s="449"/>
      <c r="E74" s="449"/>
      <c r="F74" s="449"/>
      <c r="G74" s="449"/>
      <c r="H74" s="449"/>
    </row>
    <row r="75" spans="1:16" x14ac:dyDescent="0.45">
      <c r="A75" s="270"/>
      <c r="B75" s="449"/>
      <c r="C75" s="449"/>
      <c r="D75" s="449"/>
      <c r="E75" s="449"/>
      <c r="F75" s="449"/>
      <c r="G75" s="449"/>
      <c r="H75" s="449"/>
    </row>
    <row r="76" spans="1:16" x14ac:dyDescent="0.45">
      <c r="A76" s="270"/>
      <c r="B76" s="449"/>
      <c r="C76" s="449"/>
      <c r="D76" s="449"/>
      <c r="E76" s="449"/>
      <c r="F76" s="449"/>
      <c r="G76" s="449"/>
      <c r="H76" s="449"/>
    </row>
    <row r="77" spans="1:16" x14ac:dyDescent="0.45">
      <c r="A77" s="270"/>
      <c r="B77" s="449"/>
      <c r="C77" s="449"/>
      <c r="D77" s="449"/>
      <c r="E77" s="449"/>
      <c r="F77" s="449"/>
      <c r="G77" s="449"/>
      <c r="H77" s="449"/>
    </row>
    <row r="78" spans="1:16" x14ac:dyDescent="0.45">
      <c r="A78" s="270"/>
      <c r="B78" s="449"/>
      <c r="C78" s="449"/>
      <c r="D78" s="449"/>
      <c r="E78" s="449"/>
      <c r="F78" s="449"/>
      <c r="G78" s="449"/>
      <c r="H78" s="449"/>
    </row>
    <row r="79" spans="1:16" x14ac:dyDescent="0.45">
      <c r="A79" s="270"/>
      <c r="B79" s="449"/>
      <c r="C79" s="449"/>
      <c r="D79" s="449"/>
      <c r="E79" s="449"/>
      <c r="F79" s="449"/>
      <c r="G79" s="449"/>
      <c r="H79" s="449"/>
    </row>
    <row r="80" spans="1:16" x14ac:dyDescent="0.45">
      <c r="A80" s="270"/>
      <c r="B80" s="270"/>
      <c r="C80" s="270"/>
      <c r="D80" s="270"/>
      <c r="E80" s="270"/>
      <c r="F80" s="270"/>
      <c r="G80" s="270"/>
      <c r="H80" s="270"/>
    </row>
    <row r="81" spans="1:8" x14ac:dyDescent="0.45">
      <c r="A81" s="270"/>
      <c r="B81" s="270"/>
      <c r="C81" s="270"/>
      <c r="D81" s="270"/>
      <c r="E81" s="270"/>
      <c r="F81" s="270"/>
      <c r="G81" s="270"/>
      <c r="H81" s="270"/>
    </row>
    <row r="82" spans="1:8" x14ac:dyDescent="0.45">
      <c r="A82" s="270"/>
      <c r="B82" s="270"/>
      <c r="C82" s="270"/>
      <c r="D82" s="270"/>
      <c r="E82" s="270"/>
      <c r="F82" s="270"/>
      <c r="G82" s="270"/>
      <c r="H82" s="270"/>
    </row>
    <row r="83" spans="1:8" x14ac:dyDescent="0.45">
      <c r="A83" s="270"/>
      <c r="B83" s="270"/>
      <c r="C83" s="270"/>
      <c r="D83" s="270"/>
      <c r="E83" s="270"/>
      <c r="F83" s="270"/>
      <c r="G83" s="270"/>
      <c r="H83" s="270"/>
    </row>
    <row r="84" spans="1:8" x14ac:dyDescent="0.45">
      <c r="A84" s="270"/>
      <c r="B84" s="270"/>
      <c r="C84" s="270"/>
      <c r="D84" s="270"/>
      <c r="E84" s="270"/>
      <c r="F84" s="270"/>
      <c r="G84" s="270"/>
      <c r="H84" s="270"/>
    </row>
    <row r="85" spans="1:8" x14ac:dyDescent="0.45">
      <c r="A85" s="270"/>
      <c r="B85" s="270"/>
      <c r="C85" s="270"/>
      <c r="D85" s="270"/>
      <c r="E85" s="270"/>
      <c r="F85" s="270"/>
      <c r="G85" s="270"/>
      <c r="H85" s="270"/>
    </row>
    <row r="86" spans="1:8" x14ac:dyDescent="0.45">
      <c r="A86" s="270"/>
      <c r="B86" s="270"/>
      <c r="C86" s="270"/>
      <c r="D86" s="270"/>
      <c r="E86" s="270"/>
      <c r="F86" s="270"/>
      <c r="G86" s="270"/>
      <c r="H86" s="270"/>
    </row>
    <row r="87" spans="1:8" x14ac:dyDescent="0.45">
      <c r="A87" s="270"/>
      <c r="B87" s="270"/>
      <c r="C87" s="270"/>
      <c r="D87" s="270"/>
      <c r="E87" s="270"/>
      <c r="F87" s="270"/>
      <c r="G87" s="270"/>
      <c r="H87" s="270"/>
    </row>
    <row r="88" spans="1:8" x14ac:dyDescent="0.45">
      <c r="A88" s="270"/>
      <c r="B88" s="270"/>
      <c r="C88" s="270"/>
      <c r="D88" s="270"/>
      <c r="E88" s="270"/>
      <c r="F88" s="270"/>
      <c r="G88" s="270"/>
      <c r="H88" s="270"/>
    </row>
    <row r="89" spans="1:8" x14ac:dyDescent="0.45">
      <c r="A89" s="270"/>
      <c r="B89" s="270"/>
      <c r="C89" s="270"/>
      <c r="D89" s="270"/>
      <c r="E89" s="270"/>
      <c r="F89" s="270"/>
      <c r="G89" s="270"/>
      <c r="H89" s="270"/>
    </row>
    <row r="90" spans="1:8" x14ac:dyDescent="0.45">
      <c r="A90" s="270"/>
      <c r="B90" s="270"/>
      <c r="C90" s="270"/>
      <c r="D90" s="270"/>
      <c r="E90" s="270"/>
      <c r="F90" s="270"/>
      <c r="G90" s="270"/>
      <c r="H90" s="270"/>
    </row>
    <row r="91" spans="1:8" x14ac:dyDescent="0.45">
      <c r="A91" s="270"/>
      <c r="B91" s="270"/>
      <c r="C91" s="270"/>
      <c r="D91" s="270"/>
      <c r="E91" s="270"/>
      <c r="F91" s="270"/>
      <c r="G91" s="270"/>
      <c r="H91" s="270"/>
    </row>
    <row r="92" spans="1:8" x14ac:dyDescent="0.45">
      <c r="A92" s="270"/>
      <c r="B92" s="270"/>
      <c r="C92" s="270"/>
      <c r="D92" s="270"/>
      <c r="E92" s="270"/>
      <c r="F92" s="270"/>
      <c r="G92" s="270"/>
      <c r="H92" s="270"/>
    </row>
    <row r="93" spans="1:8" x14ac:dyDescent="0.45">
      <c r="A93" s="270"/>
      <c r="B93" s="270"/>
      <c r="C93" s="270"/>
      <c r="D93" s="270"/>
      <c r="E93" s="270"/>
      <c r="F93" s="270"/>
      <c r="G93" s="270"/>
      <c r="H93" s="270"/>
    </row>
    <row r="94" spans="1:8" x14ac:dyDescent="0.45">
      <c r="A94" s="270"/>
      <c r="B94" s="270"/>
      <c r="C94" s="270"/>
      <c r="D94" s="270"/>
      <c r="E94" s="270"/>
      <c r="F94" s="270"/>
      <c r="G94" s="270"/>
      <c r="H94" s="270"/>
    </row>
    <row r="95" spans="1:8" x14ac:dyDescent="0.45">
      <c r="A95" s="270"/>
      <c r="B95" s="270"/>
      <c r="C95" s="270"/>
      <c r="D95" s="270"/>
      <c r="E95" s="270"/>
      <c r="F95" s="270"/>
      <c r="G95" s="270"/>
      <c r="H95" s="270"/>
    </row>
    <row r="96" spans="1:8" x14ac:dyDescent="0.45">
      <c r="A96" s="270"/>
      <c r="B96" s="270"/>
      <c r="C96" s="270"/>
      <c r="D96" s="270"/>
      <c r="E96" s="270"/>
      <c r="F96" s="270"/>
      <c r="G96" s="270"/>
      <c r="H96" s="270"/>
    </row>
    <row r="97" spans="1:8" x14ac:dyDescent="0.45">
      <c r="A97" s="270"/>
      <c r="B97" s="270"/>
      <c r="C97" s="270"/>
      <c r="D97" s="270"/>
      <c r="E97" s="270"/>
      <c r="F97" s="270"/>
      <c r="G97" s="270"/>
      <c r="H97" s="270"/>
    </row>
    <row r="98" spans="1:8" x14ac:dyDescent="0.45">
      <c r="A98" s="270"/>
      <c r="B98" s="270"/>
      <c r="C98" s="270"/>
      <c r="D98" s="270"/>
      <c r="E98" s="270"/>
      <c r="F98" s="270"/>
      <c r="G98" s="270"/>
      <c r="H98" s="270"/>
    </row>
    <row r="99" spans="1:8" x14ac:dyDescent="0.45">
      <c r="A99" s="270"/>
      <c r="B99" s="270"/>
      <c r="C99" s="270"/>
      <c r="D99" s="270"/>
      <c r="E99" s="270"/>
      <c r="F99" s="270"/>
      <c r="G99" s="270"/>
      <c r="H99" s="270"/>
    </row>
    <row r="100" spans="1:8" x14ac:dyDescent="0.45">
      <c r="A100" s="270"/>
      <c r="B100" s="270"/>
      <c r="C100" s="270"/>
      <c r="D100" s="270"/>
      <c r="E100" s="270"/>
      <c r="F100" s="270"/>
      <c r="G100" s="270"/>
      <c r="H100" s="270"/>
    </row>
    <row r="101" spans="1:8" x14ac:dyDescent="0.45">
      <c r="A101" s="270"/>
      <c r="B101" s="270"/>
      <c r="C101" s="270"/>
      <c r="D101" s="270"/>
      <c r="E101" s="270"/>
      <c r="F101" s="270"/>
      <c r="G101" s="270"/>
      <c r="H101" s="270"/>
    </row>
    <row r="102" spans="1:8" x14ac:dyDescent="0.45">
      <c r="A102" s="270"/>
      <c r="B102" s="270"/>
      <c r="C102" s="270"/>
      <c r="D102" s="270"/>
      <c r="E102" s="270"/>
      <c r="F102" s="270"/>
      <c r="G102" s="270"/>
      <c r="H102" s="270"/>
    </row>
    <row r="103" spans="1:8" x14ac:dyDescent="0.45">
      <c r="A103" s="270"/>
      <c r="B103" s="270"/>
      <c r="C103" s="270"/>
      <c r="D103" s="270"/>
      <c r="E103" s="270"/>
      <c r="F103" s="270"/>
      <c r="G103" s="270"/>
      <c r="H103" s="270"/>
    </row>
    <row r="104" spans="1:8" x14ac:dyDescent="0.45">
      <c r="A104" s="270"/>
      <c r="B104" s="270"/>
      <c r="C104" s="270"/>
      <c r="D104" s="270"/>
      <c r="E104" s="270"/>
      <c r="F104" s="270"/>
      <c r="G104" s="270"/>
      <c r="H104" s="270"/>
    </row>
    <row r="105" spans="1:8" x14ac:dyDescent="0.45">
      <c r="A105" s="270"/>
      <c r="B105" s="270"/>
      <c r="C105" s="270"/>
      <c r="D105" s="270"/>
      <c r="E105" s="270"/>
      <c r="F105" s="270"/>
      <c r="G105" s="270"/>
      <c r="H105" s="270"/>
    </row>
    <row r="106" spans="1:8" x14ac:dyDescent="0.45">
      <c r="A106" s="270"/>
      <c r="B106" s="270"/>
      <c r="C106" s="270"/>
      <c r="D106" s="270"/>
      <c r="E106" s="270"/>
      <c r="F106" s="270"/>
      <c r="G106" s="270"/>
      <c r="H106" s="270"/>
    </row>
    <row r="107" spans="1:8" x14ac:dyDescent="0.45">
      <c r="A107" s="270"/>
      <c r="B107" s="270"/>
      <c r="C107" s="270"/>
      <c r="D107" s="270"/>
      <c r="E107" s="270"/>
      <c r="F107" s="270"/>
      <c r="G107" s="270"/>
      <c r="H107" s="270"/>
    </row>
    <row r="108" spans="1:8" x14ac:dyDescent="0.45">
      <c r="A108" s="270"/>
      <c r="B108" s="270"/>
      <c r="C108" s="270"/>
      <c r="D108" s="270"/>
      <c r="E108" s="270"/>
      <c r="F108" s="270"/>
      <c r="G108" s="270"/>
      <c r="H108" s="270"/>
    </row>
    <row r="109" spans="1:8" x14ac:dyDescent="0.45">
      <c r="A109" s="270"/>
      <c r="B109" s="270"/>
      <c r="C109" s="270"/>
      <c r="D109" s="270"/>
      <c r="E109" s="270"/>
      <c r="F109" s="270"/>
      <c r="G109" s="270"/>
      <c r="H109" s="270"/>
    </row>
    <row r="110" spans="1:8" x14ac:dyDescent="0.45">
      <c r="A110" s="270"/>
      <c r="B110" s="270"/>
      <c r="C110" s="270"/>
      <c r="D110" s="270"/>
      <c r="E110" s="270"/>
      <c r="F110" s="270"/>
      <c r="G110" s="270"/>
      <c r="H110" s="270"/>
    </row>
    <row r="111" spans="1:8" x14ac:dyDescent="0.45">
      <c r="A111" s="270"/>
      <c r="B111" s="270"/>
      <c r="C111" s="270"/>
      <c r="D111" s="270"/>
      <c r="E111" s="270"/>
      <c r="F111" s="270"/>
      <c r="G111" s="270"/>
      <c r="H111" s="270"/>
    </row>
    <row r="112" spans="1:8" x14ac:dyDescent="0.45">
      <c r="A112" s="270"/>
      <c r="B112" s="270"/>
      <c r="C112" s="270"/>
      <c r="D112" s="270"/>
      <c r="E112" s="270"/>
      <c r="F112" s="270"/>
      <c r="G112" s="270"/>
      <c r="H112" s="270"/>
    </row>
    <row r="113" spans="1:8" x14ac:dyDescent="0.45">
      <c r="A113" s="270"/>
      <c r="B113" s="270"/>
      <c r="C113" s="270"/>
      <c r="D113" s="270"/>
      <c r="E113" s="270"/>
      <c r="F113" s="270"/>
      <c r="G113" s="270"/>
      <c r="H113" s="270"/>
    </row>
    <row r="114" spans="1:8" x14ac:dyDescent="0.45">
      <c r="A114" s="270"/>
      <c r="B114" s="270"/>
      <c r="C114" s="270"/>
      <c r="D114" s="270"/>
      <c r="E114" s="270"/>
      <c r="F114" s="270"/>
      <c r="G114" s="270"/>
      <c r="H114" s="270"/>
    </row>
    <row r="115" spans="1:8" x14ac:dyDescent="0.45">
      <c r="A115" s="270"/>
      <c r="B115" s="270"/>
      <c r="C115" s="270"/>
      <c r="D115" s="270"/>
      <c r="E115" s="270"/>
      <c r="F115" s="270"/>
      <c r="G115" s="270"/>
      <c r="H115" s="270"/>
    </row>
    <row r="116" spans="1:8" x14ac:dyDescent="0.45">
      <c r="A116" s="270"/>
      <c r="B116" s="270"/>
      <c r="C116" s="270"/>
      <c r="D116" s="270"/>
      <c r="E116" s="270"/>
      <c r="F116" s="270"/>
      <c r="G116" s="270"/>
      <c r="H116" s="270"/>
    </row>
    <row r="117" spans="1:8" x14ac:dyDescent="0.45">
      <c r="A117" s="270"/>
      <c r="B117" s="270"/>
      <c r="C117" s="270"/>
      <c r="D117" s="270"/>
      <c r="E117" s="270"/>
      <c r="F117" s="270"/>
      <c r="G117" s="270"/>
      <c r="H117" s="270"/>
    </row>
    <row r="118" spans="1:8" x14ac:dyDescent="0.45">
      <c r="A118" s="270"/>
      <c r="B118" s="270"/>
      <c r="C118" s="270"/>
      <c r="D118" s="270"/>
      <c r="E118" s="270"/>
      <c r="F118" s="270"/>
      <c r="G118" s="270"/>
      <c r="H118" s="270"/>
    </row>
    <row r="119" spans="1:8" x14ac:dyDescent="0.45">
      <c r="A119" s="270"/>
      <c r="B119" s="270"/>
      <c r="C119" s="270"/>
      <c r="D119" s="270"/>
      <c r="E119" s="270"/>
      <c r="F119" s="270"/>
      <c r="G119" s="270"/>
      <c r="H119" s="270"/>
    </row>
    <row r="120" spans="1:8" x14ac:dyDescent="0.45">
      <c r="A120" s="270"/>
      <c r="B120" s="270"/>
      <c r="C120" s="270"/>
      <c r="D120" s="270"/>
      <c r="E120" s="270"/>
      <c r="F120" s="270"/>
      <c r="G120" s="270"/>
      <c r="H120" s="270"/>
    </row>
    <row r="121" spans="1:8" x14ac:dyDescent="0.45">
      <c r="A121" s="270"/>
      <c r="B121" s="270"/>
      <c r="C121" s="270"/>
      <c r="D121" s="270"/>
      <c r="E121" s="270"/>
      <c r="F121" s="270"/>
      <c r="G121" s="270"/>
      <c r="H121" s="270"/>
    </row>
    <row r="122" spans="1:8" x14ac:dyDescent="0.45">
      <c r="A122" s="270"/>
      <c r="B122" s="270"/>
      <c r="C122" s="270"/>
      <c r="D122" s="270"/>
      <c r="E122" s="270"/>
      <c r="F122" s="270"/>
      <c r="G122" s="270"/>
      <c r="H122" s="270"/>
    </row>
    <row r="123" spans="1:8" x14ac:dyDescent="0.45">
      <c r="A123" s="270"/>
      <c r="B123" s="270"/>
      <c r="C123" s="270"/>
      <c r="D123" s="270"/>
      <c r="E123" s="270"/>
      <c r="F123" s="270"/>
      <c r="G123" s="270"/>
      <c r="H123" s="270"/>
    </row>
    <row r="124" spans="1:8" x14ac:dyDescent="0.45">
      <c r="A124" s="270"/>
      <c r="B124" s="270"/>
      <c r="C124" s="270"/>
      <c r="D124" s="270"/>
      <c r="E124" s="270"/>
      <c r="F124" s="270"/>
      <c r="G124" s="270"/>
      <c r="H124" s="270"/>
    </row>
    <row r="125" spans="1:8" x14ac:dyDescent="0.45">
      <c r="A125" s="270"/>
      <c r="B125" s="270"/>
      <c r="C125" s="270"/>
      <c r="D125" s="270"/>
      <c r="E125" s="270"/>
      <c r="F125" s="270"/>
      <c r="G125" s="270"/>
      <c r="H125" s="270"/>
    </row>
    <row r="126" spans="1:8" x14ac:dyDescent="0.45">
      <c r="A126" s="270"/>
      <c r="B126" s="270"/>
      <c r="C126" s="270"/>
      <c r="D126" s="270"/>
      <c r="E126" s="270"/>
      <c r="F126" s="270"/>
      <c r="G126" s="270"/>
      <c r="H126" s="270"/>
    </row>
    <row r="127" spans="1:8" x14ac:dyDescent="0.45">
      <c r="A127" s="270"/>
      <c r="B127" s="270"/>
      <c r="C127" s="270"/>
      <c r="D127" s="270"/>
      <c r="E127" s="270"/>
      <c r="F127" s="270"/>
      <c r="G127" s="270"/>
      <c r="H127" s="270"/>
    </row>
    <row r="128" spans="1:8" x14ac:dyDescent="0.45">
      <c r="A128" s="270"/>
      <c r="B128" s="270"/>
      <c r="C128" s="270"/>
      <c r="D128" s="270"/>
      <c r="E128" s="270"/>
      <c r="F128" s="270"/>
      <c r="G128" s="270"/>
      <c r="H128" s="270"/>
    </row>
    <row r="129" spans="1:8" x14ac:dyDescent="0.45">
      <c r="A129" s="270"/>
      <c r="B129" s="270"/>
      <c r="C129" s="270"/>
      <c r="D129" s="270"/>
      <c r="E129" s="270"/>
      <c r="F129" s="270"/>
      <c r="G129" s="270"/>
      <c r="H129" s="270"/>
    </row>
    <row r="130" spans="1:8" x14ac:dyDescent="0.45">
      <c r="A130" s="270"/>
      <c r="B130" s="270"/>
      <c r="C130" s="270"/>
      <c r="D130" s="270"/>
      <c r="E130" s="270"/>
      <c r="F130" s="270"/>
      <c r="G130" s="270"/>
      <c r="H130" s="270"/>
    </row>
    <row r="131" spans="1:8" x14ac:dyDescent="0.45">
      <c r="A131" s="270"/>
      <c r="B131" s="270"/>
      <c r="C131" s="270"/>
      <c r="D131" s="270"/>
      <c r="E131" s="270"/>
      <c r="F131" s="270"/>
      <c r="G131" s="270"/>
      <c r="H131" s="270"/>
    </row>
    <row r="132" spans="1:8" x14ac:dyDescent="0.45">
      <c r="A132" s="270"/>
      <c r="B132" s="270"/>
      <c r="C132" s="270"/>
      <c r="D132" s="270"/>
      <c r="E132" s="270"/>
      <c r="F132" s="270"/>
      <c r="G132" s="270"/>
      <c r="H132" s="270"/>
    </row>
    <row r="133" spans="1:8" x14ac:dyDescent="0.45">
      <c r="A133" s="270"/>
      <c r="B133" s="270"/>
      <c r="C133" s="270"/>
      <c r="D133" s="270"/>
      <c r="E133" s="270"/>
      <c r="F133" s="270"/>
      <c r="G133" s="270"/>
      <c r="H133" s="270"/>
    </row>
    <row r="134" spans="1:8" x14ac:dyDescent="0.45">
      <c r="A134" s="270"/>
      <c r="B134" s="270"/>
      <c r="C134" s="270"/>
      <c r="D134" s="270"/>
      <c r="E134" s="270"/>
      <c r="F134" s="270"/>
      <c r="G134" s="270"/>
      <c r="H134" s="270"/>
    </row>
    <row r="135" spans="1:8" x14ac:dyDescent="0.45">
      <c r="A135" s="270"/>
      <c r="B135" s="270"/>
      <c r="C135" s="270"/>
      <c r="D135" s="270"/>
      <c r="E135" s="270"/>
      <c r="F135" s="270"/>
      <c r="G135" s="270"/>
      <c r="H135" s="270"/>
    </row>
    <row r="136" spans="1:8" x14ac:dyDescent="0.45">
      <c r="A136" s="270"/>
      <c r="B136" s="270"/>
      <c r="C136" s="270"/>
      <c r="D136" s="270"/>
      <c r="E136" s="270"/>
      <c r="F136" s="270"/>
      <c r="G136" s="270"/>
      <c r="H136" s="270"/>
    </row>
    <row r="137" spans="1:8" x14ac:dyDescent="0.45">
      <c r="A137" s="270"/>
      <c r="B137" s="270"/>
      <c r="C137" s="270"/>
      <c r="D137" s="270"/>
      <c r="E137" s="270"/>
      <c r="F137" s="270"/>
      <c r="G137" s="270"/>
      <c r="H137" s="270"/>
    </row>
    <row r="138" spans="1:8" x14ac:dyDescent="0.45">
      <c r="A138" s="270"/>
      <c r="B138" s="270"/>
      <c r="C138" s="270"/>
      <c r="D138" s="270"/>
      <c r="E138" s="270"/>
      <c r="F138" s="270"/>
      <c r="G138" s="270"/>
      <c r="H138" s="270"/>
    </row>
    <row r="139" spans="1:8" x14ac:dyDescent="0.45">
      <c r="A139" s="270"/>
      <c r="B139" s="270"/>
      <c r="C139" s="270"/>
      <c r="D139" s="270"/>
      <c r="E139" s="270"/>
      <c r="F139" s="270"/>
      <c r="G139" s="270"/>
      <c r="H139" s="270"/>
    </row>
    <row r="140" spans="1:8" x14ac:dyDescent="0.45">
      <c r="A140" s="270"/>
      <c r="B140" s="270"/>
      <c r="C140" s="270"/>
      <c r="D140" s="270"/>
      <c r="E140" s="270"/>
      <c r="F140" s="270"/>
      <c r="G140" s="270"/>
      <c r="H140" s="270"/>
    </row>
    <row r="141" spans="1:8" x14ac:dyDescent="0.45">
      <c r="A141" s="270"/>
      <c r="B141" s="270"/>
      <c r="C141" s="270"/>
      <c r="D141" s="270"/>
      <c r="E141" s="270"/>
      <c r="F141" s="270"/>
      <c r="G141" s="270"/>
      <c r="H141" s="270"/>
    </row>
    <row r="142" spans="1:8" x14ac:dyDescent="0.45">
      <c r="A142" s="270"/>
      <c r="B142" s="270"/>
      <c r="C142" s="270"/>
      <c r="D142" s="270"/>
      <c r="E142" s="270"/>
      <c r="F142" s="270"/>
      <c r="G142" s="270"/>
      <c r="H142" s="270"/>
    </row>
    <row r="143" spans="1:8" x14ac:dyDescent="0.45">
      <c r="A143" s="270"/>
      <c r="B143" s="270"/>
      <c r="C143" s="270"/>
      <c r="D143" s="270"/>
      <c r="E143" s="270"/>
      <c r="F143" s="270"/>
      <c r="G143" s="270"/>
      <c r="H143" s="270"/>
    </row>
    <row r="144" spans="1:8" x14ac:dyDescent="0.45">
      <c r="A144" s="270"/>
      <c r="B144" s="270"/>
      <c r="C144" s="270"/>
      <c r="D144" s="270"/>
      <c r="E144" s="270"/>
      <c r="F144" s="270"/>
      <c r="G144" s="270"/>
      <c r="H144" s="270"/>
    </row>
    <row r="145" spans="1:8" x14ac:dyDescent="0.45">
      <c r="A145" s="270"/>
      <c r="B145" s="270"/>
      <c r="C145" s="270"/>
      <c r="D145" s="270"/>
      <c r="E145" s="270"/>
      <c r="F145" s="270"/>
      <c r="G145" s="270"/>
      <c r="H145" s="270"/>
    </row>
    <row r="146" spans="1:8" x14ac:dyDescent="0.45">
      <c r="A146" s="270"/>
      <c r="B146" s="270"/>
      <c r="C146" s="270"/>
      <c r="D146" s="270"/>
      <c r="E146" s="270"/>
      <c r="F146" s="270"/>
      <c r="G146" s="270"/>
      <c r="H146" s="270"/>
    </row>
    <row r="147" spans="1:8" x14ac:dyDescent="0.45">
      <c r="A147" s="270"/>
      <c r="B147" s="270"/>
      <c r="C147" s="270"/>
      <c r="D147" s="270"/>
      <c r="E147" s="270"/>
      <c r="F147" s="270"/>
      <c r="G147" s="270"/>
      <c r="H147" s="270"/>
    </row>
    <row r="148" spans="1:8" x14ac:dyDescent="0.45">
      <c r="A148" s="270"/>
      <c r="B148" s="270"/>
      <c r="C148" s="270"/>
      <c r="D148" s="270"/>
      <c r="E148" s="270"/>
      <c r="F148" s="270"/>
      <c r="G148" s="270"/>
      <c r="H148" s="270"/>
    </row>
    <row r="149" spans="1:8" x14ac:dyDescent="0.45">
      <c r="A149" s="270"/>
      <c r="B149" s="270"/>
      <c r="C149" s="270"/>
      <c r="D149" s="270"/>
      <c r="E149" s="270"/>
      <c r="F149" s="270"/>
      <c r="G149" s="270"/>
      <c r="H149" s="270"/>
    </row>
    <row r="150" spans="1:8" x14ac:dyDescent="0.45">
      <c r="A150" s="270"/>
      <c r="B150" s="270"/>
      <c r="C150" s="270"/>
      <c r="D150" s="270"/>
      <c r="E150" s="270"/>
      <c r="F150" s="270"/>
      <c r="G150" s="270"/>
      <c r="H150" s="270"/>
    </row>
    <row r="151" spans="1:8" x14ac:dyDescent="0.45">
      <c r="A151" s="270"/>
      <c r="B151" s="270"/>
      <c r="C151" s="270"/>
      <c r="D151" s="270"/>
      <c r="E151" s="270"/>
      <c r="F151" s="270"/>
      <c r="G151" s="270"/>
      <c r="H151" s="270"/>
    </row>
    <row r="152" spans="1:8" x14ac:dyDescent="0.45">
      <c r="A152" s="270"/>
      <c r="B152" s="270"/>
      <c r="C152" s="270"/>
      <c r="D152" s="270"/>
      <c r="E152" s="270"/>
      <c r="F152" s="270"/>
      <c r="G152" s="270"/>
      <c r="H152" s="270"/>
    </row>
    <row r="153" spans="1:8" x14ac:dyDescent="0.45">
      <c r="A153" s="270"/>
      <c r="B153" s="270"/>
      <c r="C153" s="270"/>
      <c r="D153" s="270"/>
      <c r="E153" s="270"/>
      <c r="F153" s="270"/>
      <c r="G153" s="270"/>
      <c r="H153" s="270"/>
    </row>
    <row r="154" spans="1:8" x14ac:dyDescent="0.45">
      <c r="A154" s="270"/>
      <c r="B154" s="270"/>
      <c r="C154" s="270"/>
      <c r="D154" s="270"/>
      <c r="E154" s="270"/>
      <c r="F154" s="270"/>
      <c r="G154" s="270"/>
      <c r="H154" s="270"/>
    </row>
    <row r="155" spans="1:8" x14ac:dyDescent="0.45">
      <c r="A155" s="270"/>
      <c r="B155" s="270"/>
      <c r="C155" s="270"/>
      <c r="D155" s="270"/>
      <c r="E155" s="270"/>
      <c r="F155" s="270"/>
      <c r="G155" s="270"/>
      <c r="H155" s="270"/>
    </row>
    <row r="156" spans="1:8" x14ac:dyDescent="0.45">
      <c r="A156" s="270"/>
      <c r="B156" s="270"/>
      <c r="C156" s="270"/>
      <c r="D156" s="270"/>
      <c r="E156" s="270"/>
      <c r="F156" s="270"/>
      <c r="G156" s="270"/>
      <c r="H156" s="270"/>
    </row>
    <row r="157" spans="1:8" x14ac:dyDescent="0.45">
      <c r="A157" s="270"/>
      <c r="B157" s="270"/>
      <c r="C157" s="270"/>
      <c r="D157" s="270"/>
      <c r="E157" s="270"/>
      <c r="F157" s="270"/>
      <c r="G157" s="270"/>
      <c r="H157" s="270"/>
    </row>
    <row r="158" spans="1:8" x14ac:dyDescent="0.45">
      <c r="A158" s="270"/>
      <c r="B158" s="270"/>
      <c r="C158" s="270"/>
      <c r="D158" s="270"/>
      <c r="E158" s="270"/>
      <c r="F158" s="270"/>
      <c r="G158" s="270"/>
      <c r="H158" s="270"/>
    </row>
    <row r="159" spans="1:8" x14ac:dyDescent="0.45">
      <c r="A159" s="270"/>
      <c r="B159" s="270"/>
      <c r="C159" s="270"/>
      <c r="D159" s="270"/>
      <c r="E159" s="270"/>
      <c r="F159" s="270"/>
      <c r="G159" s="270"/>
      <c r="H159" s="270"/>
    </row>
    <row r="160" spans="1:8" x14ac:dyDescent="0.45">
      <c r="A160" s="270"/>
      <c r="B160" s="270"/>
      <c r="C160" s="270"/>
      <c r="D160" s="270"/>
      <c r="E160" s="270"/>
      <c r="F160" s="270"/>
      <c r="G160" s="270"/>
      <c r="H160" s="270"/>
    </row>
    <row r="161" spans="1:8" x14ac:dyDescent="0.45">
      <c r="A161" s="270"/>
      <c r="B161" s="270"/>
      <c r="C161" s="270"/>
      <c r="D161" s="270"/>
      <c r="E161" s="270"/>
      <c r="F161" s="270"/>
      <c r="G161" s="270"/>
      <c r="H161" s="270"/>
    </row>
    <row r="162" spans="1:8" x14ac:dyDescent="0.45">
      <c r="A162" s="270"/>
      <c r="B162" s="270"/>
      <c r="C162" s="270"/>
      <c r="D162" s="270"/>
      <c r="E162" s="270"/>
      <c r="F162" s="270"/>
      <c r="G162" s="270"/>
      <c r="H162" s="270"/>
    </row>
    <row r="163" spans="1:8" x14ac:dyDescent="0.45">
      <c r="A163" s="270"/>
      <c r="B163" s="270"/>
      <c r="C163" s="270"/>
      <c r="D163" s="270"/>
      <c r="E163" s="270"/>
      <c r="F163" s="270"/>
      <c r="G163" s="270"/>
      <c r="H163" s="270"/>
    </row>
    <row r="164" spans="1:8" x14ac:dyDescent="0.45">
      <c r="A164" s="270"/>
      <c r="B164" s="270"/>
      <c r="C164" s="270"/>
      <c r="D164" s="270"/>
      <c r="E164" s="270"/>
      <c r="F164" s="270"/>
      <c r="G164" s="270"/>
      <c r="H164" s="270"/>
    </row>
    <row r="165" spans="1:8" x14ac:dyDescent="0.45">
      <c r="A165" s="270"/>
      <c r="B165" s="270"/>
      <c r="C165" s="270"/>
      <c r="D165" s="270"/>
      <c r="E165" s="270"/>
      <c r="F165" s="270"/>
      <c r="G165" s="270"/>
      <c r="H165" s="270"/>
    </row>
    <row r="166" spans="1:8" x14ac:dyDescent="0.45">
      <c r="A166" s="270"/>
      <c r="B166" s="270"/>
      <c r="C166" s="270"/>
      <c r="D166" s="270"/>
      <c r="E166" s="270"/>
      <c r="F166" s="270"/>
      <c r="G166" s="270"/>
      <c r="H166" s="270"/>
    </row>
    <row r="167" spans="1:8" x14ac:dyDescent="0.45">
      <c r="A167" s="270"/>
      <c r="B167" s="270"/>
      <c r="C167" s="270"/>
      <c r="D167" s="270"/>
      <c r="E167" s="270"/>
      <c r="F167" s="270"/>
      <c r="G167" s="270"/>
      <c r="H167" s="270"/>
    </row>
    <row r="168" spans="1:8" x14ac:dyDescent="0.45">
      <c r="A168" s="270"/>
      <c r="B168" s="270"/>
      <c r="C168" s="270"/>
      <c r="D168" s="270"/>
      <c r="E168" s="270"/>
      <c r="F168" s="270"/>
      <c r="G168" s="270"/>
      <c r="H168" s="270"/>
    </row>
    <row r="169" spans="1:8" x14ac:dyDescent="0.45">
      <c r="A169" s="270"/>
      <c r="B169" s="270"/>
      <c r="C169" s="270"/>
      <c r="D169" s="270"/>
      <c r="E169" s="270"/>
      <c r="F169" s="270"/>
      <c r="G169" s="270"/>
      <c r="H169" s="270"/>
    </row>
    <row r="170" spans="1:8" x14ac:dyDescent="0.45">
      <c r="A170" s="270"/>
      <c r="B170" s="270"/>
      <c r="C170" s="270"/>
      <c r="D170" s="270"/>
      <c r="E170" s="270"/>
      <c r="F170" s="270"/>
      <c r="G170" s="270"/>
      <c r="H170" s="270"/>
    </row>
    <row r="171" spans="1:8" x14ac:dyDescent="0.45">
      <c r="A171" s="270"/>
      <c r="B171" s="270"/>
      <c r="C171" s="270"/>
      <c r="D171" s="270"/>
      <c r="E171" s="270"/>
      <c r="F171" s="270"/>
      <c r="G171" s="270"/>
      <c r="H171" s="270"/>
    </row>
    <row r="172" spans="1:8" x14ac:dyDescent="0.45">
      <c r="A172" s="270"/>
      <c r="B172" s="270"/>
      <c r="C172" s="270"/>
      <c r="D172" s="270"/>
      <c r="E172" s="270"/>
      <c r="F172" s="270"/>
      <c r="G172" s="270"/>
      <c r="H172" s="270"/>
    </row>
    <row r="173" spans="1:8" x14ac:dyDescent="0.45">
      <c r="A173" s="270"/>
      <c r="B173" s="270"/>
      <c r="C173" s="270"/>
      <c r="D173" s="270"/>
      <c r="E173" s="270"/>
      <c r="F173" s="270"/>
      <c r="G173" s="270"/>
      <c r="H173" s="270"/>
    </row>
    <row r="174" spans="1:8" x14ac:dyDescent="0.45">
      <c r="A174" s="270"/>
      <c r="B174" s="270"/>
      <c r="C174" s="270"/>
      <c r="D174" s="270"/>
      <c r="E174" s="270"/>
      <c r="F174" s="270"/>
      <c r="G174" s="270"/>
      <c r="H174" s="270"/>
    </row>
    <row r="175" spans="1:8" x14ac:dyDescent="0.45">
      <c r="A175" s="270"/>
      <c r="B175" s="270"/>
      <c r="C175" s="270"/>
      <c r="D175" s="270"/>
      <c r="E175" s="270"/>
      <c r="F175" s="270"/>
      <c r="G175" s="270"/>
      <c r="H175" s="270"/>
    </row>
    <row r="176" spans="1:8" x14ac:dyDescent="0.45">
      <c r="A176" s="270"/>
      <c r="B176" s="270"/>
      <c r="C176" s="270"/>
      <c r="D176" s="270"/>
      <c r="E176" s="270"/>
      <c r="F176" s="270"/>
      <c r="G176" s="270"/>
      <c r="H176" s="270"/>
    </row>
    <row r="177" spans="1:8" x14ac:dyDescent="0.45">
      <c r="A177" s="270"/>
      <c r="B177" s="270"/>
      <c r="C177" s="270"/>
      <c r="D177" s="270"/>
      <c r="E177" s="270"/>
      <c r="F177" s="270"/>
      <c r="G177" s="270"/>
      <c r="H177" s="270"/>
    </row>
    <row r="178" spans="1:8" x14ac:dyDescent="0.45">
      <c r="A178" s="270"/>
      <c r="B178" s="270"/>
      <c r="C178" s="270"/>
      <c r="D178" s="270"/>
      <c r="E178" s="270"/>
      <c r="F178" s="270"/>
      <c r="G178" s="270"/>
      <c r="H178" s="270"/>
    </row>
    <row r="179" spans="1:8" x14ac:dyDescent="0.45">
      <c r="A179" s="270"/>
      <c r="B179" s="270"/>
      <c r="C179" s="270"/>
      <c r="D179" s="270"/>
      <c r="E179" s="270"/>
      <c r="F179" s="270"/>
      <c r="G179" s="270"/>
      <c r="H179" s="270"/>
    </row>
    <row r="180" spans="1:8" x14ac:dyDescent="0.45">
      <c r="A180" s="270"/>
      <c r="B180" s="270"/>
      <c r="C180" s="270"/>
      <c r="D180" s="270"/>
      <c r="E180" s="270"/>
      <c r="F180" s="270"/>
      <c r="G180" s="270"/>
      <c r="H180" s="270"/>
    </row>
    <row r="181" spans="1:8" x14ac:dyDescent="0.45">
      <c r="A181" s="270"/>
      <c r="B181" s="270"/>
      <c r="C181" s="270"/>
      <c r="D181" s="270"/>
      <c r="E181" s="270"/>
      <c r="F181" s="270"/>
      <c r="G181" s="270"/>
      <c r="H181" s="270"/>
    </row>
    <row r="182" spans="1:8" x14ac:dyDescent="0.45">
      <c r="A182" s="270"/>
      <c r="B182" s="270"/>
      <c r="C182" s="270"/>
      <c r="D182" s="270"/>
      <c r="E182" s="270"/>
      <c r="F182" s="270"/>
      <c r="G182" s="270"/>
      <c r="H182" s="270"/>
    </row>
    <row r="183" spans="1:8" x14ac:dyDescent="0.45">
      <c r="A183" s="270"/>
      <c r="B183" s="270"/>
      <c r="C183" s="270"/>
      <c r="D183" s="270"/>
      <c r="E183" s="270"/>
      <c r="F183" s="270"/>
      <c r="G183" s="270"/>
      <c r="H183" s="270"/>
    </row>
    <row r="184" spans="1:8" x14ac:dyDescent="0.45">
      <c r="A184" s="270"/>
      <c r="B184" s="270"/>
      <c r="C184" s="270"/>
      <c r="D184" s="270"/>
      <c r="E184" s="270"/>
      <c r="F184" s="270"/>
      <c r="G184" s="270"/>
      <c r="H184" s="270"/>
    </row>
    <row r="185" spans="1:8" x14ac:dyDescent="0.45">
      <c r="A185" s="270"/>
      <c r="B185" s="270"/>
      <c r="C185" s="270"/>
      <c r="D185" s="270"/>
      <c r="E185" s="270"/>
      <c r="F185" s="270"/>
      <c r="G185" s="270"/>
      <c r="H185" s="270"/>
    </row>
    <row r="186" spans="1:8" x14ac:dyDescent="0.45">
      <c r="A186" s="270"/>
      <c r="B186" s="270"/>
      <c r="C186" s="270"/>
      <c r="D186" s="270"/>
      <c r="E186" s="270"/>
      <c r="F186" s="270"/>
      <c r="G186" s="270"/>
      <c r="H186" s="270"/>
    </row>
    <row r="187" spans="1:8" x14ac:dyDescent="0.45">
      <c r="A187" s="270"/>
      <c r="B187" s="270"/>
      <c r="C187" s="270"/>
      <c r="D187" s="270"/>
      <c r="E187" s="270"/>
      <c r="F187" s="270"/>
      <c r="G187" s="270"/>
      <c r="H187" s="270"/>
    </row>
    <row r="188" spans="1:8" x14ac:dyDescent="0.45">
      <c r="A188" s="270"/>
      <c r="B188" s="270"/>
      <c r="C188" s="270"/>
      <c r="D188" s="270"/>
      <c r="E188" s="270"/>
      <c r="F188" s="270"/>
      <c r="G188" s="270"/>
      <c r="H188" s="270"/>
    </row>
    <row r="189" spans="1:8" x14ac:dyDescent="0.45">
      <c r="A189" s="270"/>
      <c r="B189" s="270"/>
      <c r="C189" s="270"/>
      <c r="D189" s="270"/>
      <c r="E189" s="270"/>
      <c r="F189" s="270"/>
      <c r="G189" s="270"/>
      <c r="H189" s="270"/>
    </row>
    <row r="190" spans="1:8" x14ac:dyDescent="0.45">
      <c r="A190" s="270"/>
      <c r="B190" s="270"/>
      <c r="C190" s="270"/>
      <c r="D190" s="270"/>
      <c r="E190" s="270"/>
      <c r="F190" s="270"/>
      <c r="G190" s="270"/>
      <c r="H190" s="270"/>
    </row>
    <row r="191" spans="1:8" x14ac:dyDescent="0.45">
      <c r="A191" s="270"/>
      <c r="B191" s="270"/>
      <c r="C191" s="270"/>
      <c r="D191" s="270"/>
      <c r="E191" s="270"/>
      <c r="F191" s="270"/>
      <c r="G191" s="270"/>
      <c r="H191" s="270"/>
    </row>
    <row r="192" spans="1:8" x14ac:dyDescent="0.45">
      <c r="A192" s="270"/>
      <c r="B192" s="270"/>
      <c r="C192" s="270"/>
      <c r="D192" s="270"/>
      <c r="E192" s="270"/>
      <c r="F192" s="270"/>
      <c r="G192" s="270"/>
      <c r="H192" s="270"/>
    </row>
    <row r="193" spans="1:8" x14ac:dyDescent="0.45">
      <c r="A193" s="270"/>
      <c r="B193" s="270"/>
      <c r="C193" s="270"/>
      <c r="D193" s="270"/>
      <c r="E193" s="270"/>
      <c r="F193" s="270"/>
      <c r="G193" s="270"/>
      <c r="H193" s="270"/>
    </row>
    <row r="194" spans="1:8" x14ac:dyDescent="0.45">
      <c r="A194" s="270"/>
      <c r="B194" s="270"/>
      <c r="C194" s="270"/>
      <c r="D194" s="270"/>
      <c r="E194" s="270"/>
      <c r="F194" s="270"/>
      <c r="G194" s="270"/>
      <c r="H194" s="270"/>
    </row>
    <row r="195" spans="1:8" x14ac:dyDescent="0.45">
      <c r="A195" s="270"/>
      <c r="B195" s="270"/>
      <c r="C195" s="270"/>
      <c r="D195" s="270"/>
      <c r="E195" s="270"/>
      <c r="F195" s="270"/>
      <c r="G195" s="270"/>
      <c r="H195" s="270"/>
    </row>
    <row r="196" spans="1:8" x14ac:dyDescent="0.45">
      <c r="A196" s="270"/>
      <c r="B196" s="270"/>
      <c r="C196" s="270"/>
      <c r="D196" s="270"/>
      <c r="E196" s="270"/>
      <c r="F196" s="270"/>
      <c r="G196" s="270"/>
      <c r="H196" s="270"/>
    </row>
    <row r="197" spans="1:8" x14ac:dyDescent="0.45">
      <c r="A197" s="270"/>
      <c r="B197" s="270"/>
      <c r="C197" s="270"/>
      <c r="D197" s="270"/>
      <c r="E197" s="270"/>
      <c r="F197" s="270"/>
      <c r="G197" s="270"/>
      <c r="H197" s="270"/>
    </row>
    <row r="198" spans="1:8" x14ac:dyDescent="0.45">
      <c r="A198" s="270"/>
      <c r="B198" s="270"/>
      <c r="C198" s="270"/>
      <c r="D198" s="270"/>
      <c r="E198" s="270"/>
      <c r="F198" s="270"/>
      <c r="G198" s="270"/>
      <c r="H198" s="270"/>
    </row>
    <row r="199" spans="1:8" x14ac:dyDescent="0.45">
      <c r="A199" s="270"/>
      <c r="B199" s="270"/>
      <c r="C199" s="270"/>
      <c r="D199" s="270"/>
      <c r="E199" s="270"/>
      <c r="F199" s="270"/>
      <c r="G199" s="270"/>
      <c r="H199" s="270"/>
    </row>
    <row r="200" spans="1:8" x14ac:dyDescent="0.45">
      <c r="A200" s="270"/>
      <c r="B200" s="270"/>
      <c r="C200" s="270"/>
      <c r="D200" s="270"/>
      <c r="E200" s="270"/>
      <c r="F200" s="270"/>
      <c r="G200" s="270"/>
      <c r="H200" s="270"/>
    </row>
  </sheetData>
  <mergeCells count="25">
    <mergeCell ref="B64:H70"/>
    <mergeCell ref="B72:H72"/>
    <mergeCell ref="B73:H79"/>
    <mergeCell ref="B16:G16"/>
    <mergeCell ref="B30:G30"/>
    <mergeCell ref="B40:H40"/>
    <mergeCell ref="J43:P43"/>
    <mergeCell ref="B63:H63"/>
    <mergeCell ref="B12:C12"/>
    <mergeCell ref="D12:F12"/>
    <mergeCell ref="B13:C13"/>
    <mergeCell ref="D13:F13"/>
    <mergeCell ref="B14:C14"/>
    <mergeCell ref="D14:F14"/>
    <mergeCell ref="B9:C9"/>
    <mergeCell ref="D9:F9"/>
    <mergeCell ref="B10:C10"/>
    <mergeCell ref="D10:F10"/>
    <mergeCell ref="B11:C11"/>
    <mergeCell ref="D11:F11"/>
    <mergeCell ref="B2:D2"/>
    <mergeCell ref="B3:H3"/>
    <mergeCell ref="C6:G6"/>
    <mergeCell ref="J7:AD7"/>
    <mergeCell ref="B8:F8"/>
  </mergeCells>
  <conditionalFormatting sqref="J8:AD30">
    <cfRule type="expression" dxfId="6" priority="2">
      <formula>$J9=$B$6</formula>
    </cfRule>
  </conditionalFormatting>
  <conditionalFormatting sqref="J9:AD30">
    <cfRule type="expression" dxfId="5" priority="3">
      <formula>$J9=$B$6</formula>
    </cfRule>
  </conditionalFormatting>
  <dataValidations count="3">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M45:M66" xr:uid="{00000000-0002-0000-0500-000001000000}">
      <formula1>"H,A"</formula1>
      <formula2>0</formula2>
    </dataValidation>
    <dataValidation type="list" errorStyle="warning" allowBlank="1" showInputMessage="1" showErrorMessage="1" errorTitle="Not in the club list" error="Pick a club from the list, or choose Yes to enter a one-off opponent." sqref="L45:L66" xr:uid="{00000000-0002-0000-0500-000002000000}">
      <formula1>$R$45:$R$64</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Q27"/>
  <sheetViews>
    <sheetView zoomScaleNormal="100" workbookViewId="0">
      <pane ySplit="5" topLeftCell="A6" activePane="bottomLeft" state="frozen"/>
      <selection pane="bottomLeft" activeCell="F7" sqref="F7"/>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s>
  <sheetData>
    <row r="1" spans="2:69" x14ac:dyDescent="0.45">
      <c r="BA1" s="297" t="s">
        <v>375</v>
      </c>
      <c r="BB1" s="65">
        <v>7</v>
      </c>
      <c r="BC1" s="297" t="s">
        <v>376</v>
      </c>
      <c r="BD1" s="298">
        <f ca="1">IF($BB$2&gt;0,$BB$2,$BB$3)</f>
        <v>46259</v>
      </c>
    </row>
    <row r="2" spans="2:69" ht="18" customHeight="1" x14ac:dyDescent="0.55000000000000004">
      <c r="B2" s="370" t="s">
        <v>377</v>
      </c>
      <c r="C2" s="370"/>
      <c r="D2" s="370"/>
      <c r="E2" s="370"/>
      <c r="F2" s="370"/>
      <c r="X2" s="299" t="s">
        <v>378</v>
      </c>
      <c r="Y2" s="299" t="str">
        <f>IFERROR(MATCH(Dashboard!$C$86,Attendance!$D$5:$D$24,0)+4,"")</f>
        <v/>
      </c>
      <c r="BA2" s="297" t="s">
        <v>379</v>
      </c>
      <c r="BB2" s="300">
        <f t="array" aca="1" ref="BB2" ca="1">IFERROR(MAX(IF((ATAtt="Att")*(ATDates&lt;&gt;"")*(ATDates&lt;=TODAY()),ATDates)),0)</f>
        <v>46259</v>
      </c>
      <c r="BC2" s="297" t="s">
        <v>380</v>
      </c>
      <c r="BD2" s="301" t="str">
        <f ca="1">IF($BB$2&gt;0,"In-season","Pre-season")</f>
        <v>In-season</v>
      </c>
    </row>
    <row r="3" spans="2:69" x14ac:dyDescent="0.45">
      <c r="B3" s="371" t="s">
        <v>381</v>
      </c>
      <c r="C3" s="371"/>
      <c r="D3" s="371"/>
      <c r="E3" s="371"/>
      <c r="F3" s="371"/>
      <c r="G3" s="371"/>
      <c r="H3" s="371"/>
      <c r="BA3" s="297" t="s">
        <v>382</v>
      </c>
      <c r="BB3" s="300">
        <f t="array" aca="1" ref="BB3" ca="1">IFERROR(MAX(IF((PSAtt="Att")*(PSDates&lt;&gt;"")*(PSDates&lt;=TODAY()),PSDates)),0)</f>
        <v>46254</v>
      </c>
      <c r="BC3" s="297" t="s">
        <v>383</v>
      </c>
      <c r="BD3" s="302">
        <f t="array" aca="1" ref="BD3" ca="1">IF(ActiveSrc="In-season",SUMPRODUCT((ATAtt="Att")*(ATDates&lt;&gt;"")*(ATDates&gt;WinEnd-WinDays)*(ATDates&lt;=WinEnd)),SUMPRODUCT((PSAtt="Att")*(PSDates&lt;&gt;"")*(PSDates&gt;WinEnd-WinDays)*(PSDates&lt;=WinEnd)))</f>
        <v>1</v>
      </c>
    </row>
    <row r="4" spans="2:69" x14ac:dyDescent="0.45">
      <c r="B4" s="450" t="s">
        <v>384</v>
      </c>
      <c r="C4" s="450"/>
      <c r="D4" s="450"/>
      <c r="E4" s="450"/>
      <c r="F4" s="450"/>
      <c r="G4" s="450"/>
      <c r="H4" s="450"/>
      <c r="I4" s="450"/>
      <c r="J4" s="450"/>
      <c r="K4" s="450" t="s">
        <v>385</v>
      </c>
      <c r="L4" s="450"/>
      <c r="M4" s="450"/>
      <c r="O4" s="450" t="s">
        <v>386</v>
      </c>
      <c r="P4" s="450"/>
      <c r="Q4" s="450"/>
      <c r="S4" s="450" t="s">
        <v>387</v>
      </c>
      <c r="T4" s="450"/>
      <c r="U4" s="450"/>
      <c r="V4" s="450"/>
      <c r="X4" s="450" t="s">
        <v>388</v>
      </c>
      <c r="Y4" s="450"/>
      <c r="Z4" s="450"/>
      <c r="AB4" s="303" t="s">
        <v>389</v>
      </c>
      <c r="AD4" s="450" t="s">
        <v>390</v>
      </c>
      <c r="AE4" s="450"/>
      <c r="AF4" s="450"/>
      <c r="AG4" s="450"/>
      <c r="AH4" s="450"/>
      <c r="AI4" s="450"/>
      <c r="AJ4" s="450"/>
      <c r="AO4" s="304" t="s">
        <v>391</v>
      </c>
      <c r="BA4" s="305" t="s">
        <v>392</v>
      </c>
      <c r="BJ4" s="305" t="s">
        <v>393</v>
      </c>
      <c r="BO4" s="305" t="s">
        <v>394</v>
      </c>
    </row>
    <row r="5" spans="2:69" ht="31.5" customHeight="1" x14ac:dyDescent="0.45">
      <c r="B5" s="306" t="s">
        <v>154</v>
      </c>
      <c r="C5" s="306" t="s">
        <v>18</v>
      </c>
      <c r="D5" s="306" t="s">
        <v>395</v>
      </c>
      <c r="E5" s="306" t="s">
        <v>4</v>
      </c>
      <c r="F5" s="306" t="s">
        <v>396</v>
      </c>
      <c r="G5" s="306" t="s">
        <v>6</v>
      </c>
      <c r="H5" s="306" t="s">
        <v>24</v>
      </c>
      <c r="I5" s="306" t="s">
        <v>397</v>
      </c>
      <c r="J5" s="306" t="s">
        <v>398</v>
      </c>
      <c r="K5" s="306" t="s">
        <v>25</v>
      </c>
      <c r="L5" s="306" t="s">
        <v>18</v>
      </c>
      <c r="M5" s="306" t="s">
        <v>24</v>
      </c>
      <c r="N5" s="306"/>
      <c r="O5" s="306" t="s">
        <v>18</v>
      </c>
      <c r="P5" s="306" t="s">
        <v>4</v>
      </c>
      <c r="Q5" s="306" t="s">
        <v>6</v>
      </c>
      <c r="R5" s="306"/>
      <c r="S5" s="306" t="s">
        <v>397</v>
      </c>
      <c r="T5" s="306" t="s">
        <v>399</v>
      </c>
      <c r="U5" s="306" t="s">
        <v>400</v>
      </c>
      <c r="V5" s="306" t="s">
        <v>33</v>
      </c>
      <c r="W5" s="306"/>
      <c r="X5" s="306" t="s">
        <v>338</v>
      </c>
      <c r="Y5" s="306" t="s">
        <v>4</v>
      </c>
      <c r="Z5" s="306" t="s">
        <v>146</v>
      </c>
      <c r="AA5" s="306" t="s">
        <v>401</v>
      </c>
      <c r="AB5" s="306" t="s">
        <v>402</v>
      </c>
      <c r="AC5" s="306"/>
      <c r="AD5" s="306" t="s">
        <v>338</v>
      </c>
      <c r="AE5" s="306" t="s">
        <v>302</v>
      </c>
      <c r="AF5" s="306" t="s">
        <v>300</v>
      </c>
      <c r="AG5" s="306" t="s">
        <v>301</v>
      </c>
      <c r="AH5" s="306" t="s">
        <v>303</v>
      </c>
      <c r="AI5" s="306" t="s">
        <v>304</v>
      </c>
      <c r="AJ5" s="306" t="s">
        <v>305</v>
      </c>
      <c r="AL5" s="242" t="s">
        <v>397</v>
      </c>
      <c r="AM5" s="242" t="s">
        <v>33</v>
      </c>
      <c r="AO5" s="304" t="s">
        <v>18</v>
      </c>
      <c r="AP5" s="304" t="s">
        <v>403</v>
      </c>
      <c r="AQ5" s="304" t="s">
        <v>404</v>
      </c>
      <c r="AR5" s="304" t="s">
        <v>405</v>
      </c>
      <c r="AS5" s="304" t="s">
        <v>406</v>
      </c>
      <c r="AT5" s="304" t="s">
        <v>407</v>
      </c>
      <c r="AU5" s="304" t="s">
        <v>408</v>
      </c>
      <c r="AV5" s="304" t="s">
        <v>409</v>
      </c>
      <c r="AW5" s="304" t="s">
        <v>410</v>
      </c>
      <c r="AX5" s="307" t="s">
        <v>411</v>
      </c>
      <c r="BA5" s="307" t="s">
        <v>18</v>
      </c>
      <c r="BB5" s="307" t="s">
        <v>412</v>
      </c>
      <c r="BC5" s="307" t="s">
        <v>413</v>
      </c>
      <c r="BD5" s="307" t="s">
        <v>414</v>
      </c>
      <c r="BE5" s="307" t="s">
        <v>415</v>
      </c>
      <c r="BF5" s="307" t="s">
        <v>416</v>
      </c>
      <c r="BG5" s="307" t="s">
        <v>417</v>
      </c>
      <c r="BH5" s="307" t="s">
        <v>418</v>
      </c>
      <c r="BJ5" s="307" t="s">
        <v>18</v>
      </c>
      <c r="BK5" s="307" t="s">
        <v>419</v>
      </c>
      <c r="BL5" s="307" t="s">
        <v>34</v>
      </c>
      <c r="BM5" s="307" t="s">
        <v>420</v>
      </c>
      <c r="BO5" s="307" t="s">
        <v>32</v>
      </c>
      <c r="BP5" s="307" t="s">
        <v>421</v>
      </c>
      <c r="BQ5" s="307" t="s">
        <v>33</v>
      </c>
    </row>
    <row r="6" spans="2:69" x14ac:dyDescent="0.45">
      <c r="B6" s="308">
        <f>IF($C6="","",Attendance!$C5)</f>
        <v>1</v>
      </c>
      <c r="C6" s="309" t="str">
        <f>IF(Attendance!$D5="","",Attendance!$D5)</f>
        <v>Aoife Kennan</v>
      </c>
      <c r="D6" s="310">
        <f>IF($C6="","",IFERROR(Attendance!$GC5,""))</f>
        <v>1</v>
      </c>
      <c r="E6" s="311">
        <f>IF($C6="","",IFERROR(Attendance!$GD5,""))</f>
        <v>3</v>
      </c>
      <c r="F6" s="310" t="str">
        <f>IF($C6="","",IFERROR(Attendance!$GH5,""))</f>
        <v/>
      </c>
      <c r="G6" s="311" t="str">
        <f>IF($C6="","",IFERROR(Attendance!$GK5,""))</f>
        <v/>
      </c>
      <c r="H6" s="310">
        <f>IF($C6="","",IFERROR(Attendance!$GN5,""))</f>
        <v>0.76666666666666661</v>
      </c>
      <c r="I6" s="309" t="str">
        <f>IF($C6="","",IF($AW6="","Not graded",IF(AND($AV6="Pre-season",N($AP6)&lt;'Pre season'!$AM$5),"Insufficient data",IF($AW6&gt;=3.5,"Match Ready",IF($AW6&gt;3,"Not Ready for 90 min",IF($AW6&gt;2.5,"Nearly Ready",IF($AW6&gt;2,"Improving",IF($AW6&gt;1.5,"Not Ready","Critical"))))))))</f>
        <v>Nearly Ready</v>
      </c>
      <c r="J6" s="309">
        <f t="shared" ref="J6:J25" si="0">IF($C6="","",N($H6)+(26-ROW())/100000)</f>
        <v>0.76686666666666659</v>
      </c>
      <c r="K6" s="309">
        <f>ROWS($K$6:$K6)</f>
        <v>1</v>
      </c>
      <c r="L6" s="309" t="str">
        <f>IFERROR(INDEX($C$6:$C$25,MATCH(LARGE($J$6:$J$25,ROWS($L$6:$L6)),$J$6:$J$25,0)),"")</f>
        <v>Aoife Kennan</v>
      </c>
      <c r="M6" s="310">
        <f>IFERROR(INDEX($H$6:$H$25,MATCH(LARGE($J$6:$J$25,ROWS($M$6:$M6)),$J$6:$J$25,0)),"")</f>
        <v>0.76666666666666661</v>
      </c>
      <c r="N6" s="309"/>
      <c r="O6" s="309" t="str">
        <f t="shared" ref="O6:O25" si="1">IF($C6="","",$C6)</f>
        <v>Aoife Kennan</v>
      </c>
      <c r="P6" s="311">
        <f t="shared" ref="P6:P25" si="2">IF($C6="","",IFERROR($E6,""))</f>
        <v>3</v>
      </c>
      <c r="Q6" s="311" t="str">
        <f t="shared" ref="Q6:Q25" si="3">IF($C6="","",IFERROR($G6,""))</f>
        <v/>
      </c>
      <c r="R6" s="309"/>
      <c r="S6" s="309" t="s">
        <v>422</v>
      </c>
      <c r="T6" s="309">
        <v>0</v>
      </c>
      <c r="U6" s="309">
        <v>1.5</v>
      </c>
      <c r="V6" s="309">
        <f t="shared" ref="V6:V11" si="4">COUNTIF($I$6:$I$25,$S6)</f>
        <v>0</v>
      </c>
      <c r="W6" s="309"/>
      <c r="X6" s="309">
        <v>1</v>
      </c>
      <c r="Y6" s="311" t="str">
        <f ca="1">IFERROR(IF($Y$2="","",AVERAGE(OFFSET(Attendance!$A$1,$Y$2-1,5+($X6-1)*4),OFFSET(Attendance!$A$1,$Y$2-1,7+($X6-1)*4))),"")</f>
        <v/>
      </c>
      <c r="Z6" s="311" t="str">
        <f ca="1">IFERROR(IF($Y$2="","",IF(LEN(OFFSET(Attendance!$A$1,$Y$2-1,95+($X6-1)*4))=0,"",OFFSET(Attendance!$A$1,$Y$2-1,95+($X6-1)*4))),"")</f>
        <v/>
      </c>
      <c r="AA6" s="309">
        <f t="shared" ref="AA6:AA25" si="5">IF($C6="","",COUNTIF($C$6:$C$25,"&lt;"&amp;$C6)+1-COUNTIF($C$6:$C$25,""))</f>
        <v>2</v>
      </c>
      <c r="AB6" s="309" t="str">
        <f>IFERROR(INDEX($C$6:$C$25,MATCH(ROWS($AB$6:$AB6),$AA$6:$AA$25,0)),"")</f>
        <v>Amber Kilalee</v>
      </c>
      <c r="AC6" s="309"/>
      <c r="AD6" s="309">
        <v>1</v>
      </c>
      <c r="AE6" s="312">
        <f t="array" ref="AE6">IF(LEN(INDEX(Attendance!$CP$2:$FY$2,1,($AD6-1)*4+1))=0,"",INDEX(Attendance!$CP$2:$FY$2,1,($AD6-1)*4+1))</f>
        <v>46264</v>
      </c>
      <c r="AF6" s="309" t="str">
        <f t="array" ref="AF6">IF(LEN(INDEX(Attendance!$CP$3:$FY$3,1,($AD6-1)*4+1))=0,"",INDEX(Attendance!$CP$3:$FY$3,1,($AD6-1)*4+1))</f>
        <v>Enniskerry FC</v>
      </c>
      <c r="AG6" s="309" t="str">
        <f t="array" ref="AG6">IF(LEN(INDEX(Attendance!$CP$3:$FY$3,1,($AD6-1)*4+4))=0,"",INDEX(Attendance!$CP$3:$FY$3,1,($AD6-1)*4+4))</f>
        <v>H</v>
      </c>
      <c r="AH6" s="309" t="str">
        <f t="array" ref="AH6">IF(LEN(INDEX(Attendance!$CP$26:$FY$26,1,($AD6-1)*4+1))=0,"",INDEX(Attendance!$CP$26:$FY$26,1,($AD6-1)*4+1))</f>
        <v/>
      </c>
      <c r="AI6" s="309" t="str">
        <f t="array" ref="AI6">IF(LEN(INDEX(Attendance!$CP$27:$FY$27,1,($AD6-1)*4+1))=0,"",INDEX(Attendance!$CP$27:$FY$27,1,($AD6-1)*4+1))</f>
        <v/>
      </c>
      <c r="AJ6" s="309" t="str">
        <f t="array" ref="AJ6">IF(LEN(INDEX(Attendance!$CP$28:$FY$28,1,($AD6-1)*4+1))=0,"",INDEX(Attendance!$CP$28:$FY$28,1,($AD6-1)*4+1))</f>
        <v/>
      </c>
      <c r="AL6" t="str">
        <f t="shared" ref="AL6:AL11" si="6">$S6</f>
        <v>Critical</v>
      </c>
      <c r="AM6">
        <f t="shared" ref="AM6:AM11" si="7">$V6</f>
        <v>0</v>
      </c>
      <c r="AO6" t="str">
        <f t="shared" ref="AO6:AO25" si="8">IF($C6="","",$C6)</f>
        <v>Aoife Kennan</v>
      </c>
      <c r="AP6" s="313">
        <f>IF($AO6="","",IFERROR(INDEX('Pre season'!$AE$5:$AE$24,MATCH($AO6,'Pre season'!$AD$5:$AD$24,0)),""))</f>
        <v>8</v>
      </c>
      <c r="AQ6" s="313">
        <f>IF($AO6="","",IFERROR(INDEX('Pre season'!$AF$5:$AF$24,MATCH($AO6,'Pre season'!$AD$5:$AD$24,0)),""))</f>
        <v>11</v>
      </c>
      <c r="AR6" s="314">
        <f>IF($AO6="","",IFERROR(INDEX('Pre season'!$AG$5:$AG$24,MATCH($AO6,'Pre season'!$AD$5:$AD$24,0)),""))</f>
        <v>0.72727272727272729</v>
      </c>
      <c r="AS6" s="64">
        <f>IF($AO6="","",IFERROR(INDEX('Pre season'!$AK$5:$AK$24,MATCH($AO6,'Pre season'!$AD$5:$AD$24,0)),""))</f>
        <v>2.875</v>
      </c>
      <c r="AT6" s="314">
        <f>IF($AO6="","",IFERROR(INDEX('Pre season'!$AJ$5:$AJ$24,MATCH($AO6,'Pre season'!$AD$5:$AD$24,0)),""))</f>
        <v>0.62545454545454549</v>
      </c>
      <c r="AU6" t="str">
        <f>IF($AO6="","",IF($AS6="","No pre-season data",IF(N($AP6)&lt;'Pre season'!$AM$5,"Insufficient data",IF($AS6&gt;=3.5,"Match Ready",IF($AS6&gt;3,"Not Ready for 90 min",IF($AS6&gt;2.5,"Nearly Ready",IF($AS6&gt;2,"Improving",IF($AS6&gt;1.5,"Not Ready","Critical"))))))))</f>
        <v>Nearly Ready</v>
      </c>
      <c r="AV6" t="str">
        <f t="shared" ref="AV6:AV25" si="9">IF($AO6="","",IF($E6&lt;&gt;"","In-season",IF($AS6="","No data","Pre-season")))</f>
        <v>In-season</v>
      </c>
      <c r="AW6" s="64">
        <f t="shared" ref="AW6:AW25" si="10">IF($AO6="","",IF($E6&lt;&gt;"",$E6,IF($AS6="","",$AS6)))</f>
        <v>3</v>
      </c>
      <c r="AX6" s="315">
        <f t="array" ref="AX6">IF($AO6="","",IF($AT6="","",SUMPRODUCT(($AT$6:$AT$25&lt;&gt;"")*($AT$6:$AT$25&gt;$AT6))+COUNTIF($AT$6:$AT6,$AT6)))</f>
        <v>5</v>
      </c>
      <c r="BA6" t="str">
        <f t="shared" ref="BA6:BA25" si="11">IF($C6="","",$C6)</f>
        <v>Aoife Kennan</v>
      </c>
      <c r="BB6" s="316">
        <f t="array" aca="1" ref="BB6" ca="1">IF($BA6="","",IF(ActiveSrc="In-season",SUMPRODUCT((ATAtt="Att")*(ATDates&gt;WinEnd-WinDays)*(ATDates&lt;=WinEnd)*((Attendance!$E5:$CN5="Yes")+(Attendance!$E5:$CN5="No"))),SUMPRODUCT((PSAtt="Att")*(PSDates&gt;WinEnd-WinDays)*(PSDates&lt;=WinEnd)*(('Pre season'!$E5:$AB5="Yes")+('Pre season'!$E5:$AB5="No")))))</f>
        <v>1</v>
      </c>
      <c r="BC6" s="316">
        <f t="array" aca="1" ref="BC6" ca="1">IF($BA6="","",IF(ActiveSrc="In-season",SUMPRODUCT((ATAtt="Att")*(ATDates&gt;WinEnd-WinDays)*(ATDates&lt;=WinEnd)*(Attendance!$E5:$CN5="Yes")),SUMPRODUCT((PSAtt="Att")*(PSDates&gt;WinEnd-WinDays)*(PSDates&lt;=WinEnd)*('Pre season'!$E5:$AB5="Yes"))))</f>
        <v>1</v>
      </c>
      <c r="BD6" s="316">
        <f t="array" aca="1" ref="BD6" ca="1">IF($BA6="","",IF(ActiveSrc="In-season",SUMPRODUCT((ATWR="WR")*(ATDates&gt;WinEnd-WinDays)*(ATDates&lt;=WinEnd)*IF(ISNUMBER(Attendance!$F5:$CO5),Attendance!$F5:$CO5,0)),SUMPRODUCT((PSWR="WR")*(PSDates&gt;WinEnd-WinDays)*(PSDates&lt;=WinEnd)*IF(ISNUMBER('Pre season'!$F5:$AC5),'Pre season'!$F5:$AC5,0))))</f>
        <v>3</v>
      </c>
      <c r="BE6" s="316">
        <f t="array" aca="1" ref="BE6" ca="1">IF($BA6="","",IF(ActiveSrc="In-season",SUMPRODUCT((ATWR="WR")*(ATDates&gt;WinEnd-WinDays)*(ATDates&lt;=WinEnd)*(IF(ISNUMBER(Attendance!$F5:$CO5),Attendance!$F5:$CO5,0)&gt;0)),SUMPRODUCT((PSWR="WR")*(PSDates&gt;WinEnd-WinDays)*(PSDates&lt;=WinEnd)*(IF(ISNUMBER('Pre season'!$F5:$AC5),'Pre season'!$F5:$AC5,0)&gt;0))))</f>
        <v>1</v>
      </c>
      <c r="BF6" s="317">
        <f t="shared" ref="BF6:BF25" ca="1" si="12">IF($BA6="","",IF(N($BE6)=0,"",$BD6/$BE6))</f>
        <v>3</v>
      </c>
      <c r="BG6" s="318">
        <f ca="1">IF($BA6="","",IF(N($BB6)=0,"",'Pre season'!$AM$2*($BC6/$BB6)+'Pre season'!$AM$3*(IF($BF6="",0,$BF6)/5)))</f>
        <v>0.76</v>
      </c>
      <c r="BH6" s="316">
        <f t="array" aca="1" ref="BH6" ca="1">IF($BA6="","",IF($BG6="","",SUMPRODUCT(($BG$6:$BG$25&lt;&gt;"")*($BG$6:$BG$25&gt;$BG6))+COUNTIF($BG$6:$BG6,$BG6)))</f>
        <v>1</v>
      </c>
      <c r="BJ6" t="str">
        <f t="shared" ref="BJ6:BJ25" si="13">IF($C6="","",$C6)</f>
        <v>Aoife Kennan</v>
      </c>
      <c r="BK6" s="318">
        <f>IF($BJ6="","",IF(OR(N(Attendance!$GB5)&gt;0,N(Attendance!$GF5)&gt;0),IFERROR(Attendance!$GN5,""),IFERROR($AT6,"")))</f>
        <v>0.76666666666666661</v>
      </c>
      <c r="BL6" s="319" t="str">
        <f>IF($BJ6="","",IF(OR(N(Attendance!$GB5)&gt;0,N(Attendance!$GF5)&gt;0),"In-season","Pre-season"))</f>
        <v>In-season</v>
      </c>
      <c r="BM6" s="316">
        <f t="array" ref="BM6">IF($BJ6="","",IF($BK6="","",SUMPRODUCT(($BK$6:$BK$25&lt;&gt;"")*($BK$6:$BK$25&gt;$BK6))+COUNTIF($BK$6:$BK6,$BK6)))</f>
        <v>1</v>
      </c>
      <c r="BO6" t="str">
        <f>$S11</f>
        <v>Match Ready</v>
      </c>
      <c r="BP6" s="315">
        <f t="shared" ref="BP6:BP12" si="14">COUNTIF($I$6:$I$25,$BO6)</f>
        <v>0</v>
      </c>
      <c r="BQ6" t="str">
        <f t="array" ref="BQ6">_xlfn.TEXTJOIN(", ",TRUE(),IF($I$6:$I$25=$BO6,$C$6:$C$25,""))</f>
        <v/>
      </c>
    </row>
    <row r="7" spans="2:69" x14ac:dyDescent="0.45">
      <c r="B7" s="308">
        <f>IF($C7="","",Attendance!$C6)</f>
        <v>2</v>
      </c>
      <c r="C7" s="309" t="str">
        <f>IF(Attendance!$D6="","",Attendance!$D6)</f>
        <v>Stella McEvoy</v>
      </c>
      <c r="D7" s="310">
        <f>IF($C7="","",IFERROR(Attendance!$GC6,""))</f>
        <v>1</v>
      </c>
      <c r="E7" s="311">
        <f>IF($C7="","",IFERROR(Attendance!$GD6,""))</f>
        <v>3</v>
      </c>
      <c r="F7" s="310" t="str">
        <f>IF($C7="","",IFERROR(Attendance!$GH6,""))</f>
        <v/>
      </c>
      <c r="G7" s="311" t="str">
        <f>IF($C7="","",IFERROR(Attendance!$GK6,""))</f>
        <v/>
      </c>
      <c r="H7" s="310">
        <f>IF($C7="","",IFERROR(Attendance!$GN6,""))</f>
        <v>0.76666666666666661</v>
      </c>
      <c r="I7" s="309" t="str">
        <f>IF($C7="","",IF($AW7="","Not graded",IF(AND($AV7="Pre-season",N($AP7)&lt;'Pre season'!$AM$5),"Insufficient data",IF($AW7&gt;=3.5,"Match Ready",IF($AW7&gt;3,"Not Ready for 90 min",IF($AW7&gt;2.5,"Nearly Ready",IF($AW7&gt;2,"Improving",IF($AW7&gt;1.5,"Not Ready","Critical"))))))))</f>
        <v>Nearly Ready</v>
      </c>
      <c r="J7" s="309">
        <f t="shared" si="0"/>
        <v>0.76685666666666663</v>
      </c>
      <c r="K7" s="309">
        <f>ROWS($K$6:$K7)</f>
        <v>2</v>
      </c>
      <c r="L7" s="309" t="str">
        <f>IFERROR(INDEX($C$6:$C$25,MATCH(LARGE($J$6:$J$25,ROWS($L$6:$L7)),$J$6:$J$25,0)),"")</f>
        <v>Stella McEvoy</v>
      </c>
      <c r="M7" s="310">
        <f>IFERROR(INDEX($H$6:$H$25,MATCH(LARGE($J$6:$J$25,ROWS($M$6:$M7)),$J$6:$J$25,0)),"")</f>
        <v>0.76666666666666661</v>
      </c>
      <c r="N7" s="309"/>
      <c r="O7" s="309" t="str">
        <f t="shared" si="1"/>
        <v>Stella McEvoy</v>
      </c>
      <c r="P7" s="311">
        <f t="shared" si="2"/>
        <v>3</v>
      </c>
      <c r="Q7" s="311" t="str">
        <f t="shared" si="3"/>
        <v/>
      </c>
      <c r="R7" s="309"/>
      <c r="S7" s="309" t="s">
        <v>423</v>
      </c>
      <c r="T7" s="309">
        <v>1.51</v>
      </c>
      <c r="U7" s="309">
        <v>2</v>
      </c>
      <c r="V7" s="309">
        <f t="shared" si="4"/>
        <v>2</v>
      </c>
      <c r="W7" s="309"/>
      <c r="X7" s="309">
        <v>2</v>
      </c>
      <c r="Y7" s="311" t="str">
        <f ca="1">IFERROR(IF($Y$2="","",AVERAGE(OFFSET(Attendance!$A$1,$Y$2-1,5+($X7-1)*4),OFFSET(Attendance!$A$1,$Y$2-1,7+($X7-1)*4))),"")</f>
        <v/>
      </c>
      <c r="Z7" s="311" t="str">
        <f ca="1">IFERROR(IF($Y$2="","",IF(LEN(OFFSET(Attendance!$A$1,$Y$2-1,95+($X7-1)*4))=0,"",OFFSET(Attendance!$A$1,$Y$2-1,95+($X7-1)*4))),"")</f>
        <v/>
      </c>
      <c r="AA7" s="309">
        <f t="shared" si="5"/>
        <v>15</v>
      </c>
      <c r="AB7" s="309" t="str">
        <f>IFERROR(INDEX($C$6:$C$25,MATCH(ROWS($AB$6:$AB7),$AA$6:$AA$25,0)),"")</f>
        <v>Aoife Kennan</v>
      </c>
      <c r="AC7" s="309"/>
      <c r="AD7" s="309">
        <v>2</v>
      </c>
      <c r="AE7" s="312" t="str">
        <f t="array" ref="AE7">IF(LEN(INDEX(Attendance!$CP$2:$FY$2,1,($AD7-1)*4+1))=0,"",INDEX(Attendance!$CP$2:$FY$2,1,($AD7-1)*4+1))</f>
        <v/>
      </c>
      <c r="AF7" s="309" t="str">
        <f t="array" ref="AF7">IF(LEN(INDEX(Attendance!$CP$3:$FY$3,1,($AD7-1)*4+1))=0,"",INDEX(Attendance!$CP$3:$FY$3,1,($AD7-1)*4+1))</f>
        <v/>
      </c>
      <c r="AG7" s="309" t="str">
        <f t="array" ref="AG7">IF(LEN(INDEX(Attendance!$CP$3:$FY$3,1,($AD7-1)*4+4))=0,"",INDEX(Attendance!$CP$3:$FY$3,1,($AD7-1)*4+4))</f>
        <v/>
      </c>
      <c r="AH7" s="309" t="str">
        <f t="array" ref="AH7">IF(LEN(INDEX(Attendance!$CP$26:$FY$26,1,($AD7-1)*4+1))=0,"",INDEX(Attendance!$CP$26:$FY$26,1,($AD7-1)*4+1))</f>
        <v/>
      </c>
      <c r="AI7" s="309" t="str">
        <f t="array" ref="AI7">IF(LEN(INDEX(Attendance!$CP$27:$FY$27,1,($AD7-1)*4+1))=0,"",INDEX(Attendance!$CP$27:$FY$27,1,($AD7-1)*4+1))</f>
        <v/>
      </c>
      <c r="AJ7" s="309" t="str">
        <f t="array" ref="AJ7">IF(LEN(INDEX(Attendance!$CP$28:$FY$28,1,($AD7-1)*4+1))=0,"",INDEX(Attendance!$CP$28:$FY$28,1,($AD7-1)*4+1))</f>
        <v/>
      </c>
      <c r="AL7" t="str">
        <f t="shared" si="6"/>
        <v>Not Ready</v>
      </c>
      <c r="AM7">
        <f t="shared" si="7"/>
        <v>2</v>
      </c>
      <c r="AO7" t="str">
        <f t="shared" si="8"/>
        <v>Stella McEvoy</v>
      </c>
      <c r="AP7" s="313">
        <f>IF($AO7="","",IFERROR(INDEX('Pre season'!$AE$5:$AE$24,MATCH($AO7,'Pre season'!$AD$5:$AD$24,0)),""))</f>
        <v>9</v>
      </c>
      <c r="AQ7" s="313">
        <f>IF($AO7="","",IFERROR(INDEX('Pre season'!$AF$5:$AF$24,MATCH($AO7,'Pre season'!$AD$5:$AD$24,0)),""))</f>
        <v>11</v>
      </c>
      <c r="AR7" s="314">
        <f>IF($AO7="","",IFERROR(INDEX('Pre season'!$AG$5:$AG$24,MATCH($AO7,'Pre season'!$AD$5:$AD$24,0)),""))</f>
        <v>0.81818181818181823</v>
      </c>
      <c r="AS7" s="64">
        <f>IF($AO7="","",IFERROR(INDEX('Pre season'!$AK$5:$AK$24,MATCH($AO7,'Pre season'!$AD$5:$AD$24,0)),""))</f>
        <v>3.6666666666666665</v>
      </c>
      <c r="AT7" s="314">
        <f>IF($AO7="","",IFERROR(INDEX('Pre season'!$AJ$5:$AJ$24,MATCH($AO7,'Pre season'!$AD$5:$AD$24,0)),""))</f>
        <v>0.76727272727272733</v>
      </c>
      <c r="AU7" t="str">
        <f>IF($AO7="","",IF($AS7="","No pre-season data",IF(N($AP7)&lt;'Pre season'!$AM$5,"Insufficient data",IF($AS7&gt;=3.5,"Match Ready",IF($AS7&gt;3,"Not Ready for 90 min",IF($AS7&gt;2.5,"Nearly Ready",IF($AS7&gt;2,"Improving",IF($AS7&gt;1.5,"Not Ready","Critical"))))))))</f>
        <v>Match Ready</v>
      </c>
      <c r="AV7" t="str">
        <f t="shared" si="9"/>
        <v>In-season</v>
      </c>
      <c r="AW7" s="64">
        <f t="shared" si="10"/>
        <v>3</v>
      </c>
      <c r="AX7" s="315">
        <f t="array" ref="AX7">IF($AO7="","",IF($AT7="","",SUMPRODUCT(($AT$6:$AT$25&lt;&gt;"")*($AT$6:$AT$25&gt;$AT7))+COUNTIF($AT$6:$AT7,$AT7)))</f>
        <v>1</v>
      </c>
      <c r="BA7" t="str">
        <f t="shared" si="11"/>
        <v>Stella McEvoy</v>
      </c>
      <c r="BB7" s="316">
        <f t="array" aca="1" ref="BB7" ca="1">IF($BA7="","",IF(ActiveSrc="In-season",SUMPRODUCT((ATAtt="Att")*(ATDates&gt;WinEnd-WinDays)*(ATDates&lt;=WinEnd)*((Attendance!$E6:$CN6="Yes")+(Attendance!$E6:$CN6="No"))),SUMPRODUCT((PSAtt="Att")*(PSDates&gt;WinEnd-WinDays)*(PSDates&lt;=WinEnd)*(('Pre season'!$E6:$AB6="Yes")+('Pre season'!$E6:$AB6="No")))))</f>
        <v>1</v>
      </c>
      <c r="BC7" s="316">
        <f t="array" aca="1" ref="BC7" ca="1">IF($BA7="","",IF(ActiveSrc="In-season",SUMPRODUCT((ATAtt="Att")*(ATDates&gt;WinEnd-WinDays)*(ATDates&lt;=WinEnd)*(Attendance!$E6:$CN6="Yes")),SUMPRODUCT((PSAtt="Att")*(PSDates&gt;WinEnd-WinDays)*(PSDates&lt;=WinEnd)*('Pre season'!$E6:$AB6="Yes"))))</f>
        <v>1</v>
      </c>
      <c r="BD7" s="316">
        <f t="array" aca="1" ref="BD7" ca="1">IF($BA7="","",IF(ActiveSrc="In-season",SUMPRODUCT((ATWR="WR")*(ATDates&gt;WinEnd-WinDays)*(ATDates&lt;=WinEnd)*IF(ISNUMBER(Attendance!$F6:$CO6),Attendance!$F6:$CO6,0)),SUMPRODUCT((PSWR="WR")*(PSDates&gt;WinEnd-WinDays)*(PSDates&lt;=WinEnd)*IF(ISNUMBER('Pre season'!$F6:$AC6),'Pre season'!$F6:$AC6,0))))</f>
        <v>3</v>
      </c>
      <c r="BE7" s="316">
        <f t="array" aca="1" ref="BE7" ca="1">IF($BA7="","",IF(ActiveSrc="In-season",SUMPRODUCT((ATWR="WR")*(ATDates&gt;WinEnd-WinDays)*(ATDates&lt;=WinEnd)*(IF(ISNUMBER(Attendance!$F6:$CO6),Attendance!$F6:$CO6,0)&gt;0)),SUMPRODUCT((PSWR="WR")*(PSDates&gt;WinEnd-WinDays)*(PSDates&lt;=WinEnd)*(IF(ISNUMBER('Pre season'!$F6:$AC6),'Pre season'!$F6:$AC6,0)&gt;0))))</f>
        <v>1</v>
      </c>
      <c r="BF7" s="317">
        <f t="shared" ca="1" si="12"/>
        <v>3</v>
      </c>
      <c r="BG7" s="318">
        <f ca="1">IF($BA7="","",IF(N($BB7)=0,"",'Pre season'!$AM$2*($BC7/$BB7)+'Pre season'!$AM$3*(IF($BF7="",0,$BF7)/5)))</f>
        <v>0.76</v>
      </c>
      <c r="BH7" s="316">
        <f t="array" aca="1" ref="BH7" ca="1">IF($BA7="","",IF($BG7="","",SUMPRODUCT(($BG$6:$BG$25&lt;&gt;"")*($BG$6:$BG$25&gt;$BG7))+COUNTIF($BG$6:$BG7,$BG7)))</f>
        <v>2</v>
      </c>
      <c r="BJ7" t="str">
        <f t="shared" si="13"/>
        <v>Stella McEvoy</v>
      </c>
      <c r="BK7" s="318">
        <f>IF($BJ7="","",IF(OR(N(Attendance!$GB6)&gt;0,N(Attendance!$GF6)&gt;0),IFERROR(Attendance!$GN6,""),IFERROR($AT7,"")))</f>
        <v>0.76666666666666661</v>
      </c>
      <c r="BL7" s="319" t="str">
        <f>IF($BJ7="","",IF(OR(N(Attendance!$GB6)&gt;0,N(Attendance!$GF6)&gt;0),"In-season","Pre-season"))</f>
        <v>In-season</v>
      </c>
      <c r="BM7" s="316">
        <f t="array" ref="BM7">IF($BJ7="","",IF($BK7="","",SUMPRODUCT(($BK$6:$BK$25&lt;&gt;"")*($BK$6:$BK$25&gt;$BK7))+COUNTIF($BK$6:$BK7,$BK7)))</f>
        <v>2</v>
      </c>
      <c r="BO7" t="str">
        <f>$S10</f>
        <v>Not Ready for 90 min</v>
      </c>
      <c r="BP7" s="315">
        <f t="shared" si="14"/>
        <v>1</v>
      </c>
      <c r="BQ7" t="str">
        <f t="array" ref="BQ7">_xlfn.TEXTJOIN(", ",TRUE(),IF($I$6:$I$25=$BO7,$C$6:$C$25,""))</f>
        <v>Emma Kelly</v>
      </c>
    </row>
    <row r="8" spans="2:69" x14ac:dyDescent="0.45">
      <c r="B8" s="308">
        <f>IF($C8="","",Attendance!$C7)</f>
        <v>3</v>
      </c>
      <c r="C8" s="309" t="str">
        <f>IF(Attendance!$D7="","",Attendance!$D7)</f>
        <v>Zara Power</v>
      </c>
      <c r="D8" s="310">
        <f>IF($C8="","",IFERROR(Attendance!$GC7,""))</f>
        <v>0</v>
      </c>
      <c r="E8" s="311" t="str">
        <f>IF($C8="","",IFERROR(Attendance!$GD7,""))</f>
        <v/>
      </c>
      <c r="F8" s="310" t="str">
        <f>IF($C8="","",IFERROR(Attendance!$GH7,""))</f>
        <v/>
      </c>
      <c r="G8" s="311" t="str">
        <f>IF($C8="","",IFERROR(Attendance!$GK7,""))</f>
        <v/>
      </c>
      <c r="H8" s="310">
        <f>IF($C8="","",IFERROR(Attendance!$GN7,""))</f>
        <v>0</v>
      </c>
      <c r="I8" s="309" t="str">
        <f>IF($C8="","",IF($AW8="","Not graded",IF(AND($AV8="Pre-season",N($AP8)&lt;'Pre season'!$AM$5),"Insufficient data",IF($AW8&gt;=3.5,"Match Ready",IF($AW8&gt;3,"Not Ready for 90 min",IF($AW8&gt;2.5,"Nearly Ready",IF($AW8&gt;2,"Improving",IF($AW8&gt;1.5,"Not Ready","Critical"))))))))</f>
        <v>Insufficient data</v>
      </c>
      <c r="J8" s="309">
        <f t="shared" si="0"/>
        <v>1.8000000000000001E-4</v>
      </c>
      <c r="K8" s="309">
        <f>ROWS($K$6:$K8)</f>
        <v>3</v>
      </c>
      <c r="L8" s="309" t="str">
        <f>IFERROR(INDEX($C$6:$C$25,MATCH(LARGE($J$6:$J$25,ROWS($L$6:$L8)),$J$6:$J$25,0)),"")</f>
        <v>Roisin Offenhausen</v>
      </c>
      <c r="M8" s="310">
        <f>IFERROR(INDEX($H$6:$H$25,MATCH(LARGE($J$6:$J$25,ROWS($M$6:$M8)),$J$6:$J$25,0)),"")</f>
        <v>0.76666666666666661</v>
      </c>
      <c r="N8" s="309"/>
      <c r="O8" s="309" t="str">
        <f t="shared" si="1"/>
        <v>Zara Power</v>
      </c>
      <c r="P8" s="311" t="str">
        <f t="shared" si="2"/>
        <v/>
      </c>
      <c r="Q8" s="311" t="str">
        <f t="shared" si="3"/>
        <v/>
      </c>
      <c r="R8" s="309"/>
      <c r="S8" s="309" t="s">
        <v>424</v>
      </c>
      <c r="T8" s="309">
        <v>2.0099999999999998</v>
      </c>
      <c r="U8" s="309">
        <v>2.5</v>
      </c>
      <c r="V8" s="309">
        <f t="shared" si="4"/>
        <v>0</v>
      </c>
      <c r="W8" s="309"/>
      <c r="X8" s="309">
        <v>3</v>
      </c>
      <c r="Y8" s="311" t="str">
        <f ca="1">IFERROR(IF($Y$2="","",AVERAGE(OFFSET(Attendance!$A$1,$Y$2-1,5+($X8-1)*4),OFFSET(Attendance!$A$1,$Y$2-1,7+($X8-1)*4))),"")</f>
        <v/>
      </c>
      <c r="Z8" s="311" t="str">
        <f ca="1">IFERROR(IF($Y$2="","",IF(LEN(OFFSET(Attendance!$A$1,$Y$2-1,95+($X8-1)*4))=0,"",OFFSET(Attendance!$A$1,$Y$2-1,95+($X8-1)*4))),"")</f>
        <v/>
      </c>
      <c r="AA8" s="309">
        <f t="shared" si="5"/>
        <v>18</v>
      </c>
      <c r="AB8" s="309" t="str">
        <f>IFERROR(INDEX($C$6:$C$25,MATCH(ROWS($AB$6:$AB8),$AA$6:$AA$25,0)),"")</f>
        <v>Elsie Morrison</v>
      </c>
      <c r="AC8" s="309"/>
      <c r="AD8" s="309">
        <v>3</v>
      </c>
      <c r="AE8" s="312" t="str">
        <f t="array" ref="AE8">IF(LEN(INDEX(Attendance!$CP$2:$FY$2,1,($AD8-1)*4+1))=0,"",INDEX(Attendance!$CP$2:$FY$2,1,($AD8-1)*4+1))</f>
        <v/>
      </c>
      <c r="AF8" s="309" t="str">
        <f t="array" ref="AF8">IF(LEN(INDEX(Attendance!$CP$3:$FY$3,1,($AD8-1)*4+1))=0,"",INDEX(Attendance!$CP$3:$FY$3,1,($AD8-1)*4+1))</f>
        <v/>
      </c>
      <c r="AG8" s="309" t="str">
        <f t="array" ref="AG8">IF(LEN(INDEX(Attendance!$CP$3:$FY$3,1,($AD8-1)*4+4))=0,"",INDEX(Attendance!$CP$3:$FY$3,1,($AD8-1)*4+4))</f>
        <v/>
      </c>
      <c r="AH8" s="309" t="str">
        <f t="array" ref="AH8">IF(LEN(INDEX(Attendance!$CP$26:$FY$26,1,($AD8-1)*4+1))=0,"",INDEX(Attendance!$CP$26:$FY$26,1,($AD8-1)*4+1))</f>
        <v/>
      </c>
      <c r="AI8" s="309" t="str">
        <f t="array" ref="AI8">IF(LEN(INDEX(Attendance!$CP$27:$FY$27,1,($AD8-1)*4+1))=0,"",INDEX(Attendance!$CP$27:$FY$27,1,($AD8-1)*4+1))</f>
        <v/>
      </c>
      <c r="AJ8" s="309" t="str">
        <f t="array" ref="AJ8">IF(LEN(INDEX(Attendance!$CP$28:$FY$28,1,($AD8-1)*4+1))=0,"",INDEX(Attendance!$CP$28:$FY$28,1,($AD8-1)*4+1))</f>
        <v/>
      </c>
      <c r="AL8" t="str">
        <f t="shared" si="6"/>
        <v>Improving</v>
      </c>
      <c r="AM8">
        <f t="shared" si="7"/>
        <v>0</v>
      </c>
      <c r="AO8" t="str">
        <f t="shared" si="8"/>
        <v>Zara Power</v>
      </c>
      <c r="AP8" s="313">
        <f>IF($AO8="","",IFERROR(INDEX('Pre season'!$AE$5:$AE$24,MATCH($AO8,'Pre season'!$AD$5:$AD$24,0)),""))</f>
        <v>3</v>
      </c>
      <c r="AQ8" s="313">
        <f>IF($AO8="","",IFERROR(INDEX('Pre season'!$AF$5:$AF$24,MATCH($AO8,'Pre season'!$AD$5:$AD$24,0)),""))</f>
        <v>11</v>
      </c>
      <c r="AR8" s="314">
        <f>IF($AO8="","",IFERROR(INDEX('Pre season'!$AG$5:$AG$24,MATCH($AO8,'Pre season'!$AD$5:$AD$24,0)),""))</f>
        <v>0.27272727272727271</v>
      </c>
      <c r="AS8" s="64">
        <f>IF($AO8="","",IFERROR(INDEX('Pre season'!$AK$5:$AK$24,MATCH($AO8,'Pre season'!$AD$5:$AD$24,0)),""))</f>
        <v>2.6666666666666665</v>
      </c>
      <c r="AT8" s="314">
        <f>IF($AO8="","",IFERROR(INDEX('Pre season'!$AJ$5:$AJ$24,MATCH($AO8,'Pre season'!$AD$5:$AD$24,0)),""))</f>
        <v>0.22545454545454541</v>
      </c>
      <c r="AU8" t="str">
        <f>IF($AO8="","",IF($AS8="","No pre-season data",IF(N($AP8)&lt;'Pre season'!$AM$5,"Insufficient data",IF($AS8&gt;=3.5,"Match Ready",IF($AS8&gt;3,"Not Ready for 90 min",IF($AS8&gt;2.5,"Nearly Ready",IF($AS8&gt;2,"Improving",IF($AS8&gt;1.5,"Not Ready","Critical"))))))))</f>
        <v>Insufficient data</v>
      </c>
      <c r="AV8" t="str">
        <f t="shared" si="9"/>
        <v>Pre-season</v>
      </c>
      <c r="AW8" s="64">
        <f t="shared" si="10"/>
        <v>2.6666666666666665</v>
      </c>
      <c r="AX8" s="315">
        <f t="array" ref="AX8">IF($AO8="","",IF($AT8="","",SUMPRODUCT(($AT$6:$AT$25&lt;&gt;"")*($AT$6:$AT$25&gt;$AT8))+COUNTIF($AT$6:$AT8,$AT8)))</f>
        <v>15</v>
      </c>
      <c r="BA8" t="str">
        <f t="shared" si="11"/>
        <v>Zara Power</v>
      </c>
      <c r="BB8" s="316">
        <f t="array" aca="1" ref="BB8" ca="1">IF($BA8="","",IF(ActiveSrc="In-season",SUMPRODUCT((ATAtt="Att")*(ATDates&gt;WinEnd-WinDays)*(ATDates&lt;=WinEnd)*((Attendance!$E7:$CN7="Yes")+(Attendance!$E7:$CN7="No"))),SUMPRODUCT((PSAtt="Att")*(PSDates&gt;WinEnd-WinDays)*(PSDates&lt;=WinEnd)*(('Pre season'!$E7:$AB7="Yes")+('Pre season'!$E7:$AB7="No")))))</f>
        <v>1</v>
      </c>
      <c r="BC8" s="316">
        <f t="array" aca="1" ref="BC8" ca="1">IF($BA8="","",IF(ActiveSrc="In-season",SUMPRODUCT((ATAtt="Att")*(ATDates&gt;WinEnd-WinDays)*(ATDates&lt;=WinEnd)*(Attendance!$E7:$CN7="Yes")),SUMPRODUCT((PSAtt="Att")*(PSDates&gt;WinEnd-WinDays)*(PSDates&lt;=WinEnd)*('Pre season'!$E7:$AB7="Yes"))))</f>
        <v>0</v>
      </c>
      <c r="BD8" s="316">
        <f t="array" aca="1" ref="BD8" ca="1">IF($BA8="","",IF(ActiveSrc="In-season",SUMPRODUCT((ATWR="WR")*(ATDates&gt;WinEnd-WinDays)*(ATDates&lt;=WinEnd)*IF(ISNUMBER(Attendance!$F7:$CO7),Attendance!$F7:$CO7,0)),SUMPRODUCT((PSWR="WR")*(PSDates&gt;WinEnd-WinDays)*(PSDates&lt;=WinEnd)*IF(ISNUMBER('Pre season'!$F7:$AC7),'Pre season'!$F7:$AC7,0))))</f>
        <v>0</v>
      </c>
      <c r="BE8" s="316">
        <f t="array" aca="1" ref="BE8" ca="1">IF($BA8="","",IF(ActiveSrc="In-season",SUMPRODUCT((ATWR="WR")*(ATDates&gt;WinEnd-WinDays)*(ATDates&lt;=WinEnd)*(IF(ISNUMBER(Attendance!$F7:$CO7),Attendance!$F7:$CO7,0)&gt;0)),SUMPRODUCT((PSWR="WR")*(PSDates&gt;WinEnd-WinDays)*(PSDates&lt;=WinEnd)*(IF(ISNUMBER('Pre season'!$F7:$AC7),'Pre season'!$F7:$AC7,0)&gt;0))))</f>
        <v>0</v>
      </c>
      <c r="BF8" s="317" t="str">
        <f t="shared" ca="1" si="12"/>
        <v/>
      </c>
      <c r="BG8" s="318">
        <f ca="1">IF($BA8="","",IF(N($BB8)=0,"",'Pre season'!$AM$2*($BC8/$BB8)+'Pre season'!$AM$3*(IF($BF8="",0,$BF8)/5)))</f>
        <v>0</v>
      </c>
      <c r="BH8" s="316">
        <f t="array" aca="1" ref="BH8" ca="1">IF($BA8="","",IF($BG8="","",SUMPRODUCT(($BG$6:$BG$25&lt;&gt;"")*($BG$6:$BG$25&gt;$BG8))+COUNTIF($BG$6:$BG8,$BG8)))</f>
        <v>15</v>
      </c>
      <c r="BJ8" t="str">
        <f t="shared" si="13"/>
        <v>Zara Power</v>
      </c>
      <c r="BK8" s="318">
        <f>IF($BJ8="","",IF(OR(N(Attendance!$GB7)&gt;0,N(Attendance!$GF7)&gt;0),IFERROR(Attendance!$GN7,""),IFERROR($AT8,"")))</f>
        <v>0</v>
      </c>
      <c r="BL8" s="319" t="str">
        <f>IF($BJ8="","",IF(OR(N(Attendance!$GB7)&gt;0,N(Attendance!$GF7)&gt;0),"In-season","Pre-season"))</f>
        <v>In-season</v>
      </c>
      <c r="BM8" s="316">
        <f t="array" ref="BM8">IF($BJ8="","",IF($BK8="","",SUMPRODUCT(($BK$6:$BK$25&lt;&gt;"")*($BK$6:$BK$25&gt;$BK8))+COUNTIF($BK$6:$BK8,$BK8)))</f>
        <v>15</v>
      </c>
      <c r="BO8" t="str">
        <f>$S9</f>
        <v>Nearly Ready</v>
      </c>
      <c r="BP8" s="315">
        <f t="shared" si="14"/>
        <v>12</v>
      </c>
      <c r="BQ8" t="str">
        <f t="array" ref="BQ8">_xlfn.TEXTJOIN(", ",TRUE(),IF($I$6:$I$25=$BO8,$C$6:$C$25,""))</f>
        <v>Aoife Kennan, Stella McEvoy, Roisin Offenhausen, Naomi Adewoyin, Amber Kilalee, Tara Brannigan, Semilore Adesanya, Hannah Fleming, Roma Memon, Emma Dromgoole, Mariana, Rama</v>
      </c>
    </row>
    <row r="9" spans="2:69" x14ac:dyDescent="0.45">
      <c r="B9" s="308">
        <f>IF($C9="","",Attendance!$C8)</f>
        <v>4</v>
      </c>
      <c r="C9" s="309" t="str">
        <f>IF(Attendance!$D8="","",Attendance!$D8)</f>
        <v>Heidi Cerubini Dunne</v>
      </c>
      <c r="D9" s="310">
        <f>IF($C9="","",IFERROR(Attendance!$GC8,""))</f>
        <v>0</v>
      </c>
      <c r="E9" s="311" t="str">
        <f>IF($C9="","",IFERROR(Attendance!$GD8,""))</f>
        <v/>
      </c>
      <c r="F9" s="310" t="str">
        <f>IF($C9="","",IFERROR(Attendance!$GH8,""))</f>
        <v/>
      </c>
      <c r="G9" s="311" t="str">
        <f>IF($C9="","",IFERROR(Attendance!$GK8,""))</f>
        <v/>
      </c>
      <c r="H9" s="310">
        <f>IF($C9="","",IFERROR(Attendance!$GN8,""))</f>
        <v>0</v>
      </c>
      <c r="I9" s="309" t="str">
        <f>IF($C9="","",IF($AW9="","Not graded",IF(AND($AV9="Pre-season",N($AP9)&lt;'Pre season'!$AM$5),"Insufficient data",IF($AW9&gt;=3.5,"Match Ready",IF($AW9&gt;3,"Not Ready for 90 min",IF($AW9&gt;2.5,"Nearly Ready",IF($AW9&gt;2,"Improving",IF($AW9&gt;1.5,"Not Ready","Critical"))))))))</f>
        <v>Insufficient data</v>
      </c>
      <c r="J9" s="309">
        <f t="shared" si="0"/>
        <v>1.7000000000000001E-4</v>
      </c>
      <c r="K9" s="309">
        <f>ROWS($K$6:$K9)</f>
        <v>4</v>
      </c>
      <c r="L9" s="309" t="str">
        <f>IFERROR(INDEX($C$6:$C$25,MATCH(LARGE($J$6:$J$25,ROWS($L$6:$L9)),$J$6:$J$25,0)),"")</f>
        <v>Naomi Adewoyin</v>
      </c>
      <c r="M9" s="310">
        <f>IFERROR(INDEX($H$6:$H$25,MATCH(LARGE($J$6:$J$25,ROWS($M$6:$M9)),$J$6:$J$25,0)),"")</f>
        <v>0.76666666666666661</v>
      </c>
      <c r="N9" s="309"/>
      <c r="O9" s="309" t="str">
        <f t="shared" si="1"/>
        <v>Heidi Cerubini Dunne</v>
      </c>
      <c r="P9" s="311" t="str">
        <f t="shared" si="2"/>
        <v/>
      </c>
      <c r="Q9" s="311" t="str">
        <f t="shared" si="3"/>
        <v/>
      </c>
      <c r="R9" s="309"/>
      <c r="S9" s="309" t="s">
        <v>425</v>
      </c>
      <c r="T9" s="309">
        <v>2.5099999999999998</v>
      </c>
      <c r="U9" s="309">
        <v>3</v>
      </c>
      <c r="V9" s="309">
        <f t="shared" si="4"/>
        <v>12</v>
      </c>
      <c r="W9" s="309"/>
      <c r="X9" s="309">
        <v>4</v>
      </c>
      <c r="Y9" s="311" t="str">
        <f ca="1">IFERROR(IF($Y$2="","",AVERAGE(OFFSET(Attendance!$A$1,$Y$2-1,5+($X9-1)*4),OFFSET(Attendance!$A$1,$Y$2-1,7+($X9-1)*4))),"")</f>
        <v/>
      </c>
      <c r="Z9" s="311" t="str">
        <f ca="1">IFERROR(IF($Y$2="","",IF(LEN(OFFSET(Attendance!$A$1,$Y$2-1,95+($X9-1)*4))=0,"",OFFSET(Attendance!$A$1,$Y$2-1,95+($X9-1)*4))),"")</f>
        <v/>
      </c>
      <c r="AA9" s="309">
        <f t="shared" si="5"/>
        <v>7</v>
      </c>
      <c r="AB9" s="309" t="str">
        <f>IFERROR(INDEX($C$6:$C$25,MATCH(ROWS($AB$6:$AB9),$AA$6:$AA$25,0)),"")</f>
        <v>Emma Dromgoole</v>
      </c>
      <c r="AC9" s="309"/>
      <c r="AD9" s="309">
        <v>4</v>
      </c>
      <c r="AE9" s="312" t="str">
        <f t="array" ref="AE9">IF(LEN(INDEX(Attendance!$CP$2:$FY$2,1,($AD9-1)*4+1))=0,"",INDEX(Attendance!$CP$2:$FY$2,1,($AD9-1)*4+1))</f>
        <v/>
      </c>
      <c r="AF9" s="309" t="str">
        <f t="array" ref="AF9">IF(LEN(INDEX(Attendance!$CP$3:$FY$3,1,($AD9-1)*4+1))=0,"",INDEX(Attendance!$CP$3:$FY$3,1,($AD9-1)*4+1))</f>
        <v/>
      </c>
      <c r="AG9" s="309" t="str">
        <f t="array" ref="AG9">IF(LEN(INDEX(Attendance!$CP$3:$FY$3,1,($AD9-1)*4+4))=0,"",INDEX(Attendance!$CP$3:$FY$3,1,($AD9-1)*4+4))</f>
        <v/>
      </c>
      <c r="AH9" s="309" t="str">
        <f t="array" ref="AH9">IF(LEN(INDEX(Attendance!$CP$26:$FY$26,1,($AD9-1)*4+1))=0,"",INDEX(Attendance!$CP$26:$FY$26,1,($AD9-1)*4+1))</f>
        <v/>
      </c>
      <c r="AI9" s="309" t="str">
        <f t="array" ref="AI9">IF(LEN(INDEX(Attendance!$CP$27:$FY$27,1,($AD9-1)*4+1))=0,"",INDEX(Attendance!$CP$27:$FY$27,1,($AD9-1)*4+1))</f>
        <v/>
      </c>
      <c r="AJ9" s="309" t="str">
        <f t="array" ref="AJ9">IF(LEN(INDEX(Attendance!$CP$28:$FY$28,1,($AD9-1)*4+1))=0,"",INDEX(Attendance!$CP$28:$FY$28,1,($AD9-1)*4+1))</f>
        <v/>
      </c>
      <c r="AL9" t="str">
        <f t="shared" si="6"/>
        <v>Nearly Ready</v>
      </c>
      <c r="AM9">
        <f t="shared" si="7"/>
        <v>12</v>
      </c>
      <c r="AO9" t="str">
        <f t="shared" si="8"/>
        <v>Heidi Cerubini Dunne</v>
      </c>
      <c r="AP9" s="313">
        <f>IF($AO9="","",IFERROR(INDEX('Pre season'!$AE$5:$AE$24,MATCH($AO9,'Pre season'!$AD$5:$AD$24,0)),""))</f>
        <v>3</v>
      </c>
      <c r="AQ9" s="313">
        <f>IF($AO9="","",IFERROR(INDEX('Pre season'!$AF$5:$AF$24,MATCH($AO9,'Pre season'!$AD$5:$AD$24,0)),""))</f>
        <v>11</v>
      </c>
      <c r="AR9" s="314">
        <f>IF($AO9="","",IFERROR(INDEX('Pre season'!$AG$5:$AG$24,MATCH($AO9,'Pre season'!$AD$5:$AD$24,0)),""))</f>
        <v>0.27272727272727271</v>
      </c>
      <c r="AS9" s="64">
        <f>IF($AO9="","",IFERROR(INDEX('Pre season'!$AK$5:$AK$24,MATCH($AO9,'Pre season'!$AD$5:$AD$24,0)),""))</f>
        <v>2</v>
      </c>
      <c r="AT9" s="314">
        <f>IF($AO9="","",IFERROR(INDEX('Pre season'!$AJ$5:$AJ$24,MATCH($AO9,'Pre season'!$AD$5:$AD$24,0)),""))</f>
        <v>0.19636363636363635</v>
      </c>
      <c r="AU9" t="str">
        <f>IF($AO9="","",IF($AS9="","No pre-season data",IF(N($AP9)&lt;'Pre season'!$AM$5,"Insufficient data",IF($AS9&gt;=3.5,"Match Ready",IF($AS9&gt;3,"Not Ready for 90 min",IF($AS9&gt;2.5,"Nearly Ready",IF($AS9&gt;2,"Improving",IF($AS9&gt;1.5,"Not Ready","Critical"))))))))</f>
        <v>Insufficient data</v>
      </c>
      <c r="AV9" t="str">
        <f t="shared" si="9"/>
        <v>Pre-season</v>
      </c>
      <c r="AW9" s="64">
        <f t="shared" si="10"/>
        <v>2</v>
      </c>
      <c r="AX9" s="315">
        <f t="array" ref="AX9">IF($AO9="","",IF($AT9="","",SUMPRODUCT(($AT$6:$AT$25&lt;&gt;"")*($AT$6:$AT$25&gt;$AT9))+COUNTIF($AT$6:$AT9,$AT9)))</f>
        <v>16</v>
      </c>
      <c r="BA9" t="str">
        <f t="shared" si="11"/>
        <v>Heidi Cerubini Dunne</v>
      </c>
      <c r="BB9" s="316">
        <f t="array" aca="1" ref="BB9" ca="1">IF($BA9="","",IF(ActiveSrc="In-season",SUMPRODUCT((ATAtt="Att")*(ATDates&gt;WinEnd-WinDays)*(ATDates&lt;=WinEnd)*((Attendance!$E8:$CN8="Yes")+(Attendance!$E8:$CN8="No"))),SUMPRODUCT((PSAtt="Att")*(PSDates&gt;WinEnd-WinDays)*(PSDates&lt;=WinEnd)*(('Pre season'!$E8:$AB8="Yes")+('Pre season'!$E8:$AB8="No")))))</f>
        <v>1</v>
      </c>
      <c r="BC9" s="316">
        <f t="array" aca="1" ref="BC9" ca="1">IF($BA9="","",IF(ActiveSrc="In-season",SUMPRODUCT((ATAtt="Att")*(ATDates&gt;WinEnd-WinDays)*(ATDates&lt;=WinEnd)*(Attendance!$E8:$CN8="Yes")),SUMPRODUCT((PSAtt="Att")*(PSDates&gt;WinEnd-WinDays)*(PSDates&lt;=WinEnd)*('Pre season'!$E8:$AB8="Yes"))))</f>
        <v>0</v>
      </c>
      <c r="BD9" s="316">
        <f t="array" aca="1" ref="BD9" ca="1">IF($BA9="","",IF(ActiveSrc="In-season",SUMPRODUCT((ATWR="WR")*(ATDates&gt;WinEnd-WinDays)*(ATDates&lt;=WinEnd)*IF(ISNUMBER(Attendance!$F8:$CO8),Attendance!$F8:$CO8,0)),SUMPRODUCT((PSWR="WR")*(PSDates&gt;WinEnd-WinDays)*(PSDates&lt;=WinEnd)*IF(ISNUMBER('Pre season'!$F8:$AC8),'Pre season'!$F8:$AC8,0))))</f>
        <v>0</v>
      </c>
      <c r="BE9" s="316">
        <f t="array" aca="1" ref="BE9" ca="1">IF($BA9="","",IF(ActiveSrc="In-season",SUMPRODUCT((ATWR="WR")*(ATDates&gt;WinEnd-WinDays)*(ATDates&lt;=WinEnd)*(IF(ISNUMBER(Attendance!$F8:$CO8),Attendance!$F8:$CO8,0)&gt;0)),SUMPRODUCT((PSWR="WR")*(PSDates&gt;WinEnd-WinDays)*(PSDates&lt;=WinEnd)*(IF(ISNUMBER('Pre season'!$F8:$AC8),'Pre season'!$F8:$AC8,0)&gt;0))))</f>
        <v>0</v>
      </c>
      <c r="BF9" s="317" t="str">
        <f t="shared" ca="1" si="12"/>
        <v/>
      </c>
      <c r="BG9" s="318">
        <f ca="1">IF($BA9="","",IF(N($BB9)=0,"",'Pre season'!$AM$2*($BC9/$BB9)+'Pre season'!$AM$3*(IF($BF9="",0,$BF9)/5)))</f>
        <v>0</v>
      </c>
      <c r="BH9" s="316">
        <f t="array" aca="1" ref="BH9" ca="1">IF($BA9="","",IF($BG9="","",SUMPRODUCT(($BG$6:$BG$25&lt;&gt;"")*($BG$6:$BG$25&gt;$BG9))+COUNTIF($BG$6:$BG9,$BG9)))</f>
        <v>16</v>
      </c>
      <c r="BJ9" t="str">
        <f t="shared" si="13"/>
        <v>Heidi Cerubini Dunne</v>
      </c>
      <c r="BK9" s="318">
        <f>IF($BJ9="","",IF(OR(N(Attendance!$GB8)&gt;0,N(Attendance!$GF8)&gt;0),IFERROR(Attendance!$GN8,""),IFERROR($AT9,"")))</f>
        <v>0</v>
      </c>
      <c r="BL9" s="319" t="str">
        <f>IF($BJ9="","",IF(OR(N(Attendance!$GB8)&gt;0,N(Attendance!$GF8)&gt;0),"In-season","Pre-season"))</f>
        <v>In-season</v>
      </c>
      <c r="BM9" s="316">
        <f t="array" ref="BM9">IF($BJ9="","",IF($BK9="","",SUMPRODUCT(($BK$6:$BK$25&lt;&gt;"")*($BK$6:$BK$25&gt;$BK9))+COUNTIF($BK$6:$BK9,$BK9)))</f>
        <v>16</v>
      </c>
      <c r="BO9" t="str">
        <f>$S8</f>
        <v>Improving</v>
      </c>
      <c r="BP9" s="315">
        <f t="shared" si="14"/>
        <v>0</v>
      </c>
      <c r="BQ9" t="str">
        <f t="array" ref="BQ9">_xlfn.TEXTJOIN(", ",TRUE(),IF($I$6:$I$25=$BO9,$C$6:$C$25,""))</f>
        <v/>
      </c>
    </row>
    <row r="10" spans="2:69" x14ac:dyDescent="0.45">
      <c r="B10" s="308">
        <f>IF($C10="","",Attendance!$C9)</f>
        <v>5</v>
      </c>
      <c r="C10" s="309" t="str">
        <f>IF(Attendance!$D9="","",Attendance!$D9)</f>
        <v>Roisin Offenhausen</v>
      </c>
      <c r="D10" s="310">
        <f>IF($C10="","",IFERROR(Attendance!$GC9,""))</f>
        <v>1</v>
      </c>
      <c r="E10" s="311">
        <f>IF($C10="","",IFERROR(Attendance!$GD9,""))</f>
        <v>3</v>
      </c>
      <c r="F10" s="310" t="str">
        <f>IF($C10="","",IFERROR(Attendance!$GH9,""))</f>
        <v/>
      </c>
      <c r="G10" s="311" t="str">
        <f>IF($C10="","",IFERROR(Attendance!$GK9,""))</f>
        <v/>
      </c>
      <c r="H10" s="310">
        <f>IF($C10="","",IFERROR(Attendance!$GN9,""))</f>
        <v>0.76666666666666661</v>
      </c>
      <c r="I10" s="309" t="str">
        <f>IF($C10="","",IF($AW10="","Not graded",IF(AND($AV10="Pre-season",N($AP10)&lt;'Pre season'!$AM$5),"Insufficient data",IF($AW10&gt;=3.5,"Match Ready",IF($AW10&gt;3,"Not Ready for 90 min",IF($AW10&gt;2.5,"Nearly Ready",IF($AW10&gt;2,"Improving",IF($AW10&gt;1.5,"Not Ready","Critical"))))))))</f>
        <v>Nearly Ready</v>
      </c>
      <c r="J10" s="309">
        <f t="shared" si="0"/>
        <v>0.76682666666666666</v>
      </c>
      <c r="K10" s="309">
        <f>ROWS($K$6:$K10)</f>
        <v>5</v>
      </c>
      <c r="L10" s="309" t="str">
        <f>IFERROR(INDEX($C$6:$C$25,MATCH(LARGE($J$6:$J$25,ROWS($L$6:$L10)),$J$6:$J$25,0)),"")</f>
        <v>Amber Kilalee</v>
      </c>
      <c r="M10" s="310">
        <f>IFERROR(INDEX($H$6:$H$25,MATCH(LARGE($J$6:$J$25,ROWS($M$6:$M10)),$J$6:$J$25,0)),"")</f>
        <v>0.76666666666666661</v>
      </c>
      <c r="N10" s="309"/>
      <c r="O10" s="309" t="str">
        <f t="shared" si="1"/>
        <v>Roisin Offenhausen</v>
      </c>
      <c r="P10" s="311">
        <f t="shared" si="2"/>
        <v>3</v>
      </c>
      <c r="Q10" s="311" t="str">
        <f t="shared" si="3"/>
        <v/>
      </c>
      <c r="R10" s="309"/>
      <c r="S10" s="309" t="s">
        <v>426</v>
      </c>
      <c r="T10" s="309">
        <v>3.01</v>
      </c>
      <c r="U10" s="309">
        <v>3.49</v>
      </c>
      <c r="V10" s="309">
        <f t="shared" si="4"/>
        <v>1</v>
      </c>
      <c r="W10" s="309"/>
      <c r="X10" s="309">
        <v>5</v>
      </c>
      <c r="Y10" s="311" t="str">
        <f ca="1">IFERROR(IF($Y$2="","",AVERAGE(OFFSET(Attendance!$A$1,$Y$2-1,5+($X10-1)*4),OFFSET(Attendance!$A$1,$Y$2-1,7+($X10-1)*4))),"")</f>
        <v/>
      </c>
      <c r="Z10" s="311" t="str">
        <f ca="1">IFERROR(IF($Y$2="","",IF(LEN(OFFSET(Attendance!$A$1,$Y$2-1,95+($X10-1)*4))=0,"",OFFSET(Attendance!$A$1,$Y$2-1,95+($X10-1)*4))),"")</f>
        <v/>
      </c>
      <c r="AA10" s="309">
        <f t="shared" si="5"/>
        <v>11</v>
      </c>
      <c r="AB10" s="309" t="str">
        <f>IFERROR(INDEX($C$6:$C$25,MATCH(ROWS($AB$6:$AB10),$AA$6:$AA$25,0)),"")</f>
        <v>Emma Kelly</v>
      </c>
      <c r="AC10" s="309"/>
      <c r="AD10" s="309">
        <v>5</v>
      </c>
      <c r="AE10" s="312" t="str">
        <f t="array" ref="AE10">IF(LEN(INDEX(Attendance!$CP$2:$FY$2,1,($AD10-1)*4+1))=0,"",INDEX(Attendance!$CP$2:$FY$2,1,($AD10-1)*4+1))</f>
        <v/>
      </c>
      <c r="AF10" s="309" t="str">
        <f t="array" ref="AF10">IF(LEN(INDEX(Attendance!$CP$3:$FY$3,1,($AD10-1)*4+1))=0,"",INDEX(Attendance!$CP$3:$FY$3,1,($AD10-1)*4+1))</f>
        <v/>
      </c>
      <c r="AG10" s="309" t="str">
        <f t="array" ref="AG10">IF(LEN(INDEX(Attendance!$CP$3:$FY$3,1,($AD10-1)*4+4))=0,"",INDEX(Attendance!$CP$3:$FY$3,1,($AD10-1)*4+4))</f>
        <v/>
      </c>
      <c r="AH10" s="309" t="str">
        <f t="array" ref="AH10">IF(LEN(INDEX(Attendance!$CP$26:$FY$26,1,($AD10-1)*4+1))=0,"",INDEX(Attendance!$CP$26:$FY$26,1,($AD10-1)*4+1))</f>
        <v/>
      </c>
      <c r="AI10" s="309" t="str">
        <f t="array" ref="AI10">IF(LEN(INDEX(Attendance!$CP$27:$FY$27,1,($AD10-1)*4+1))=0,"",INDEX(Attendance!$CP$27:$FY$27,1,($AD10-1)*4+1))</f>
        <v/>
      </c>
      <c r="AJ10" s="309" t="str">
        <f t="array" ref="AJ10">IF(LEN(INDEX(Attendance!$CP$28:$FY$28,1,($AD10-1)*4+1))=0,"",INDEX(Attendance!$CP$28:$FY$28,1,($AD10-1)*4+1))</f>
        <v/>
      </c>
      <c r="AL10" t="str">
        <f t="shared" si="6"/>
        <v>Not Ready for 90 min</v>
      </c>
      <c r="AM10">
        <f t="shared" si="7"/>
        <v>1</v>
      </c>
      <c r="AO10" t="str">
        <f t="shared" si="8"/>
        <v>Roisin Offenhausen</v>
      </c>
      <c r="AP10" s="313">
        <f>IF($AO10="","",IFERROR(INDEX('Pre season'!$AE$5:$AE$24,MATCH($AO10,'Pre season'!$AD$5:$AD$24,0)),""))</f>
        <v>8</v>
      </c>
      <c r="AQ10" s="313">
        <f>IF($AO10="","",IFERROR(INDEX('Pre season'!$AF$5:$AF$24,MATCH($AO10,'Pre season'!$AD$5:$AD$24,0)),""))</f>
        <v>11</v>
      </c>
      <c r="AR10" s="314">
        <f>IF($AO10="","",IFERROR(INDEX('Pre season'!$AG$5:$AG$24,MATCH($AO10,'Pre season'!$AD$5:$AD$24,0)),""))</f>
        <v>0.72727272727272729</v>
      </c>
      <c r="AS10" s="64">
        <f>IF($AO10="","",IFERROR(INDEX('Pre season'!$AK$5:$AK$24,MATCH($AO10,'Pre season'!$AD$5:$AD$24,0)),""))</f>
        <v>3.875</v>
      </c>
      <c r="AT10" s="314">
        <f>IF($AO10="","",IFERROR(INDEX('Pre season'!$AJ$5:$AJ$24,MATCH($AO10,'Pre season'!$AD$5:$AD$24,0)),""))</f>
        <v>0.74181818181818193</v>
      </c>
      <c r="AU10" t="str">
        <f>IF($AO10="","",IF($AS10="","No pre-season data",IF(N($AP10)&lt;'Pre season'!$AM$5,"Insufficient data",IF($AS10&gt;=3.5,"Match Ready",IF($AS10&gt;3,"Not Ready for 90 min",IF($AS10&gt;2.5,"Nearly Ready",IF($AS10&gt;2,"Improving",IF($AS10&gt;1.5,"Not Ready","Critical"))))))))</f>
        <v>Match Ready</v>
      </c>
      <c r="AV10" t="str">
        <f t="shared" si="9"/>
        <v>In-season</v>
      </c>
      <c r="AW10" s="64">
        <f t="shared" si="10"/>
        <v>3</v>
      </c>
      <c r="AX10" s="315">
        <f t="array" ref="AX10">IF($AO10="","",IF($AT10="","",SUMPRODUCT(($AT$6:$AT$25&lt;&gt;"")*($AT$6:$AT$25&gt;$AT10))+COUNTIF($AT$6:$AT10,$AT10)))</f>
        <v>2</v>
      </c>
      <c r="BA10" t="str">
        <f t="shared" si="11"/>
        <v>Roisin Offenhausen</v>
      </c>
      <c r="BB10" s="316">
        <f t="array" aca="1" ref="BB10" ca="1">IF($BA10="","",IF(ActiveSrc="In-season",SUMPRODUCT((ATAtt="Att")*(ATDates&gt;WinEnd-WinDays)*(ATDates&lt;=WinEnd)*((Attendance!$E9:$CN9="Yes")+(Attendance!$E9:$CN9="No"))),SUMPRODUCT((PSAtt="Att")*(PSDates&gt;WinEnd-WinDays)*(PSDates&lt;=WinEnd)*(('Pre season'!$E9:$AB9="Yes")+('Pre season'!$E9:$AB9="No")))))</f>
        <v>1</v>
      </c>
      <c r="BC10" s="316">
        <f t="array" aca="1" ref="BC10" ca="1">IF($BA10="","",IF(ActiveSrc="In-season",SUMPRODUCT((ATAtt="Att")*(ATDates&gt;WinEnd-WinDays)*(ATDates&lt;=WinEnd)*(Attendance!$E9:$CN9="Yes")),SUMPRODUCT((PSAtt="Att")*(PSDates&gt;WinEnd-WinDays)*(PSDates&lt;=WinEnd)*('Pre season'!$E9:$AB9="Yes"))))</f>
        <v>1</v>
      </c>
      <c r="BD10" s="316">
        <f t="array" aca="1" ref="BD10" ca="1">IF($BA10="","",IF(ActiveSrc="In-season",SUMPRODUCT((ATWR="WR")*(ATDates&gt;WinEnd-WinDays)*(ATDates&lt;=WinEnd)*IF(ISNUMBER(Attendance!$F9:$CO9),Attendance!$F9:$CO9,0)),SUMPRODUCT((PSWR="WR")*(PSDates&gt;WinEnd-WinDays)*(PSDates&lt;=WinEnd)*IF(ISNUMBER('Pre season'!$F9:$AC9),'Pre season'!$F9:$AC9,0))))</f>
        <v>3</v>
      </c>
      <c r="BE10" s="316">
        <f t="array" aca="1" ref="BE10" ca="1">IF($BA10="","",IF(ActiveSrc="In-season",SUMPRODUCT((ATWR="WR")*(ATDates&gt;WinEnd-WinDays)*(ATDates&lt;=WinEnd)*(IF(ISNUMBER(Attendance!$F9:$CO9),Attendance!$F9:$CO9,0)&gt;0)),SUMPRODUCT((PSWR="WR")*(PSDates&gt;WinEnd-WinDays)*(PSDates&lt;=WinEnd)*(IF(ISNUMBER('Pre season'!$F9:$AC9),'Pre season'!$F9:$AC9,0)&gt;0))))</f>
        <v>1</v>
      </c>
      <c r="BF10" s="317">
        <f t="shared" ca="1" si="12"/>
        <v>3</v>
      </c>
      <c r="BG10" s="318">
        <f ca="1">IF($BA10="","",IF(N($BB10)=0,"",'Pre season'!$AM$2*($BC10/$BB10)+'Pre season'!$AM$3*(IF($BF10="",0,$BF10)/5)))</f>
        <v>0.76</v>
      </c>
      <c r="BH10" s="316">
        <f t="array" aca="1" ref="BH10" ca="1">IF($BA10="","",IF($BG10="","",SUMPRODUCT(($BG$6:$BG$25&lt;&gt;"")*($BG$6:$BG$25&gt;$BG10))+COUNTIF($BG$6:$BG10,$BG10)))</f>
        <v>3</v>
      </c>
      <c r="BJ10" t="str">
        <f t="shared" si="13"/>
        <v>Roisin Offenhausen</v>
      </c>
      <c r="BK10" s="318">
        <f>IF($BJ10="","",IF(OR(N(Attendance!$GB9)&gt;0,N(Attendance!$GF9)&gt;0),IFERROR(Attendance!$GN9,""),IFERROR($AT10,"")))</f>
        <v>0.76666666666666661</v>
      </c>
      <c r="BL10" s="319" t="str">
        <f>IF($BJ10="","",IF(OR(N(Attendance!$GB9)&gt;0,N(Attendance!$GF9)&gt;0),"In-season","Pre-season"))</f>
        <v>In-season</v>
      </c>
      <c r="BM10" s="316">
        <f t="array" ref="BM10">IF($BJ10="","",IF($BK10="","",SUMPRODUCT(($BK$6:$BK$25&lt;&gt;"")*($BK$6:$BK$25&gt;$BK10))+COUNTIF($BK$6:$BK10,$BK10)))</f>
        <v>3</v>
      </c>
      <c r="BO10" t="str">
        <f>$S7</f>
        <v>Not Ready</v>
      </c>
      <c r="BP10" s="315">
        <f t="shared" si="14"/>
        <v>2</v>
      </c>
      <c r="BQ10" t="str">
        <f t="array" ref="BQ10">_xlfn.TEXTJOIN(", ",TRUE(),IF($I$6:$I$25=$BO10,$C$6:$C$25,""))</f>
        <v>Shauna Kavanagh, Elsie Morrison</v>
      </c>
    </row>
    <row r="11" spans="2:69" x14ac:dyDescent="0.45">
      <c r="B11" s="308">
        <f>IF($C11="","",Attendance!$C10)</f>
        <v>6</v>
      </c>
      <c r="C11" s="309" t="str">
        <f>IF(Attendance!$D10="","",Attendance!$D10)</f>
        <v>Naomi Adewoyin</v>
      </c>
      <c r="D11" s="310">
        <f>IF($C11="","",IFERROR(Attendance!$GC10,""))</f>
        <v>1</v>
      </c>
      <c r="E11" s="311">
        <f>IF($C11="","",IFERROR(Attendance!$GD10,""))</f>
        <v>3</v>
      </c>
      <c r="F11" s="310" t="str">
        <f>IF($C11="","",IFERROR(Attendance!$GH10,""))</f>
        <v/>
      </c>
      <c r="G11" s="311" t="str">
        <f>IF($C11="","",IFERROR(Attendance!$GK10,""))</f>
        <v/>
      </c>
      <c r="H11" s="310">
        <f>IF($C11="","",IFERROR(Attendance!$GN10,""))</f>
        <v>0.76666666666666661</v>
      </c>
      <c r="I11" s="309" t="str">
        <f>IF($C11="","",IF($AW11="","Not graded",IF(AND($AV11="Pre-season",N($AP11)&lt;'Pre season'!$AM$5),"Insufficient data",IF($AW11&gt;=3.5,"Match Ready",IF($AW11&gt;3,"Not Ready for 90 min",IF($AW11&gt;2.5,"Nearly Ready",IF($AW11&gt;2,"Improving",IF($AW11&gt;1.5,"Not Ready","Critical"))))))))</f>
        <v>Nearly Ready</v>
      </c>
      <c r="J11" s="309">
        <f t="shared" si="0"/>
        <v>0.76681666666666659</v>
      </c>
      <c r="K11" s="309">
        <f>ROWS($K$6:$K11)</f>
        <v>6</v>
      </c>
      <c r="L11" s="309" t="str">
        <f>IFERROR(INDEX($C$6:$C$25,MATCH(LARGE($J$6:$J$25,ROWS($L$6:$L11)),$J$6:$J$25,0)),"")</f>
        <v>Tara Brannigan</v>
      </c>
      <c r="M11" s="310">
        <f>IFERROR(INDEX($H$6:$H$25,MATCH(LARGE($J$6:$J$25,ROWS($M$6:$M11)),$J$6:$J$25,0)),"")</f>
        <v>0.76666666666666661</v>
      </c>
      <c r="N11" s="309"/>
      <c r="O11" s="309" t="str">
        <f t="shared" si="1"/>
        <v>Naomi Adewoyin</v>
      </c>
      <c r="P11" s="311">
        <f t="shared" si="2"/>
        <v>3</v>
      </c>
      <c r="Q11" s="311" t="str">
        <f t="shared" si="3"/>
        <v/>
      </c>
      <c r="R11" s="309"/>
      <c r="S11" s="309" t="s">
        <v>15</v>
      </c>
      <c r="T11" s="309">
        <v>3.5</v>
      </c>
      <c r="U11" s="309">
        <v>5</v>
      </c>
      <c r="V11" s="309">
        <f t="shared" si="4"/>
        <v>0</v>
      </c>
      <c r="W11" s="309"/>
      <c r="X11" s="309">
        <v>6</v>
      </c>
      <c r="Y11" s="311" t="str">
        <f ca="1">IFERROR(IF($Y$2="","",AVERAGE(OFFSET(Attendance!$A$1,$Y$2-1,5+($X11-1)*4),OFFSET(Attendance!$A$1,$Y$2-1,7+($X11-1)*4))),"")</f>
        <v/>
      </c>
      <c r="Z11" s="311" t="str">
        <f ca="1">IFERROR(IF($Y$2="","",IF(LEN(OFFSET(Attendance!$A$1,$Y$2-1,95+($X11-1)*4))=0,"",OFFSET(Attendance!$A$1,$Y$2-1,95+($X11-1)*4))),"")</f>
        <v/>
      </c>
      <c r="AA11" s="309">
        <f t="shared" si="5"/>
        <v>9</v>
      </c>
      <c r="AB11" s="309" t="str">
        <f>IFERROR(INDEX($C$6:$C$25,MATCH(ROWS($AB$6:$AB11),$AA$6:$AA$25,0)),"")</f>
        <v>Hannah Fleming</v>
      </c>
      <c r="AC11" s="309"/>
      <c r="AD11" s="309">
        <v>6</v>
      </c>
      <c r="AE11" s="312" t="str">
        <f t="array" ref="AE11">IF(LEN(INDEX(Attendance!$CP$2:$FY$2,1,($AD11-1)*4+1))=0,"",INDEX(Attendance!$CP$2:$FY$2,1,($AD11-1)*4+1))</f>
        <v/>
      </c>
      <c r="AF11" s="309" t="str">
        <f t="array" ref="AF11">IF(LEN(INDEX(Attendance!$CP$3:$FY$3,1,($AD11-1)*4+1))=0,"",INDEX(Attendance!$CP$3:$FY$3,1,($AD11-1)*4+1))</f>
        <v/>
      </c>
      <c r="AG11" s="309" t="str">
        <f t="array" ref="AG11">IF(LEN(INDEX(Attendance!$CP$3:$FY$3,1,($AD11-1)*4+4))=0,"",INDEX(Attendance!$CP$3:$FY$3,1,($AD11-1)*4+4))</f>
        <v/>
      </c>
      <c r="AH11" s="309" t="str">
        <f t="array" ref="AH11">IF(LEN(INDEX(Attendance!$CP$26:$FY$26,1,($AD11-1)*4+1))=0,"",INDEX(Attendance!$CP$26:$FY$26,1,($AD11-1)*4+1))</f>
        <v/>
      </c>
      <c r="AI11" s="309" t="str">
        <f t="array" ref="AI11">IF(LEN(INDEX(Attendance!$CP$27:$FY$27,1,($AD11-1)*4+1))=0,"",INDEX(Attendance!$CP$27:$FY$27,1,($AD11-1)*4+1))</f>
        <v/>
      </c>
      <c r="AJ11" s="309" t="str">
        <f t="array" ref="AJ11">IF(LEN(INDEX(Attendance!$CP$28:$FY$28,1,($AD11-1)*4+1))=0,"",INDEX(Attendance!$CP$28:$FY$28,1,($AD11-1)*4+1))</f>
        <v/>
      </c>
      <c r="AL11" t="str">
        <f t="shared" si="6"/>
        <v>Match Ready</v>
      </c>
      <c r="AM11">
        <f t="shared" si="7"/>
        <v>0</v>
      </c>
      <c r="AO11" t="str">
        <f t="shared" si="8"/>
        <v>Naomi Adewoyin</v>
      </c>
      <c r="AP11" s="313">
        <f>IF($AO11="","",IFERROR(INDEX('Pre season'!$AE$5:$AE$24,MATCH($AO11,'Pre season'!$AD$5:$AD$24,0)),""))</f>
        <v>7</v>
      </c>
      <c r="AQ11" s="313">
        <f>IF($AO11="","",IFERROR(INDEX('Pre season'!$AF$5:$AF$24,MATCH($AO11,'Pre season'!$AD$5:$AD$24,0)),""))</f>
        <v>11</v>
      </c>
      <c r="AR11" s="314">
        <f>IF($AO11="","",IFERROR(INDEX('Pre season'!$AG$5:$AG$24,MATCH($AO11,'Pre season'!$AD$5:$AD$24,0)),""))</f>
        <v>0.63636363636363635</v>
      </c>
      <c r="AS11" s="64">
        <f>IF($AO11="","",IFERROR(INDEX('Pre season'!$AK$5:$AK$24,MATCH($AO11,'Pre season'!$AD$5:$AD$24,0)),""))</f>
        <v>3.4285714285714284</v>
      </c>
      <c r="AT11" s="314">
        <f>IF($AO11="","",IFERROR(INDEX('Pre season'!$AJ$5:$AJ$24,MATCH($AO11,'Pre season'!$AD$5:$AD$24,0)),""))</f>
        <v>0.60363636363636364</v>
      </c>
      <c r="AU11" t="str">
        <f>IF($AO11="","",IF($AS11="","No pre-season data",IF(N($AP11)&lt;'Pre season'!$AM$5,"Insufficient data",IF($AS11&gt;=3.5,"Match Ready",IF($AS11&gt;3,"Not Ready for 90 min",IF($AS11&gt;2.5,"Nearly Ready",IF($AS11&gt;2,"Improving",IF($AS11&gt;1.5,"Not Ready","Critical"))))))))</f>
        <v>Not Ready for 90 min</v>
      </c>
      <c r="AV11" t="str">
        <f t="shared" si="9"/>
        <v>In-season</v>
      </c>
      <c r="AW11" s="64">
        <f t="shared" si="10"/>
        <v>3</v>
      </c>
      <c r="AX11" s="315">
        <f t="array" ref="AX11">IF($AO11="","",IF($AT11="","",SUMPRODUCT(($AT$6:$AT$25&lt;&gt;"")*($AT$6:$AT$25&gt;$AT11))+COUNTIF($AT$6:$AT11,$AT11)))</f>
        <v>7</v>
      </c>
      <c r="BA11" t="str">
        <f t="shared" si="11"/>
        <v>Naomi Adewoyin</v>
      </c>
      <c r="BB11" s="316">
        <f t="array" aca="1" ref="BB11" ca="1">IF($BA11="","",IF(ActiveSrc="In-season",SUMPRODUCT((ATAtt="Att")*(ATDates&gt;WinEnd-WinDays)*(ATDates&lt;=WinEnd)*((Attendance!$E10:$CN10="Yes")+(Attendance!$E10:$CN10="No"))),SUMPRODUCT((PSAtt="Att")*(PSDates&gt;WinEnd-WinDays)*(PSDates&lt;=WinEnd)*(('Pre season'!$E10:$AB10="Yes")+('Pre season'!$E10:$AB10="No")))))</f>
        <v>1</v>
      </c>
      <c r="BC11" s="316">
        <f t="array" aca="1" ref="BC11" ca="1">IF($BA11="","",IF(ActiveSrc="In-season",SUMPRODUCT((ATAtt="Att")*(ATDates&gt;WinEnd-WinDays)*(ATDates&lt;=WinEnd)*(Attendance!$E10:$CN10="Yes")),SUMPRODUCT((PSAtt="Att")*(PSDates&gt;WinEnd-WinDays)*(PSDates&lt;=WinEnd)*('Pre season'!$E10:$AB10="Yes"))))</f>
        <v>1</v>
      </c>
      <c r="BD11" s="316">
        <f t="array" aca="1" ref="BD11" ca="1">IF($BA11="","",IF(ActiveSrc="In-season",SUMPRODUCT((ATWR="WR")*(ATDates&gt;WinEnd-WinDays)*(ATDates&lt;=WinEnd)*IF(ISNUMBER(Attendance!$F10:$CO10),Attendance!$F10:$CO10,0)),SUMPRODUCT((PSWR="WR")*(PSDates&gt;WinEnd-WinDays)*(PSDates&lt;=WinEnd)*IF(ISNUMBER('Pre season'!$F10:$AC10),'Pre season'!$F10:$AC10,0))))</f>
        <v>3</v>
      </c>
      <c r="BE11" s="316">
        <f t="array" aca="1" ref="BE11" ca="1">IF($BA11="","",IF(ActiveSrc="In-season",SUMPRODUCT((ATWR="WR")*(ATDates&gt;WinEnd-WinDays)*(ATDates&lt;=WinEnd)*(IF(ISNUMBER(Attendance!$F10:$CO10),Attendance!$F10:$CO10,0)&gt;0)),SUMPRODUCT((PSWR="WR")*(PSDates&gt;WinEnd-WinDays)*(PSDates&lt;=WinEnd)*(IF(ISNUMBER('Pre season'!$F10:$AC10),'Pre season'!$F10:$AC10,0)&gt;0))))</f>
        <v>1</v>
      </c>
      <c r="BF11" s="317">
        <f t="shared" ca="1" si="12"/>
        <v>3</v>
      </c>
      <c r="BG11" s="318">
        <f ca="1">IF($BA11="","",IF(N($BB11)=0,"",'Pre season'!$AM$2*($BC11/$BB11)+'Pre season'!$AM$3*(IF($BF11="",0,$BF11)/5)))</f>
        <v>0.76</v>
      </c>
      <c r="BH11" s="316">
        <f t="array" aca="1" ref="BH11" ca="1">IF($BA11="","",IF($BG11="","",SUMPRODUCT(($BG$6:$BG$25&lt;&gt;"")*($BG$6:$BG$25&gt;$BG11))+COUNTIF($BG$6:$BG11,$BG11)))</f>
        <v>4</v>
      </c>
      <c r="BJ11" t="str">
        <f t="shared" si="13"/>
        <v>Naomi Adewoyin</v>
      </c>
      <c r="BK11" s="318">
        <f>IF($BJ11="","",IF(OR(N(Attendance!$GB10)&gt;0,N(Attendance!$GF10)&gt;0),IFERROR(Attendance!$GN10,""),IFERROR($AT11,"")))</f>
        <v>0.76666666666666661</v>
      </c>
      <c r="BL11" s="319" t="str">
        <f>IF($BJ11="","",IF(OR(N(Attendance!$GB10)&gt;0,N(Attendance!$GF10)&gt;0),"In-season","Pre-season"))</f>
        <v>In-season</v>
      </c>
      <c r="BM11" s="316">
        <f t="array" ref="BM11">IF($BJ11="","",IF($BK11="","",SUMPRODUCT(($BK$6:$BK$25&lt;&gt;"")*($BK$6:$BK$25&gt;$BK11))+COUNTIF($BK$6:$BK11,$BK11)))</f>
        <v>4</v>
      </c>
      <c r="BO11" t="str">
        <f>$S6</f>
        <v>Critical</v>
      </c>
      <c r="BP11" s="315">
        <f t="shared" si="14"/>
        <v>0</v>
      </c>
      <c r="BQ11" t="str">
        <f t="array" ref="BQ11">_xlfn.TEXTJOIN(", ",TRUE(),IF($I$6:$I$25=$BO11,$C$6:$C$25,""))</f>
        <v/>
      </c>
    </row>
    <row r="12" spans="2:69" x14ac:dyDescent="0.45">
      <c r="B12" s="308">
        <f>IF($C12="","",Attendance!$C11)</f>
        <v>7</v>
      </c>
      <c r="C12" s="309" t="str">
        <f>IF(Attendance!$D11="","",Attendance!$D11)</f>
        <v>Amber Kilalee</v>
      </c>
      <c r="D12" s="310">
        <f>IF($C12="","",IFERROR(Attendance!$GC11,""))</f>
        <v>1</v>
      </c>
      <c r="E12" s="311">
        <f>IF($C12="","",IFERROR(Attendance!$GD11,""))</f>
        <v>3</v>
      </c>
      <c r="F12" s="310" t="str">
        <f>IF($C12="","",IFERROR(Attendance!$GH11,""))</f>
        <v/>
      </c>
      <c r="G12" s="311" t="str">
        <f>IF($C12="","",IFERROR(Attendance!$GK11,""))</f>
        <v/>
      </c>
      <c r="H12" s="310">
        <f>IF($C12="","",IFERROR(Attendance!$GN11,""))</f>
        <v>0.76666666666666661</v>
      </c>
      <c r="I12" s="309" t="str">
        <f>IF($C12="","",IF($AW12="","Not graded",IF(AND($AV12="Pre-season",N($AP12)&lt;'Pre season'!$AM$5),"Insufficient data",IF($AW12&gt;=3.5,"Match Ready",IF($AW12&gt;3,"Not Ready for 90 min",IF($AW12&gt;2.5,"Nearly Ready",IF($AW12&gt;2,"Improving",IF($AW12&gt;1.5,"Not Ready","Critical"))))))))</f>
        <v>Nearly Ready</v>
      </c>
      <c r="J12" s="309">
        <f t="shared" si="0"/>
        <v>0.76680666666666664</v>
      </c>
      <c r="K12" s="309">
        <f>ROWS($K$6:$K12)</f>
        <v>7</v>
      </c>
      <c r="L12" s="309" t="str">
        <f>IFERROR(INDEX($C$6:$C$25,MATCH(LARGE($J$6:$J$25,ROWS($L$6:$L12)),$J$6:$J$25,0)),"")</f>
        <v>Semilore Adesanya</v>
      </c>
      <c r="M12" s="310">
        <f>IFERROR(INDEX($H$6:$H$25,MATCH(LARGE($J$6:$J$25,ROWS($M$6:$M12)),$J$6:$J$25,0)),"")</f>
        <v>0.76666666666666661</v>
      </c>
      <c r="N12" s="309"/>
      <c r="O12" s="309" t="str">
        <f t="shared" si="1"/>
        <v>Amber Kilalee</v>
      </c>
      <c r="P12" s="311">
        <f t="shared" si="2"/>
        <v>3</v>
      </c>
      <c r="Q12" s="311" t="str">
        <f t="shared" si="3"/>
        <v/>
      </c>
      <c r="R12" s="309"/>
      <c r="S12" s="309"/>
      <c r="T12" s="309"/>
      <c r="U12" s="309"/>
      <c r="V12" s="309"/>
      <c r="W12" s="309"/>
      <c r="X12" s="309">
        <v>7</v>
      </c>
      <c r="Y12" s="311" t="str">
        <f ca="1">IFERROR(IF($Y$2="","",AVERAGE(OFFSET(Attendance!$A$1,$Y$2-1,5+($X12-1)*4),OFFSET(Attendance!$A$1,$Y$2-1,7+($X12-1)*4))),"")</f>
        <v/>
      </c>
      <c r="Z12" s="311" t="str">
        <f ca="1">IFERROR(IF($Y$2="","",IF(LEN(OFFSET(Attendance!$A$1,$Y$2-1,95+($X12-1)*4))=0,"",OFFSET(Attendance!$A$1,$Y$2-1,95+($X12-1)*4))),"")</f>
        <v/>
      </c>
      <c r="AA12" s="309">
        <f t="shared" si="5"/>
        <v>1</v>
      </c>
      <c r="AB12" s="309" t="str">
        <f>IFERROR(INDEX($C$6:$C$25,MATCH(ROWS($AB$6:$AB12),$AA$6:$AA$25,0)),"")</f>
        <v>Heidi Cerubini Dunne</v>
      </c>
      <c r="AC12" s="309"/>
      <c r="AD12" s="309">
        <v>7</v>
      </c>
      <c r="AE12" s="312" t="str">
        <f t="array" ref="AE12">IF(LEN(INDEX(Attendance!$CP$2:$FY$2,1,($AD12-1)*4+1))=0,"",INDEX(Attendance!$CP$2:$FY$2,1,($AD12-1)*4+1))</f>
        <v/>
      </c>
      <c r="AF12" s="309" t="str">
        <f t="array" ref="AF12">IF(LEN(INDEX(Attendance!$CP$3:$FY$3,1,($AD12-1)*4+1))=0,"",INDEX(Attendance!$CP$3:$FY$3,1,($AD12-1)*4+1))</f>
        <v/>
      </c>
      <c r="AG12" s="309" t="str">
        <f t="array" ref="AG12">IF(LEN(INDEX(Attendance!$CP$3:$FY$3,1,($AD12-1)*4+4))=0,"",INDEX(Attendance!$CP$3:$FY$3,1,($AD12-1)*4+4))</f>
        <v/>
      </c>
      <c r="AH12" s="309" t="str">
        <f t="array" ref="AH12">IF(LEN(INDEX(Attendance!$CP$26:$FY$26,1,($AD12-1)*4+1))=0,"",INDEX(Attendance!$CP$26:$FY$26,1,($AD12-1)*4+1))</f>
        <v/>
      </c>
      <c r="AI12" s="309" t="str">
        <f t="array" ref="AI12">IF(LEN(INDEX(Attendance!$CP$27:$FY$27,1,($AD12-1)*4+1))=0,"",INDEX(Attendance!$CP$27:$FY$27,1,($AD12-1)*4+1))</f>
        <v/>
      </c>
      <c r="AJ12" s="309" t="str">
        <f t="array" ref="AJ12">IF(LEN(INDEX(Attendance!$CP$28:$FY$28,1,($AD12-1)*4+1))=0,"",INDEX(Attendance!$CP$28:$FY$28,1,($AD12-1)*4+1))</f>
        <v/>
      </c>
      <c r="AO12" t="str">
        <f t="shared" si="8"/>
        <v>Amber Kilalee</v>
      </c>
      <c r="AP12" s="313">
        <f>IF($AO12="","",IFERROR(INDEX('Pre season'!$AE$5:$AE$24,MATCH($AO12,'Pre season'!$AD$5:$AD$24,0)),""))</f>
        <v>7</v>
      </c>
      <c r="AQ12" s="313">
        <f>IF($AO12="","",IFERROR(INDEX('Pre season'!$AF$5:$AF$24,MATCH($AO12,'Pre season'!$AD$5:$AD$24,0)),""))</f>
        <v>11</v>
      </c>
      <c r="AR12" s="314">
        <f>IF($AO12="","",IFERROR(INDEX('Pre season'!$AG$5:$AG$24,MATCH($AO12,'Pre season'!$AD$5:$AD$24,0)),""))</f>
        <v>0.63636363636363635</v>
      </c>
      <c r="AS12" s="64">
        <f>IF($AO12="","",IFERROR(INDEX('Pre season'!$AK$5:$AK$24,MATCH($AO12,'Pre season'!$AD$5:$AD$24,0)),""))</f>
        <v>3</v>
      </c>
      <c r="AT12" s="314">
        <f>IF($AO12="","",IFERROR(INDEX('Pre season'!$AJ$5:$AJ$24,MATCH($AO12,'Pre season'!$AD$5:$AD$24,0)),""))</f>
        <v>0.56000000000000005</v>
      </c>
      <c r="AU12" t="str">
        <f>IF($AO12="","",IF($AS12="","No pre-season data",IF(N($AP12)&lt;'Pre season'!$AM$5,"Insufficient data",IF($AS12&gt;=3.5,"Match Ready",IF($AS12&gt;3,"Not Ready for 90 min",IF($AS12&gt;2.5,"Nearly Ready",IF($AS12&gt;2,"Improving",IF($AS12&gt;1.5,"Not Ready","Critical"))))))))</f>
        <v>Nearly Ready</v>
      </c>
      <c r="AV12" t="str">
        <f t="shared" si="9"/>
        <v>In-season</v>
      </c>
      <c r="AW12" s="64">
        <f t="shared" si="10"/>
        <v>3</v>
      </c>
      <c r="AX12" s="315">
        <f t="array" ref="AX12">IF($AO12="","",IF($AT12="","",SUMPRODUCT(($AT$6:$AT$25&lt;&gt;"")*($AT$6:$AT$25&gt;$AT12))+COUNTIF($AT$6:$AT12,$AT12)))</f>
        <v>11</v>
      </c>
      <c r="BA12" t="str">
        <f t="shared" si="11"/>
        <v>Amber Kilalee</v>
      </c>
      <c r="BB12" s="316">
        <f t="array" aca="1" ref="BB12" ca="1">IF($BA12="","",IF(ActiveSrc="In-season",SUMPRODUCT((ATAtt="Att")*(ATDates&gt;WinEnd-WinDays)*(ATDates&lt;=WinEnd)*((Attendance!$E11:$CN11="Yes")+(Attendance!$E11:$CN11="No"))),SUMPRODUCT((PSAtt="Att")*(PSDates&gt;WinEnd-WinDays)*(PSDates&lt;=WinEnd)*(('Pre season'!$E11:$AB11="Yes")+('Pre season'!$E11:$AB11="No")))))</f>
        <v>1</v>
      </c>
      <c r="BC12" s="316">
        <f t="array" aca="1" ref="BC12" ca="1">IF($BA12="","",IF(ActiveSrc="In-season",SUMPRODUCT((ATAtt="Att")*(ATDates&gt;WinEnd-WinDays)*(ATDates&lt;=WinEnd)*(Attendance!$E11:$CN11="Yes")),SUMPRODUCT((PSAtt="Att")*(PSDates&gt;WinEnd-WinDays)*(PSDates&lt;=WinEnd)*('Pre season'!$E11:$AB11="Yes"))))</f>
        <v>1</v>
      </c>
      <c r="BD12" s="316">
        <f t="array" aca="1" ref="BD12" ca="1">IF($BA12="","",IF(ActiveSrc="In-season",SUMPRODUCT((ATWR="WR")*(ATDates&gt;WinEnd-WinDays)*(ATDates&lt;=WinEnd)*IF(ISNUMBER(Attendance!$F11:$CO11),Attendance!$F11:$CO11,0)),SUMPRODUCT((PSWR="WR")*(PSDates&gt;WinEnd-WinDays)*(PSDates&lt;=WinEnd)*IF(ISNUMBER('Pre season'!$F11:$AC11),'Pre season'!$F11:$AC11,0))))</f>
        <v>3</v>
      </c>
      <c r="BE12" s="316">
        <f t="array" aca="1" ref="BE12" ca="1">IF($BA12="","",IF(ActiveSrc="In-season",SUMPRODUCT((ATWR="WR")*(ATDates&gt;WinEnd-WinDays)*(ATDates&lt;=WinEnd)*(IF(ISNUMBER(Attendance!$F11:$CO11),Attendance!$F11:$CO11,0)&gt;0)),SUMPRODUCT((PSWR="WR")*(PSDates&gt;WinEnd-WinDays)*(PSDates&lt;=WinEnd)*(IF(ISNUMBER('Pre season'!$F11:$AC11),'Pre season'!$F11:$AC11,0)&gt;0))))</f>
        <v>1</v>
      </c>
      <c r="BF12" s="317">
        <f t="shared" ca="1" si="12"/>
        <v>3</v>
      </c>
      <c r="BG12" s="318">
        <f ca="1">IF($BA12="","",IF(N($BB12)=0,"",'Pre season'!$AM$2*($BC12/$BB12)+'Pre season'!$AM$3*(IF($BF12="",0,$BF12)/5)))</f>
        <v>0.76</v>
      </c>
      <c r="BH12" s="316">
        <f t="array" aca="1" ref="BH12" ca="1">IF($BA12="","",IF($BG12="","",SUMPRODUCT(($BG$6:$BG$25&lt;&gt;"")*($BG$6:$BG$25&gt;$BG12))+COUNTIF($BG$6:$BG12,$BG12)))</f>
        <v>5</v>
      </c>
      <c r="BJ12" t="str">
        <f t="shared" si="13"/>
        <v>Amber Kilalee</v>
      </c>
      <c r="BK12" s="318">
        <f>IF($BJ12="","",IF(OR(N(Attendance!$GB11)&gt;0,N(Attendance!$GF11)&gt;0),IFERROR(Attendance!$GN11,""),IFERROR($AT12,"")))</f>
        <v>0.76666666666666661</v>
      </c>
      <c r="BL12" s="319" t="str">
        <f>IF($BJ12="","",IF(OR(N(Attendance!$GB11)&gt;0,N(Attendance!$GF11)&gt;0),"In-season","Pre-season"))</f>
        <v>In-season</v>
      </c>
      <c r="BM12" s="316">
        <f t="array" ref="BM12">IF($BJ12="","",IF($BK12="","",SUMPRODUCT(($BK$6:$BK$25&lt;&gt;"")*($BK$6:$BK$25&gt;$BK12))+COUNTIF($BK$6:$BK12,$BK12)))</f>
        <v>5</v>
      </c>
      <c r="BO12" t="s">
        <v>427</v>
      </c>
      <c r="BP12" s="315">
        <f t="shared" si="14"/>
        <v>3</v>
      </c>
      <c r="BQ12" t="str">
        <f t="array" ref="BQ12">_xlfn.TEXTJOIN(", ",TRUE(),IF($I$6:$I$25=$BO12,$C$6:$C$25,""))</f>
        <v>Zara Power, Heidi Cerubini Dunne, Zara Freeman</v>
      </c>
    </row>
    <row r="13" spans="2:69" x14ac:dyDescent="0.45">
      <c r="B13" s="308">
        <f>IF($C13="","",Attendance!$C12)</f>
        <v>8</v>
      </c>
      <c r="C13" s="309" t="str">
        <f>IF(Attendance!$D12="","",Attendance!$D12)</f>
        <v>Shauna Kavanagh</v>
      </c>
      <c r="D13" s="310">
        <f>IF($C13="","",IFERROR(Attendance!$GC12,""))</f>
        <v>1</v>
      </c>
      <c r="E13" s="311">
        <f>IF($C13="","",IFERROR(Attendance!$GD12,""))</f>
        <v>2</v>
      </c>
      <c r="F13" s="310" t="str">
        <f>IF($C13="","",IFERROR(Attendance!$GH12,""))</f>
        <v/>
      </c>
      <c r="G13" s="311" t="str">
        <f>IF($C13="","",IFERROR(Attendance!$GK12,""))</f>
        <v/>
      </c>
      <c r="H13" s="310">
        <f>IF($C13="","",IFERROR(Attendance!$GN12,""))</f>
        <v>0.65</v>
      </c>
      <c r="I13" s="309" t="str">
        <f>IF($C13="","",IF($AW13="","Not graded",IF(AND($AV13="Pre-season",N($AP13)&lt;'Pre season'!$AM$5),"Insufficient data",IF($AW13&gt;=3.5,"Match Ready",IF($AW13&gt;3,"Not Ready for 90 min",IF($AW13&gt;2.5,"Nearly Ready",IF($AW13&gt;2,"Improving",IF($AW13&gt;1.5,"Not Ready","Critical"))))))))</f>
        <v>Not Ready</v>
      </c>
      <c r="J13" s="309">
        <f t="shared" si="0"/>
        <v>0.65012999999999999</v>
      </c>
      <c r="K13" s="309">
        <f>ROWS($K$6:$K13)</f>
        <v>8</v>
      </c>
      <c r="L13" s="309" t="str">
        <f>IFERROR(INDEX($C$6:$C$25,MATCH(LARGE($J$6:$J$25,ROWS($L$6:$L13)),$J$6:$J$25,0)),"")</f>
        <v>Hannah Fleming</v>
      </c>
      <c r="M13" s="310">
        <f>IFERROR(INDEX($H$6:$H$25,MATCH(LARGE($J$6:$J$25,ROWS($M$6:$M13)),$J$6:$J$25,0)),"")</f>
        <v>0.76666666666666661</v>
      </c>
      <c r="N13" s="309"/>
      <c r="O13" s="309" t="str">
        <f t="shared" si="1"/>
        <v>Shauna Kavanagh</v>
      </c>
      <c r="P13" s="311">
        <f t="shared" si="2"/>
        <v>2</v>
      </c>
      <c r="Q13" s="311" t="str">
        <f t="shared" si="3"/>
        <v/>
      </c>
      <c r="R13" s="309"/>
      <c r="S13" s="309"/>
      <c r="T13" s="309"/>
      <c r="U13" s="309"/>
      <c r="V13" s="309"/>
      <c r="W13" s="309"/>
      <c r="X13" s="309">
        <v>8</v>
      </c>
      <c r="Y13" s="311" t="str">
        <f ca="1">IFERROR(IF($Y$2="","",AVERAGE(OFFSET(Attendance!$A$1,$Y$2-1,5+($X13-1)*4),OFFSET(Attendance!$A$1,$Y$2-1,7+($X13-1)*4))),"")</f>
        <v/>
      </c>
      <c r="Z13" s="311" t="str">
        <f ca="1">IFERROR(IF($Y$2="","",IF(LEN(OFFSET(Attendance!$A$1,$Y$2-1,95+($X13-1)*4))=0,"",OFFSET(Attendance!$A$1,$Y$2-1,95+($X13-1)*4))),"")</f>
        <v/>
      </c>
      <c r="AA13" s="309">
        <f t="shared" si="5"/>
        <v>14</v>
      </c>
      <c r="AB13" s="309" t="str">
        <f>IFERROR(INDEX($C$6:$C$25,MATCH(ROWS($AB$6:$AB13),$AA$6:$AA$25,0)),"")</f>
        <v>Mariana</v>
      </c>
      <c r="AC13" s="309"/>
      <c r="AD13" s="309">
        <v>8</v>
      </c>
      <c r="AE13" s="312" t="str">
        <f t="array" ref="AE13">IF(LEN(INDEX(Attendance!$CP$2:$FY$2,1,($AD13-1)*4+1))=0,"",INDEX(Attendance!$CP$2:$FY$2,1,($AD13-1)*4+1))</f>
        <v/>
      </c>
      <c r="AF13" s="309" t="str">
        <f t="array" ref="AF13">IF(LEN(INDEX(Attendance!$CP$3:$FY$3,1,($AD13-1)*4+1))=0,"",INDEX(Attendance!$CP$3:$FY$3,1,($AD13-1)*4+1))</f>
        <v/>
      </c>
      <c r="AG13" s="309" t="str">
        <f t="array" ref="AG13">IF(LEN(INDEX(Attendance!$CP$3:$FY$3,1,($AD13-1)*4+4))=0,"",INDEX(Attendance!$CP$3:$FY$3,1,($AD13-1)*4+4))</f>
        <v/>
      </c>
      <c r="AH13" s="309" t="str">
        <f t="array" ref="AH13">IF(LEN(INDEX(Attendance!$CP$26:$FY$26,1,($AD13-1)*4+1))=0,"",INDEX(Attendance!$CP$26:$FY$26,1,($AD13-1)*4+1))</f>
        <v/>
      </c>
      <c r="AI13" s="309" t="str">
        <f t="array" ref="AI13">IF(LEN(INDEX(Attendance!$CP$27:$FY$27,1,($AD13-1)*4+1))=0,"",INDEX(Attendance!$CP$27:$FY$27,1,($AD13-1)*4+1))</f>
        <v/>
      </c>
      <c r="AJ13" s="309" t="str">
        <f t="array" ref="AJ13">IF(LEN(INDEX(Attendance!$CP$28:$FY$28,1,($AD13-1)*4+1))=0,"",INDEX(Attendance!$CP$28:$FY$28,1,($AD13-1)*4+1))</f>
        <v/>
      </c>
      <c r="AO13" t="str">
        <f t="shared" si="8"/>
        <v>Shauna Kavanagh</v>
      </c>
      <c r="AP13" s="313">
        <f>IF($AO13="","",IFERROR(INDEX('Pre season'!$AE$5:$AE$24,MATCH($AO13,'Pre season'!$AD$5:$AD$24,0)),""))</f>
        <v>9</v>
      </c>
      <c r="AQ13" s="313">
        <f>IF($AO13="","",IFERROR(INDEX('Pre season'!$AF$5:$AF$24,MATCH($AO13,'Pre season'!$AD$5:$AD$24,0)),""))</f>
        <v>11</v>
      </c>
      <c r="AR13" s="314">
        <f>IF($AO13="","",IFERROR(INDEX('Pre season'!$AG$5:$AG$24,MATCH($AO13,'Pre season'!$AD$5:$AD$24,0)),""))</f>
        <v>0.81818181818181823</v>
      </c>
      <c r="AS13" s="64">
        <f>IF($AO13="","",IFERROR(INDEX('Pre season'!$AK$5:$AK$24,MATCH($AO13,'Pre season'!$AD$5:$AD$24,0)),""))</f>
        <v>2.2222222222222223</v>
      </c>
      <c r="AT13" s="314">
        <f>IF($AO13="","",IFERROR(INDEX('Pre season'!$AJ$5:$AJ$24,MATCH($AO13,'Pre season'!$AD$5:$AD$24,0)),""))</f>
        <v>0.59393939393939399</v>
      </c>
      <c r="AU13" t="str">
        <f>IF($AO13="","",IF($AS13="","No pre-season data",IF(N($AP13)&lt;'Pre season'!$AM$5,"Insufficient data",IF($AS13&gt;=3.5,"Match Ready",IF($AS13&gt;3,"Not Ready for 90 min",IF($AS13&gt;2.5,"Nearly Ready",IF($AS13&gt;2,"Improving",IF($AS13&gt;1.5,"Not Ready","Critical"))))))))</f>
        <v>Improving</v>
      </c>
      <c r="AV13" t="str">
        <f t="shared" si="9"/>
        <v>In-season</v>
      </c>
      <c r="AW13" s="64">
        <f t="shared" si="10"/>
        <v>2</v>
      </c>
      <c r="AX13" s="315">
        <f t="array" ref="AX13">IF($AO13="","",IF($AT13="","",SUMPRODUCT(($AT$6:$AT$25&lt;&gt;"")*($AT$6:$AT$25&gt;$AT13))+COUNTIF($AT$6:$AT13,$AT13)))</f>
        <v>8</v>
      </c>
      <c r="BA13" t="str">
        <f t="shared" si="11"/>
        <v>Shauna Kavanagh</v>
      </c>
      <c r="BB13" s="316">
        <f t="array" aca="1" ref="BB13" ca="1">IF($BA13="","",IF(ActiveSrc="In-season",SUMPRODUCT((ATAtt="Att")*(ATDates&gt;WinEnd-WinDays)*(ATDates&lt;=WinEnd)*((Attendance!$E12:$CN12="Yes")+(Attendance!$E12:$CN12="No"))),SUMPRODUCT((PSAtt="Att")*(PSDates&gt;WinEnd-WinDays)*(PSDates&lt;=WinEnd)*(('Pre season'!$E12:$AB12="Yes")+('Pre season'!$E12:$AB12="No")))))</f>
        <v>1</v>
      </c>
      <c r="BC13" s="316">
        <f t="array" aca="1" ref="BC13" ca="1">IF($BA13="","",IF(ActiveSrc="In-season",SUMPRODUCT((ATAtt="Att")*(ATDates&gt;WinEnd-WinDays)*(ATDates&lt;=WinEnd)*(Attendance!$E12:$CN12="Yes")),SUMPRODUCT((PSAtt="Att")*(PSDates&gt;WinEnd-WinDays)*(PSDates&lt;=WinEnd)*('Pre season'!$E12:$AB12="Yes"))))</f>
        <v>1</v>
      </c>
      <c r="BD13" s="316">
        <f t="array" aca="1" ref="BD13" ca="1">IF($BA13="","",IF(ActiveSrc="In-season",SUMPRODUCT((ATWR="WR")*(ATDates&gt;WinEnd-WinDays)*(ATDates&lt;=WinEnd)*IF(ISNUMBER(Attendance!$F12:$CO12),Attendance!$F12:$CO12,0)),SUMPRODUCT((PSWR="WR")*(PSDates&gt;WinEnd-WinDays)*(PSDates&lt;=WinEnd)*IF(ISNUMBER('Pre season'!$F12:$AC12),'Pre season'!$F12:$AC12,0))))</f>
        <v>2</v>
      </c>
      <c r="BE13" s="316">
        <f t="array" aca="1" ref="BE13" ca="1">IF($BA13="","",IF(ActiveSrc="In-season",SUMPRODUCT((ATWR="WR")*(ATDates&gt;WinEnd-WinDays)*(ATDates&lt;=WinEnd)*(IF(ISNUMBER(Attendance!$F12:$CO12),Attendance!$F12:$CO12,0)&gt;0)),SUMPRODUCT((PSWR="WR")*(PSDates&gt;WinEnd-WinDays)*(PSDates&lt;=WinEnd)*(IF(ISNUMBER('Pre season'!$F12:$AC12),'Pre season'!$F12:$AC12,0)&gt;0))))</f>
        <v>1</v>
      </c>
      <c r="BF13" s="317">
        <f t="shared" ca="1" si="12"/>
        <v>2</v>
      </c>
      <c r="BG13" s="318">
        <f ca="1">IF($BA13="","",IF(N($BB13)=0,"",'Pre season'!$AM$2*($BC13/$BB13)+'Pre season'!$AM$3*(IF($BF13="",0,$BF13)/5)))</f>
        <v>0.64</v>
      </c>
      <c r="BH13" s="316">
        <f t="array" aca="1" ref="BH13" ca="1">IF($BA13="","",IF($BG13="","",SUMPRODUCT(($BG$6:$BG$25&lt;&gt;"")*($BG$6:$BG$25&gt;$BG13))+COUNTIF($BG$6:$BG13,$BG13)))</f>
        <v>13</v>
      </c>
      <c r="BJ13" t="str">
        <f t="shared" si="13"/>
        <v>Shauna Kavanagh</v>
      </c>
      <c r="BK13" s="318">
        <f>IF($BJ13="","",IF(OR(N(Attendance!$GB12)&gt;0,N(Attendance!$GF12)&gt;0),IFERROR(Attendance!$GN12,""),IFERROR($AT13,"")))</f>
        <v>0.65</v>
      </c>
      <c r="BL13" s="319" t="str">
        <f>IF($BJ13="","",IF(OR(N(Attendance!$GB12)&gt;0,N(Attendance!$GF12)&gt;0),"In-season","Pre-season"))</f>
        <v>In-season</v>
      </c>
      <c r="BM13" s="316">
        <f t="array" ref="BM13">IF($BJ13="","",IF($BK13="","",SUMPRODUCT(($BK$6:$BK$25&lt;&gt;"")*($BK$6:$BK$25&gt;$BK13))+COUNTIF($BK$6:$BK13,$BK13)))</f>
        <v>13</v>
      </c>
    </row>
    <row r="14" spans="2:69" x14ac:dyDescent="0.45">
      <c r="B14" s="308">
        <f>IF($C14="","",Attendance!$C13)</f>
        <v>9</v>
      </c>
      <c r="C14" s="309" t="str">
        <f>IF(Attendance!$D13="","",Attendance!$D13)</f>
        <v>Tara Brannigan</v>
      </c>
      <c r="D14" s="310">
        <f>IF($C14="","",IFERROR(Attendance!$GC13,""))</f>
        <v>1</v>
      </c>
      <c r="E14" s="311">
        <f>IF($C14="","",IFERROR(Attendance!$GD13,""))</f>
        <v>3</v>
      </c>
      <c r="F14" s="310" t="str">
        <f>IF($C14="","",IFERROR(Attendance!$GH13,""))</f>
        <v/>
      </c>
      <c r="G14" s="311" t="str">
        <f>IF($C14="","",IFERROR(Attendance!$GK13,""))</f>
        <v/>
      </c>
      <c r="H14" s="310">
        <f>IF($C14="","",IFERROR(Attendance!$GN13,""))</f>
        <v>0.76666666666666661</v>
      </c>
      <c r="I14" s="309" t="str">
        <f>IF($C14="","",IF($AW14="","Not graded",IF(AND($AV14="Pre-season",N($AP14)&lt;'Pre season'!$AM$5),"Insufficient data",IF($AW14&gt;=3.5,"Match Ready",IF($AW14&gt;3,"Not Ready for 90 min",IF($AW14&gt;2.5,"Nearly Ready",IF($AW14&gt;2,"Improving",IF($AW14&gt;1.5,"Not Ready","Critical"))))))))</f>
        <v>Nearly Ready</v>
      </c>
      <c r="J14" s="309">
        <f t="shared" si="0"/>
        <v>0.76678666666666662</v>
      </c>
      <c r="K14" s="309">
        <f>ROWS($K$6:$K14)</f>
        <v>9</v>
      </c>
      <c r="L14" s="309" t="str">
        <f>IFERROR(INDEX($C$6:$C$25,MATCH(LARGE($J$6:$J$25,ROWS($L$6:$L14)),$J$6:$J$25,0)),"")</f>
        <v>Roma Memon</v>
      </c>
      <c r="M14" s="310">
        <f>IFERROR(INDEX($H$6:$H$25,MATCH(LARGE($J$6:$J$25,ROWS($M$6:$M14)),$J$6:$J$25,0)),"")</f>
        <v>0.76666666666666661</v>
      </c>
      <c r="N14" s="309"/>
      <c r="O14" s="309" t="str">
        <f t="shared" si="1"/>
        <v>Tara Brannigan</v>
      </c>
      <c r="P14" s="311">
        <f t="shared" si="2"/>
        <v>3</v>
      </c>
      <c r="Q14" s="311" t="str">
        <f t="shared" si="3"/>
        <v/>
      </c>
      <c r="R14" s="309"/>
      <c r="S14" s="309"/>
      <c r="T14" s="309"/>
      <c r="U14" s="309"/>
      <c r="V14" s="309"/>
      <c r="W14" s="309"/>
      <c r="X14" s="309">
        <v>9</v>
      </c>
      <c r="Y14" s="311" t="str">
        <f ca="1">IFERROR(IF($Y$2="","",AVERAGE(OFFSET(Attendance!$A$1,$Y$2-1,5+($X14-1)*4),OFFSET(Attendance!$A$1,$Y$2-1,7+($X14-1)*4))),"")</f>
        <v/>
      </c>
      <c r="Z14" s="311" t="str">
        <f ca="1">IFERROR(IF($Y$2="","",IF(LEN(OFFSET(Attendance!$A$1,$Y$2-1,95+($X14-1)*4))=0,"",OFFSET(Attendance!$A$1,$Y$2-1,95+($X14-1)*4))),"")</f>
        <v/>
      </c>
      <c r="AA14" s="309">
        <f t="shared" si="5"/>
        <v>16</v>
      </c>
      <c r="AB14" s="309" t="str">
        <f>IFERROR(INDEX($C$6:$C$25,MATCH(ROWS($AB$6:$AB14),$AA$6:$AA$25,0)),"")</f>
        <v>Naomi Adewoyin</v>
      </c>
      <c r="AC14" s="309"/>
      <c r="AD14" s="309">
        <v>9</v>
      </c>
      <c r="AE14" s="312" t="str">
        <f t="array" ref="AE14">IF(LEN(INDEX(Attendance!$CP$2:$FY$2,1,($AD14-1)*4+1))=0,"",INDEX(Attendance!$CP$2:$FY$2,1,($AD14-1)*4+1))</f>
        <v/>
      </c>
      <c r="AF14" s="309" t="str">
        <f t="array" ref="AF14">IF(LEN(INDEX(Attendance!$CP$3:$FY$3,1,($AD14-1)*4+1))=0,"",INDEX(Attendance!$CP$3:$FY$3,1,($AD14-1)*4+1))</f>
        <v/>
      </c>
      <c r="AG14" s="309" t="str">
        <f t="array" ref="AG14">IF(LEN(INDEX(Attendance!$CP$3:$FY$3,1,($AD14-1)*4+4))=0,"",INDEX(Attendance!$CP$3:$FY$3,1,($AD14-1)*4+4))</f>
        <v/>
      </c>
      <c r="AH14" s="309" t="str">
        <f t="array" ref="AH14">IF(LEN(INDEX(Attendance!$CP$26:$FY$26,1,($AD14-1)*4+1))=0,"",INDEX(Attendance!$CP$26:$FY$26,1,($AD14-1)*4+1))</f>
        <v/>
      </c>
      <c r="AI14" s="309" t="str">
        <f t="array" ref="AI14">IF(LEN(INDEX(Attendance!$CP$27:$FY$27,1,($AD14-1)*4+1))=0,"",INDEX(Attendance!$CP$27:$FY$27,1,($AD14-1)*4+1))</f>
        <v/>
      </c>
      <c r="AJ14" s="309" t="str">
        <f t="array" ref="AJ14">IF(LEN(INDEX(Attendance!$CP$28:$FY$28,1,($AD14-1)*4+1))=0,"",INDEX(Attendance!$CP$28:$FY$28,1,($AD14-1)*4+1))</f>
        <v/>
      </c>
      <c r="AO14" t="str">
        <f t="shared" si="8"/>
        <v>Tara Brannigan</v>
      </c>
      <c r="AP14" s="313">
        <f>IF($AO14="","",IFERROR(INDEX('Pre season'!$AE$5:$AE$24,MATCH($AO14,'Pre season'!$AD$5:$AD$24,0)),""))</f>
        <v>4</v>
      </c>
      <c r="AQ14" s="313">
        <f>IF($AO14="","",IFERROR(INDEX('Pre season'!$AF$5:$AF$24,MATCH($AO14,'Pre season'!$AD$5:$AD$24,0)),""))</f>
        <v>11</v>
      </c>
      <c r="AR14" s="314">
        <f>IF($AO14="","",IFERROR(INDEX('Pre season'!$AG$5:$AG$24,MATCH($AO14,'Pre season'!$AD$5:$AD$24,0)),""))</f>
        <v>0.36363636363636365</v>
      </c>
      <c r="AS14" s="64">
        <f>IF($AO14="","",IFERROR(INDEX('Pre season'!$AK$5:$AK$24,MATCH($AO14,'Pre season'!$AD$5:$AD$24,0)),""))</f>
        <v>3.25</v>
      </c>
      <c r="AT14" s="314">
        <f>IF($AO14="","",IFERROR(INDEX('Pre season'!$AJ$5:$AJ$24,MATCH($AO14,'Pre season'!$AD$5:$AD$24,0)),""))</f>
        <v>0.33454545454545459</v>
      </c>
      <c r="AU14" t="str">
        <f>IF($AO14="","",IF($AS14="","No pre-season data",IF(N($AP14)&lt;'Pre season'!$AM$5,"Insufficient data",IF($AS14&gt;=3.5,"Match Ready",IF($AS14&gt;3,"Not Ready for 90 min",IF($AS14&gt;2.5,"Nearly Ready",IF($AS14&gt;2,"Improving",IF($AS14&gt;1.5,"Not Ready","Critical"))))))))</f>
        <v>Insufficient data</v>
      </c>
      <c r="AV14" t="str">
        <f t="shared" si="9"/>
        <v>In-season</v>
      </c>
      <c r="AW14" s="64">
        <f t="shared" si="10"/>
        <v>3</v>
      </c>
      <c r="AX14" s="315">
        <f t="array" ref="AX14">IF($AO14="","",IF($AT14="","",SUMPRODUCT(($AT$6:$AT$25&lt;&gt;"")*($AT$6:$AT$25&gt;$AT14))+COUNTIF($AT$6:$AT14,$AT14)))</f>
        <v>13</v>
      </c>
      <c r="BA14" t="str">
        <f t="shared" si="11"/>
        <v>Tara Brannigan</v>
      </c>
      <c r="BB14" s="316">
        <f t="array" aca="1" ref="BB14" ca="1">IF($BA14="","",IF(ActiveSrc="In-season",SUMPRODUCT((ATAtt="Att")*(ATDates&gt;WinEnd-WinDays)*(ATDates&lt;=WinEnd)*((Attendance!$E13:$CN13="Yes")+(Attendance!$E13:$CN13="No"))),SUMPRODUCT((PSAtt="Att")*(PSDates&gt;WinEnd-WinDays)*(PSDates&lt;=WinEnd)*(('Pre season'!$E13:$AB13="Yes")+('Pre season'!$E13:$AB13="No")))))</f>
        <v>1</v>
      </c>
      <c r="BC14" s="316">
        <f t="array" aca="1" ref="BC14" ca="1">IF($BA14="","",IF(ActiveSrc="In-season",SUMPRODUCT((ATAtt="Att")*(ATDates&gt;WinEnd-WinDays)*(ATDates&lt;=WinEnd)*(Attendance!$E13:$CN13="Yes")),SUMPRODUCT((PSAtt="Att")*(PSDates&gt;WinEnd-WinDays)*(PSDates&lt;=WinEnd)*('Pre season'!$E13:$AB13="Yes"))))</f>
        <v>1</v>
      </c>
      <c r="BD14" s="316">
        <f t="array" aca="1" ref="BD14" ca="1">IF($BA14="","",IF(ActiveSrc="In-season",SUMPRODUCT((ATWR="WR")*(ATDates&gt;WinEnd-WinDays)*(ATDates&lt;=WinEnd)*IF(ISNUMBER(Attendance!$F13:$CO13),Attendance!$F13:$CO13,0)),SUMPRODUCT((PSWR="WR")*(PSDates&gt;WinEnd-WinDays)*(PSDates&lt;=WinEnd)*IF(ISNUMBER('Pre season'!$F13:$AC13),'Pre season'!$F13:$AC13,0))))</f>
        <v>3</v>
      </c>
      <c r="BE14" s="316">
        <f t="array" aca="1" ref="BE14" ca="1">IF($BA14="","",IF(ActiveSrc="In-season",SUMPRODUCT((ATWR="WR")*(ATDates&gt;WinEnd-WinDays)*(ATDates&lt;=WinEnd)*(IF(ISNUMBER(Attendance!$F13:$CO13),Attendance!$F13:$CO13,0)&gt;0)),SUMPRODUCT((PSWR="WR")*(PSDates&gt;WinEnd-WinDays)*(PSDates&lt;=WinEnd)*(IF(ISNUMBER('Pre season'!$F13:$AC13),'Pre season'!$F13:$AC13,0)&gt;0))))</f>
        <v>1</v>
      </c>
      <c r="BF14" s="317">
        <f t="shared" ca="1" si="12"/>
        <v>3</v>
      </c>
      <c r="BG14" s="318">
        <f ca="1">IF($BA14="","",IF(N($BB14)=0,"",'Pre season'!$AM$2*($BC14/$BB14)+'Pre season'!$AM$3*(IF($BF14="",0,$BF14)/5)))</f>
        <v>0.76</v>
      </c>
      <c r="BH14" s="316">
        <f t="array" aca="1" ref="BH14" ca="1">IF($BA14="","",IF($BG14="","",SUMPRODUCT(($BG$6:$BG$25&lt;&gt;"")*($BG$6:$BG$25&gt;$BG14))+COUNTIF($BG$6:$BG14,$BG14)))</f>
        <v>6</v>
      </c>
      <c r="BJ14" t="str">
        <f t="shared" si="13"/>
        <v>Tara Brannigan</v>
      </c>
      <c r="BK14" s="318">
        <f>IF($BJ14="","",IF(OR(N(Attendance!$GB13)&gt;0,N(Attendance!$GF13)&gt;0),IFERROR(Attendance!$GN13,""),IFERROR($AT14,"")))</f>
        <v>0.76666666666666661</v>
      </c>
      <c r="BL14" s="319" t="str">
        <f>IF($BJ14="","",IF(OR(N(Attendance!$GB13)&gt;0,N(Attendance!$GF13)&gt;0),"In-season","Pre-season"))</f>
        <v>In-season</v>
      </c>
      <c r="BM14" s="316">
        <f t="array" ref="BM14">IF($BJ14="","",IF($BK14="","",SUMPRODUCT(($BK$6:$BK$25&lt;&gt;"")*($BK$6:$BK$25&gt;$BK14))+COUNTIF($BK$6:$BK14,$BK14)))</f>
        <v>6</v>
      </c>
    </row>
    <row r="15" spans="2:69" x14ac:dyDescent="0.45">
      <c r="B15" s="308">
        <f>IF($C15="","",Attendance!$C14)</f>
        <v>10</v>
      </c>
      <c r="C15" s="309" t="str">
        <f>IF(Attendance!$D14="","",Attendance!$D14)</f>
        <v>Semilore Adesanya</v>
      </c>
      <c r="D15" s="310">
        <f>IF($C15="","",IFERROR(Attendance!$GC14,""))</f>
        <v>1</v>
      </c>
      <c r="E15" s="311">
        <f>IF($C15="","",IFERROR(Attendance!$GD14,""))</f>
        <v>3</v>
      </c>
      <c r="F15" s="310" t="str">
        <f>IF($C15="","",IFERROR(Attendance!$GH14,""))</f>
        <v/>
      </c>
      <c r="G15" s="311" t="str">
        <f>IF($C15="","",IFERROR(Attendance!$GK14,""))</f>
        <v/>
      </c>
      <c r="H15" s="310">
        <f>IF($C15="","",IFERROR(Attendance!$GN14,""))</f>
        <v>0.76666666666666661</v>
      </c>
      <c r="I15" s="309" t="str">
        <f>IF($C15="","",IF($AW15="","Not graded",IF(AND($AV15="Pre-season",N($AP15)&lt;'Pre season'!$AM$5),"Insufficient data",IF($AW15&gt;=3.5,"Match Ready",IF($AW15&gt;3,"Not Ready for 90 min",IF($AW15&gt;2.5,"Nearly Ready",IF($AW15&gt;2,"Improving",IF($AW15&gt;1.5,"Not Ready","Critical"))))))))</f>
        <v>Nearly Ready</v>
      </c>
      <c r="J15" s="309">
        <f t="shared" si="0"/>
        <v>0.76677666666666666</v>
      </c>
      <c r="K15" s="309">
        <f>ROWS($K$6:$K15)</f>
        <v>10</v>
      </c>
      <c r="L15" s="309" t="str">
        <f>IFERROR(INDEX($C$6:$C$25,MATCH(LARGE($J$6:$J$25,ROWS($L$6:$L15)),$J$6:$J$25,0)),"")</f>
        <v>Emma Dromgoole</v>
      </c>
      <c r="M15" s="310">
        <f>IFERROR(INDEX($H$6:$H$25,MATCH(LARGE($J$6:$J$25,ROWS($M$6:$M15)),$J$6:$J$25,0)),"")</f>
        <v>0.76666666666666661</v>
      </c>
      <c r="N15" s="309"/>
      <c r="O15" s="309" t="str">
        <f t="shared" si="1"/>
        <v>Semilore Adesanya</v>
      </c>
      <c r="P15" s="311">
        <f t="shared" si="2"/>
        <v>3</v>
      </c>
      <c r="Q15" s="311" t="str">
        <f t="shared" si="3"/>
        <v/>
      </c>
      <c r="R15" s="309"/>
      <c r="S15" s="309"/>
      <c r="T15" s="309"/>
      <c r="U15" s="309"/>
      <c r="V15" s="309"/>
      <c r="W15" s="309"/>
      <c r="X15" s="309">
        <v>10</v>
      </c>
      <c r="Y15" s="311" t="str">
        <f ca="1">IFERROR(IF($Y$2="","",AVERAGE(OFFSET(Attendance!$A$1,$Y$2-1,5+($X15-1)*4),OFFSET(Attendance!$A$1,$Y$2-1,7+($X15-1)*4))),"")</f>
        <v/>
      </c>
      <c r="Z15" s="311" t="str">
        <f ca="1">IFERROR(IF($Y$2="","",IF(LEN(OFFSET(Attendance!$A$1,$Y$2-1,95+($X15-1)*4))=0,"",OFFSET(Attendance!$A$1,$Y$2-1,95+($X15-1)*4))),"")</f>
        <v/>
      </c>
      <c r="AA15" s="309">
        <f t="shared" si="5"/>
        <v>13</v>
      </c>
      <c r="AB15" s="309" t="str">
        <f>IFERROR(INDEX($C$6:$C$25,MATCH(ROWS($AB$6:$AB15),$AA$6:$AA$25,0)),"")</f>
        <v>Rama</v>
      </c>
      <c r="AC15" s="309"/>
      <c r="AD15" s="309">
        <v>10</v>
      </c>
      <c r="AE15" s="312" t="str">
        <f t="array" ref="AE15">IF(LEN(INDEX(Attendance!$CP$2:$FY$2,1,($AD15-1)*4+1))=0,"",INDEX(Attendance!$CP$2:$FY$2,1,($AD15-1)*4+1))</f>
        <v/>
      </c>
      <c r="AF15" s="309" t="str">
        <f t="array" ref="AF15">IF(LEN(INDEX(Attendance!$CP$3:$FY$3,1,($AD15-1)*4+1))=0,"",INDEX(Attendance!$CP$3:$FY$3,1,($AD15-1)*4+1))</f>
        <v/>
      </c>
      <c r="AG15" s="309" t="str">
        <f t="array" ref="AG15">IF(LEN(INDEX(Attendance!$CP$3:$FY$3,1,($AD15-1)*4+4))=0,"",INDEX(Attendance!$CP$3:$FY$3,1,($AD15-1)*4+4))</f>
        <v/>
      </c>
      <c r="AH15" s="309" t="str">
        <f t="array" ref="AH15">IF(LEN(INDEX(Attendance!$CP$26:$FY$26,1,($AD15-1)*4+1))=0,"",INDEX(Attendance!$CP$26:$FY$26,1,($AD15-1)*4+1))</f>
        <v/>
      </c>
      <c r="AI15" s="309" t="str">
        <f t="array" ref="AI15">IF(LEN(INDEX(Attendance!$CP$27:$FY$27,1,($AD15-1)*4+1))=0,"",INDEX(Attendance!$CP$27:$FY$27,1,($AD15-1)*4+1))</f>
        <v/>
      </c>
      <c r="AJ15" s="309" t="str">
        <f t="array" ref="AJ15">IF(LEN(INDEX(Attendance!$CP$28:$FY$28,1,($AD15-1)*4+1))=0,"",INDEX(Attendance!$CP$28:$FY$28,1,($AD15-1)*4+1))</f>
        <v/>
      </c>
      <c r="AO15" t="str">
        <f t="shared" si="8"/>
        <v>Semilore Adesanya</v>
      </c>
      <c r="AP15" s="313">
        <f>IF($AO15="","",IFERROR(INDEX('Pre season'!$AE$5:$AE$24,MATCH($AO15,'Pre season'!$AD$5:$AD$24,0)),""))</f>
        <v>7</v>
      </c>
      <c r="AQ15" s="313">
        <f>IF($AO15="","",IFERROR(INDEX('Pre season'!$AF$5:$AF$24,MATCH($AO15,'Pre season'!$AD$5:$AD$24,0)),""))</f>
        <v>11</v>
      </c>
      <c r="AR15" s="314">
        <f>IF($AO15="","",IFERROR(INDEX('Pre season'!$AG$5:$AG$24,MATCH($AO15,'Pre season'!$AD$5:$AD$24,0)),""))</f>
        <v>0.63636363636363635</v>
      </c>
      <c r="AS15" s="64">
        <f>IF($AO15="","",IFERROR(INDEX('Pre season'!$AK$5:$AK$24,MATCH($AO15,'Pre season'!$AD$5:$AD$24,0)),""))</f>
        <v>3.5714285714285716</v>
      </c>
      <c r="AT15" s="314">
        <f>IF($AO15="","",IFERROR(INDEX('Pre season'!$AJ$5:$AJ$24,MATCH($AO15,'Pre season'!$AD$5:$AD$24,0)),""))</f>
        <v>0.61818181818181817</v>
      </c>
      <c r="AU15" t="str">
        <f>IF($AO15="","",IF($AS15="","No pre-season data",IF(N($AP15)&lt;'Pre season'!$AM$5,"Insufficient data",IF($AS15&gt;=3.5,"Match Ready",IF($AS15&gt;3,"Not Ready for 90 min",IF($AS15&gt;2.5,"Nearly Ready",IF($AS15&gt;2,"Improving",IF($AS15&gt;1.5,"Not Ready","Critical"))))))))</f>
        <v>Match Ready</v>
      </c>
      <c r="AV15" t="str">
        <f t="shared" si="9"/>
        <v>In-season</v>
      </c>
      <c r="AW15" s="64">
        <f t="shared" si="10"/>
        <v>3</v>
      </c>
      <c r="AX15" s="315">
        <f t="array" ref="AX15">IF($AO15="","",IF($AT15="","",SUMPRODUCT(($AT$6:$AT$25&lt;&gt;"")*($AT$6:$AT$25&gt;$AT15))+COUNTIF($AT$6:$AT15,$AT15)))</f>
        <v>6</v>
      </c>
      <c r="BA15" t="str">
        <f t="shared" si="11"/>
        <v>Semilore Adesanya</v>
      </c>
      <c r="BB15" s="316">
        <f t="array" aca="1" ref="BB15" ca="1">IF($BA15="","",IF(ActiveSrc="In-season",SUMPRODUCT((ATAtt="Att")*(ATDates&gt;WinEnd-WinDays)*(ATDates&lt;=WinEnd)*((Attendance!$E14:$CN14="Yes")+(Attendance!$E14:$CN14="No"))),SUMPRODUCT((PSAtt="Att")*(PSDates&gt;WinEnd-WinDays)*(PSDates&lt;=WinEnd)*(('Pre season'!$E14:$AB14="Yes")+('Pre season'!$E14:$AB14="No")))))</f>
        <v>1</v>
      </c>
      <c r="BC15" s="316">
        <f t="array" aca="1" ref="BC15" ca="1">IF($BA15="","",IF(ActiveSrc="In-season",SUMPRODUCT((ATAtt="Att")*(ATDates&gt;WinEnd-WinDays)*(ATDates&lt;=WinEnd)*(Attendance!$E14:$CN14="Yes")),SUMPRODUCT((PSAtt="Att")*(PSDates&gt;WinEnd-WinDays)*(PSDates&lt;=WinEnd)*('Pre season'!$E14:$AB14="Yes"))))</f>
        <v>1</v>
      </c>
      <c r="BD15" s="316">
        <f t="array" aca="1" ref="BD15" ca="1">IF($BA15="","",IF(ActiveSrc="In-season",SUMPRODUCT((ATWR="WR")*(ATDates&gt;WinEnd-WinDays)*(ATDates&lt;=WinEnd)*IF(ISNUMBER(Attendance!$F14:$CO14),Attendance!$F14:$CO14,0)),SUMPRODUCT((PSWR="WR")*(PSDates&gt;WinEnd-WinDays)*(PSDates&lt;=WinEnd)*IF(ISNUMBER('Pre season'!$F14:$AC14),'Pre season'!$F14:$AC14,0))))</f>
        <v>3</v>
      </c>
      <c r="BE15" s="316">
        <f t="array" aca="1" ref="BE15" ca="1">IF($BA15="","",IF(ActiveSrc="In-season",SUMPRODUCT((ATWR="WR")*(ATDates&gt;WinEnd-WinDays)*(ATDates&lt;=WinEnd)*(IF(ISNUMBER(Attendance!$F14:$CO14),Attendance!$F14:$CO14,0)&gt;0)),SUMPRODUCT((PSWR="WR")*(PSDates&gt;WinEnd-WinDays)*(PSDates&lt;=WinEnd)*(IF(ISNUMBER('Pre season'!$F14:$AC14),'Pre season'!$F14:$AC14,0)&gt;0))))</f>
        <v>1</v>
      </c>
      <c r="BF15" s="317">
        <f t="shared" ca="1" si="12"/>
        <v>3</v>
      </c>
      <c r="BG15" s="318">
        <f ca="1">IF($BA15="","",IF(N($BB15)=0,"",'Pre season'!$AM$2*($BC15/$BB15)+'Pre season'!$AM$3*(IF($BF15="",0,$BF15)/5)))</f>
        <v>0.76</v>
      </c>
      <c r="BH15" s="316">
        <f t="array" aca="1" ref="BH15" ca="1">IF($BA15="","",IF($BG15="","",SUMPRODUCT(($BG$6:$BG$25&lt;&gt;"")*($BG$6:$BG$25&gt;$BG15))+COUNTIF($BG$6:$BG15,$BG15)))</f>
        <v>7</v>
      </c>
      <c r="BJ15" t="str">
        <f t="shared" si="13"/>
        <v>Semilore Adesanya</v>
      </c>
      <c r="BK15" s="318">
        <f>IF($BJ15="","",IF(OR(N(Attendance!$GB14)&gt;0,N(Attendance!$GF14)&gt;0),IFERROR(Attendance!$GN14,""),IFERROR($AT15,"")))</f>
        <v>0.76666666666666661</v>
      </c>
      <c r="BL15" s="319" t="str">
        <f>IF($BJ15="","",IF(OR(N(Attendance!$GB14)&gt;0,N(Attendance!$GF14)&gt;0),"In-season","Pre-season"))</f>
        <v>In-season</v>
      </c>
      <c r="BM15" s="316">
        <f t="array" ref="BM15">IF($BJ15="","",IF($BK15="","",SUMPRODUCT(($BK$6:$BK$25&lt;&gt;"")*($BK$6:$BK$25&gt;$BK15))+COUNTIF($BK$6:$BK15,$BK15)))</f>
        <v>7</v>
      </c>
    </row>
    <row r="16" spans="2:69" x14ac:dyDescent="0.45">
      <c r="B16" s="308">
        <f>IF($C16="","",Attendance!$C15)</f>
        <v>11</v>
      </c>
      <c r="C16" s="309" t="str">
        <f>IF(Attendance!$D15="","",Attendance!$D15)</f>
        <v>Hannah Fleming</v>
      </c>
      <c r="D16" s="310">
        <f>IF($C16="","",IFERROR(Attendance!$GC15,""))</f>
        <v>1</v>
      </c>
      <c r="E16" s="311">
        <f>IF($C16="","",IFERROR(Attendance!$GD15,""))</f>
        <v>3</v>
      </c>
      <c r="F16" s="310" t="str">
        <f>IF($C16="","",IFERROR(Attendance!$GH15,""))</f>
        <v/>
      </c>
      <c r="G16" s="311" t="str">
        <f>IF($C16="","",IFERROR(Attendance!$GK15,""))</f>
        <v/>
      </c>
      <c r="H16" s="310">
        <f>IF($C16="","",IFERROR(Attendance!$GN15,""))</f>
        <v>0.76666666666666661</v>
      </c>
      <c r="I16" s="309" t="str">
        <f>IF($C16="","",IF($AW16="","Not graded",IF(AND($AV16="Pre-season",N($AP16)&lt;'Pre season'!$AM$5),"Insufficient data",IF($AW16&gt;=3.5,"Match Ready",IF($AW16&gt;3,"Not Ready for 90 min",IF($AW16&gt;2.5,"Nearly Ready",IF($AW16&gt;2,"Improving",IF($AW16&gt;1.5,"Not Ready","Critical"))))))))</f>
        <v>Nearly Ready</v>
      </c>
      <c r="J16" s="309">
        <f t="shared" si="0"/>
        <v>0.7667666666666666</v>
      </c>
      <c r="K16" s="309">
        <f>ROWS($K$6:$K16)</f>
        <v>11</v>
      </c>
      <c r="L16" s="309" t="str">
        <f>IFERROR(INDEX($C$6:$C$25,MATCH(LARGE($J$6:$J$25,ROWS($L$6:$L16)),$J$6:$J$25,0)),"")</f>
        <v>Mariana</v>
      </c>
      <c r="M16" s="310">
        <f>IFERROR(INDEX($H$6:$H$25,MATCH(LARGE($J$6:$J$25,ROWS($M$6:$M16)),$J$6:$J$25,0)),"")</f>
        <v>0.76666666666666661</v>
      </c>
      <c r="N16" s="309"/>
      <c r="O16" s="309" t="str">
        <f t="shared" si="1"/>
        <v>Hannah Fleming</v>
      </c>
      <c r="P16" s="311">
        <f t="shared" si="2"/>
        <v>3</v>
      </c>
      <c r="Q16" s="311" t="str">
        <f t="shared" si="3"/>
        <v/>
      </c>
      <c r="R16" s="309"/>
      <c r="S16" s="309"/>
      <c r="T16" s="309"/>
      <c r="U16" s="309"/>
      <c r="V16" s="309"/>
      <c r="W16" s="309"/>
      <c r="X16" s="309">
        <v>11</v>
      </c>
      <c r="Y16" s="311" t="str">
        <f ca="1">IFERROR(IF($Y$2="","",AVERAGE(OFFSET(Attendance!$A$1,$Y$2-1,5+($X16-1)*4),OFFSET(Attendance!$A$1,$Y$2-1,7+($X16-1)*4))),"")</f>
        <v/>
      </c>
      <c r="Z16" s="311" t="str">
        <f ca="1">IFERROR(IF($Y$2="","",IF(LEN(OFFSET(Attendance!$A$1,$Y$2-1,95+($X16-1)*4))=0,"",OFFSET(Attendance!$A$1,$Y$2-1,95+($X16-1)*4))),"")</f>
        <v/>
      </c>
      <c r="AA16" s="309">
        <f t="shared" si="5"/>
        <v>6</v>
      </c>
      <c r="AB16" s="309" t="str">
        <f>IFERROR(INDEX($C$6:$C$25,MATCH(ROWS($AB$6:$AB16),$AA$6:$AA$25,0)),"")</f>
        <v>Roisin Offenhausen</v>
      </c>
      <c r="AC16" s="309"/>
      <c r="AD16" s="309">
        <v>11</v>
      </c>
      <c r="AE16" s="312" t="str">
        <f t="array" ref="AE16">IF(LEN(INDEX(Attendance!$CP$2:$FY$2,1,($AD16-1)*4+1))=0,"",INDEX(Attendance!$CP$2:$FY$2,1,($AD16-1)*4+1))</f>
        <v/>
      </c>
      <c r="AF16" s="309" t="str">
        <f t="array" ref="AF16">IF(LEN(INDEX(Attendance!$CP$3:$FY$3,1,($AD16-1)*4+1))=0,"",INDEX(Attendance!$CP$3:$FY$3,1,($AD16-1)*4+1))</f>
        <v/>
      </c>
      <c r="AG16" s="309" t="str">
        <f t="array" ref="AG16">IF(LEN(INDEX(Attendance!$CP$3:$FY$3,1,($AD16-1)*4+4))=0,"",INDEX(Attendance!$CP$3:$FY$3,1,($AD16-1)*4+4))</f>
        <v/>
      </c>
      <c r="AH16" s="309" t="str">
        <f t="array" ref="AH16">IF(LEN(INDEX(Attendance!$CP$26:$FY$26,1,($AD16-1)*4+1))=0,"",INDEX(Attendance!$CP$26:$FY$26,1,($AD16-1)*4+1))</f>
        <v/>
      </c>
      <c r="AI16" s="309" t="str">
        <f t="array" ref="AI16">IF(LEN(INDEX(Attendance!$CP$27:$FY$27,1,($AD16-1)*4+1))=0,"",INDEX(Attendance!$CP$27:$FY$27,1,($AD16-1)*4+1))</f>
        <v/>
      </c>
      <c r="AJ16" s="309" t="str">
        <f t="array" ref="AJ16">IF(LEN(INDEX(Attendance!$CP$28:$FY$28,1,($AD16-1)*4+1))=0,"",INDEX(Attendance!$CP$28:$FY$28,1,($AD16-1)*4+1))</f>
        <v/>
      </c>
      <c r="AO16" t="str">
        <f t="shared" si="8"/>
        <v>Hannah Fleming</v>
      </c>
      <c r="AP16" s="313">
        <f>IF($AO16="","",IFERROR(INDEX('Pre season'!$AE$5:$AE$24,MATCH($AO16,'Pre season'!$AD$5:$AD$24,0)),""))</f>
        <v>8</v>
      </c>
      <c r="AQ16" s="313">
        <f>IF($AO16="","",IFERROR(INDEX('Pre season'!$AF$5:$AF$24,MATCH($AO16,'Pre season'!$AD$5:$AD$24,0)),""))</f>
        <v>11</v>
      </c>
      <c r="AR16" s="314">
        <f>IF($AO16="","",IFERROR(INDEX('Pre season'!$AG$5:$AG$24,MATCH($AO16,'Pre season'!$AD$5:$AD$24,0)),""))</f>
        <v>0.72727272727272729</v>
      </c>
      <c r="AS16" s="64">
        <f>IF($AO16="","",IFERROR(INDEX('Pre season'!$AK$5:$AK$24,MATCH($AO16,'Pre season'!$AD$5:$AD$24,0)),""))</f>
        <v>3.25</v>
      </c>
      <c r="AT16" s="314">
        <f>IF($AO16="","",IFERROR(INDEX('Pre season'!$AJ$5:$AJ$24,MATCH($AO16,'Pre season'!$AD$5:$AD$24,0)),""))</f>
        <v>0.66909090909090918</v>
      </c>
      <c r="AU16" t="str">
        <f>IF($AO16="","",IF($AS16="","No pre-season data",IF(N($AP16)&lt;'Pre season'!$AM$5,"Insufficient data",IF($AS16&gt;=3.5,"Match Ready",IF($AS16&gt;3,"Not Ready for 90 min",IF($AS16&gt;2.5,"Nearly Ready",IF($AS16&gt;2,"Improving",IF($AS16&gt;1.5,"Not Ready","Critical"))))))))</f>
        <v>Not Ready for 90 min</v>
      </c>
      <c r="AV16" t="str">
        <f t="shared" si="9"/>
        <v>In-season</v>
      </c>
      <c r="AW16" s="64">
        <f t="shared" si="10"/>
        <v>3</v>
      </c>
      <c r="AX16" s="315">
        <f t="array" ref="AX16">IF($AO16="","",IF($AT16="","",SUMPRODUCT(($AT$6:$AT$25&lt;&gt;"")*($AT$6:$AT$25&gt;$AT16))+COUNTIF($AT$6:$AT16,$AT16)))</f>
        <v>4</v>
      </c>
      <c r="BA16" t="str">
        <f t="shared" si="11"/>
        <v>Hannah Fleming</v>
      </c>
      <c r="BB16" s="316">
        <f t="array" aca="1" ref="BB16" ca="1">IF($BA16="","",IF(ActiveSrc="In-season",SUMPRODUCT((ATAtt="Att")*(ATDates&gt;WinEnd-WinDays)*(ATDates&lt;=WinEnd)*((Attendance!$E15:$CN15="Yes")+(Attendance!$E15:$CN15="No"))),SUMPRODUCT((PSAtt="Att")*(PSDates&gt;WinEnd-WinDays)*(PSDates&lt;=WinEnd)*(('Pre season'!$E15:$AB15="Yes")+('Pre season'!$E15:$AB15="No")))))</f>
        <v>1</v>
      </c>
      <c r="BC16" s="316">
        <f t="array" aca="1" ref="BC16" ca="1">IF($BA16="","",IF(ActiveSrc="In-season",SUMPRODUCT((ATAtt="Att")*(ATDates&gt;WinEnd-WinDays)*(ATDates&lt;=WinEnd)*(Attendance!$E15:$CN15="Yes")),SUMPRODUCT((PSAtt="Att")*(PSDates&gt;WinEnd-WinDays)*(PSDates&lt;=WinEnd)*('Pre season'!$E15:$AB15="Yes"))))</f>
        <v>1</v>
      </c>
      <c r="BD16" s="316">
        <f t="array" aca="1" ref="BD16" ca="1">IF($BA16="","",IF(ActiveSrc="In-season",SUMPRODUCT((ATWR="WR")*(ATDates&gt;WinEnd-WinDays)*(ATDates&lt;=WinEnd)*IF(ISNUMBER(Attendance!$F15:$CO15),Attendance!$F15:$CO15,0)),SUMPRODUCT((PSWR="WR")*(PSDates&gt;WinEnd-WinDays)*(PSDates&lt;=WinEnd)*IF(ISNUMBER('Pre season'!$F15:$AC15),'Pre season'!$F15:$AC15,0))))</f>
        <v>3</v>
      </c>
      <c r="BE16" s="316">
        <f t="array" aca="1" ref="BE16" ca="1">IF($BA16="","",IF(ActiveSrc="In-season",SUMPRODUCT((ATWR="WR")*(ATDates&gt;WinEnd-WinDays)*(ATDates&lt;=WinEnd)*(IF(ISNUMBER(Attendance!$F15:$CO15),Attendance!$F15:$CO15,0)&gt;0)),SUMPRODUCT((PSWR="WR")*(PSDates&gt;WinEnd-WinDays)*(PSDates&lt;=WinEnd)*(IF(ISNUMBER('Pre season'!$F15:$AC15),'Pre season'!$F15:$AC15,0)&gt;0))))</f>
        <v>1</v>
      </c>
      <c r="BF16" s="317">
        <f t="shared" ca="1" si="12"/>
        <v>3</v>
      </c>
      <c r="BG16" s="318">
        <f ca="1">IF($BA16="","",IF(N($BB16)=0,"",'Pre season'!$AM$2*($BC16/$BB16)+'Pre season'!$AM$3*(IF($BF16="",0,$BF16)/5)))</f>
        <v>0.76</v>
      </c>
      <c r="BH16" s="316">
        <f t="array" aca="1" ref="BH16" ca="1">IF($BA16="","",IF($BG16="","",SUMPRODUCT(($BG$6:$BG$25&lt;&gt;"")*($BG$6:$BG$25&gt;$BG16))+COUNTIF($BG$6:$BG16,$BG16)))</f>
        <v>8</v>
      </c>
      <c r="BJ16" t="str">
        <f t="shared" si="13"/>
        <v>Hannah Fleming</v>
      </c>
      <c r="BK16" s="318">
        <f>IF($BJ16="","",IF(OR(N(Attendance!$GB15)&gt;0,N(Attendance!$GF15)&gt;0),IFERROR(Attendance!$GN15,""),IFERROR($AT16,"")))</f>
        <v>0.76666666666666661</v>
      </c>
      <c r="BL16" s="319" t="str">
        <f>IF($BJ16="","",IF(OR(N(Attendance!$GB15)&gt;0,N(Attendance!$GF15)&gt;0),"In-season","Pre-season"))</f>
        <v>In-season</v>
      </c>
      <c r="BM16" s="316">
        <f t="array" ref="BM16">IF($BJ16="","",IF($BK16="","",SUMPRODUCT(($BK$6:$BK$25&lt;&gt;"")*($BK$6:$BK$25&gt;$BK16))+COUNTIF($BK$6:$BK16,$BK16)))</f>
        <v>8</v>
      </c>
    </row>
    <row r="17" spans="2:65" x14ac:dyDescent="0.45">
      <c r="B17" s="308">
        <f>IF($C17="","",Attendance!$C16)</f>
        <v>12</v>
      </c>
      <c r="C17" s="309" t="str">
        <f>IF(Attendance!$D16="","",Attendance!$D16)</f>
        <v>Emma Kelly</v>
      </c>
      <c r="D17" s="310">
        <f>IF($C17="","",IFERROR(Attendance!$GC16,""))</f>
        <v>0</v>
      </c>
      <c r="E17" s="311" t="str">
        <f>IF($C17="","",IFERROR(Attendance!$GD16,""))</f>
        <v/>
      </c>
      <c r="F17" s="310" t="str">
        <f>IF($C17="","",IFERROR(Attendance!$GH16,""))</f>
        <v/>
      </c>
      <c r="G17" s="311" t="str">
        <f>IF($C17="","",IFERROR(Attendance!$GK16,""))</f>
        <v/>
      </c>
      <c r="H17" s="310">
        <f>IF($C17="","",IFERROR(Attendance!$GN16,""))</f>
        <v>0</v>
      </c>
      <c r="I17" s="309" t="str">
        <f>IF($C17="","",IF($AW17="","Not graded",IF(AND($AV17="Pre-season",N($AP17)&lt;'Pre season'!$AM$5),"Insufficient data",IF($AW17&gt;=3.5,"Match Ready",IF($AW17&gt;3,"Not Ready for 90 min",IF($AW17&gt;2.5,"Nearly Ready",IF($AW17&gt;2,"Improving",IF($AW17&gt;1.5,"Not Ready","Critical"))))))))</f>
        <v>Not Ready for 90 min</v>
      </c>
      <c r="J17" s="309">
        <f t="shared" si="0"/>
        <v>9.0000000000000006E-5</v>
      </c>
      <c r="K17" s="309">
        <f>ROWS($K$6:$K17)</f>
        <v>12</v>
      </c>
      <c r="L17" s="309" t="str">
        <f>IFERROR(INDEX($C$6:$C$25,MATCH(LARGE($J$6:$J$25,ROWS($L$6:$L17)),$J$6:$J$25,0)),"")</f>
        <v>Rama</v>
      </c>
      <c r="M17" s="310">
        <f>IFERROR(INDEX($H$6:$H$25,MATCH(LARGE($J$6:$J$25,ROWS($M$6:$M17)),$J$6:$J$25,0)),"")</f>
        <v>0.76666666666666661</v>
      </c>
      <c r="N17" s="309"/>
      <c r="O17" s="309" t="str">
        <f t="shared" si="1"/>
        <v>Emma Kelly</v>
      </c>
      <c r="P17" s="311" t="str">
        <f t="shared" si="2"/>
        <v/>
      </c>
      <c r="Q17" s="311" t="str">
        <f t="shared" si="3"/>
        <v/>
      </c>
      <c r="R17" s="309"/>
      <c r="S17" s="309"/>
      <c r="T17" s="309"/>
      <c r="U17" s="309"/>
      <c r="V17" s="309"/>
      <c r="W17" s="309"/>
      <c r="X17" s="309">
        <v>12</v>
      </c>
      <c r="Y17" s="311" t="str">
        <f ca="1">IFERROR(IF($Y$2="","",AVERAGE(OFFSET(Attendance!$A$1,$Y$2-1,5+($X17-1)*4),OFFSET(Attendance!$A$1,$Y$2-1,7+($X17-1)*4))),"")</f>
        <v/>
      </c>
      <c r="Z17" s="311" t="str">
        <f ca="1">IFERROR(IF($Y$2="","",IF(LEN(OFFSET(Attendance!$A$1,$Y$2-1,95+($X17-1)*4))=0,"",OFFSET(Attendance!$A$1,$Y$2-1,95+($X17-1)*4))),"")</f>
        <v/>
      </c>
      <c r="AA17" s="309">
        <f t="shared" si="5"/>
        <v>5</v>
      </c>
      <c r="AB17" s="309" t="str">
        <f>IFERROR(INDEX($C$6:$C$25,MATCH(ROWS($AB$6:$AB17),$AA$6:$AA$25,0)),"")</f>
        <v>Roma Memon</v>
      </c>
      <c r="AC17" s="309"/>
      <c r="AD17" s="309">
        <v>12</v>
      </c>
      <c r="AE17" s="312" t="str">
        <f t="array" ref="AE17">IF(LEN(INDEX(Attendance!$CP$2:$FY$2,1,($AD17-1)*4+1))=0,"",INDEX(Attendance!$CP$2:$FY$2,1,($AD17-1)*4+1))</f>
        <v/>
      </c>
      <c r="AF17" s="309" t="str">
        <f t="array" ref="AF17">IF(LEN(INDEX(Attendance!$CP$3:$FY$3,1,($AD17-1)*4+1))=0,"",INDEX(Attendance!$CP$3:$FY$3,1,($AD17-1)*4+1))</f>
        <v/>
      </c>
      <c r="AG17" s="309" t="str">
        <f t="array" ref="AG17">IF(LEN(INDEX(Attendance!$CP$3:$FY$3,1,($AD17-1)*4+4))=0,"",INDEX(Attendance!$CP$3:$FY$3,1,($AD17-1)*4+4))</f>
        <v/>
      </c>
      <c r="AH17" s="309" t="str">
        <f t="array" ref="AH17">IF(LEN(INDEX(Attendance!$CP$26:$FY$26,1,($AD17-1)*4+1))=0,"",INDEX(Attendance!$CP$26:$FY$26,1,($AD17-1)*4+1))</f>
        <v/>
      </c>
      <c r="AI17" s="309" t="str">
        <f t="array" ref="AI17">IF(LEN(INDEX(Attendance!$CP$27:$FY$27,1,($AD17-1)*4+1))=0,"",INDEX(Attendance!$CP$27:$FY$27,1,($AD17-1)*4+1))</f>
        <v/>
      </c>
      <c r="AJ17" s="309" t="str">
        <f t="array" ref="AJ17">IF(LEN(INDEX(Attendance!$CP$28:$FY$28,1,($AD17-1)*4+1))=0,"",INDEX(Attendance!$CP$28:$FY$28,1,($AD17-1)*4+1))</f>
        <v/>
      </c>
      <c r="AO17" t="str">
        <f t="shared" si="8"/>
        <v>Emma Kelly</v>
      </c>
      <c r="AP17" s="313">
        <f>IF($AO17="","",IFERROR(INDEX('Pre season'!$AE$5:$AE$24,MATCH($AO17,'Pre season'!$AD$5:$AD$24,0)),""))</f>
        <v>7</v>
      </c>
      <c r="AQ17" s="313">
        <f>IF($AO17="","",IFERROR(INDEX('Pre season'!$AF$5:$AF$24,MATCH($AO17,'Pre season'!$AD$5:$AD$24,0)),""))</f>
        <v>11</v>
      </c>
      <c r="AR17" s="314">
        <f>IF($AO17="","",IFERROR(INDEX('Pre season'!$AG$5:$AG$24,MATCH($AO17,'Pre season'!$AD$5:$AD$24,0)),""))</f>
        <v>0.63636363636363635</v>
      </c>
      <c r="AS17" s="64">
        <f>IF($AO17="","",IFERROR(INDEX('Pre season'!$AK$5:$AK$24,MATCH($AO17,'Pre season'!$AD$5:$AD$24,0)),""))</f>
        <v>3.2857142857142856</v>
      </c>
      <c r="AT17" s="314">
        <f>IF($AO17="","",IFERROR(INDEX('Pre season'!$AJ$5:$AJ$24,MATCH($AO17,'Pre season'!$AD$5:$AD$24,0)),""))</f>
        <v>0.58909090909090911</v>
      </c>
      <c r="AU17" t="str">
        <f>IF($AO17="","",IF($AS17="","No pre-season data",IF(N($AP17)&lt;'Pre season'!$AM$5,"Insufficient data",IF($AS17&gt;=3.5,"Match Ready",IF($AS17&gt;3,"Not Ready for 90 min",IF($AS17&gt;2.5,"Nearly Ready",IF($AS17&gt;2,"Improving",IF($AS17&gt;1.5,"Not Ready","Critical"))))))))</f>
        <v>Not Ready for 90 min</v>
      </c>
      <c r="AV17" t="str">
        <f t="shared" si="9"/>
        <v>Pre-season</v>
      </c>
      <c r="AW17" s="64">
        <f t="shared" si="10"/>
        <v>3.2857142857142856</v>
      </c>
      <c r="AX17" s="315">
        <f t="array" ref="AX17">IF($AO17="","",IF($AT17="","",SUMPRODUCT(($AT$6:$AT$25&lt;&gt;"")*($AT$6:$AT$25&gt;$AT17))+COUNTIF($AT$6:$AT17,$AT17)))</f>
        <v>9</v>
      </c>
      <c r="BA17" t="str">
        <f t="shared" si="11"/>
        <v>Emma Kelly</v>
      </c>
      <c r="BB17" s="316">
        <f t="array" aca="1" ref="BB17" ca="1">IF($BA17="","",IF(ActiveSrc="In-season",SUMPRODUCT((ATAtt="Att")*(ATDates&gt;WinEnd-WinDays)*(ATDates&lt;=WinEnd)*((Attendance!$E16:$CN16="Yes")+(Attendance!$E16:$CN16="No"))),SUMPRODUCT((PSAtt="Att")*(PSDates&gt;WinEnd-WinDays)*(PSDates&lt;=WinEnd)*(('Pre season'!$E16:$AB16="Yes")+('Pre season'!$E16:$AB16="No")))))</f>
        <v>1</v>
      </c>
      <c r="BC17" s="316">
        <f t="array" aca="1" ref="BC17" ca="1">IF($BA17="","",IF(ActiveSrc="In-season",SUMPRODUCT((ATAtt="Att")*(ATDates&gt;WinEnd-WinDays)*(ATDates&lt;=WinEnd)*(Attendance!$E16:$CN16="Yes")),SUMPRODUCT((PSAtt="Att")*(PSDates&gt;WinEnd-WinDays)*(PSDates&lt;=WinEnd)*('Pre season'!$E16:$AB16="Yes"))))</f>
        <v>0</v>
      </c>
      <c r="BD17" s="316">
        <f t="array" aca="1" ref="BD17" ca="1">IF($BA17="","",IF(ActiveSrc="In-season",SUMPRODUCT((ATWR="WR")*(ATDates&gt;WinEnd-WinDays)*(ATDates&lt;=WinEnd)*IF(ISNUMBER(Attendance!$F16:$CO16),Attendance!$F16:$CO16,0)),SUMPRODUCT((PSWR="WR")*(PSDates&gt;WinEnd-WinDays)*(PSDates&lt;=WinEnd)*IF(ISNUMBER('Pre season'!$F16:$AC16),'Pre season'!$F16:$AC16,0))))</f>
        <v>0</v>
      </c>
      <c r="BE17" s="316">
        <f t="array" aca="1" ref="BE17" ca="1">IF($BA17="","",IF(ActiveSrc="In-season",SUMPRODUCT((ATWR="WR")*(ATDates&gt;WinEnd-WinDays)*(ATDates&lt;=WinEnd)*(IF(ISNUMBER(Attendance!$F16:$CO16),Attendance!$F16:$CO16,0)&gt;0)),SUMPRODUCT((PSWR="WR")*(PSDates&gt;WinEnd-WinDays)*(PSDates&lt;=WinEnd)*(IF(ISNUMBER('Pre season'!$F16:$AC16),'Pre season'!$F16:$AC16,0)&gt;0))))</f>
        <v>0</v>
      </c>
      <c r="BF17" s="317" t="str">
        <f t="shared" ca="1" si="12"/>
        <v/>
      </c>
      <c r="BG17" s="318">
        <f ca="1">IF($BA17="","",IF(N($BB17)=0,"",'Pre season'!$AM$2*($BC17/$BB17)+'Pre season'!$AM$3*(IF($BF17="",0,$BF17)/5)))</f>
        <v>0</v>
      </c>
      <c r="BH17" s="316">
        <f t="array" aca="1" ref="BH17" ca="1">IF($BA17="","",IF($BG17="","",SUMPRODUCT(($BG$6:$BG$25&lt;&gt;"")*($BG$6:$BG$25&gt;$BG17))+COUNTIF($BG$6:$BG17,$BG17)))</f>
        <v>17</v>
      </c>
      <c r="BJ17" t="str">
        <f t="shared" si="13"/>
        <v>Emma Kelly</v>
      </c>
      <c r="BK17" s="318">
        <f>IF($BJ17="","",IF(OR(N(Attendance!$GB16)&gt;0,N(Attendance!$GF16)&gt;0),IFERROR(Attendance!$GN16,""),IFERROR($AT17,"")))</f>
        <v>0</v>
      </c>
      <c r="BL17" s="319" t="str">
        <f>IF($BJ17="","",IF(OR(N(Attendance!$GB16)&gt;0,N(Attendance!$GF16)&gt;0),"In-season","Pre-season"))</f>
        <v>In-season</v>
      </c>
      <c r="BM17" s="316">
        <f t="array" ref="BM17">IF($BJ17="","",IF($BK17="","",SUMPRODUCT(($BK$6:$BK$25&lt;&gt;"")*($BK$6:$BK$25&gt;$BK17))+COUNTIF($BK$6:$BK17,$BK17)))</f>
        <v>17</v>
      </c>
    </row>
    <row r="18" spans="2:65" x14ac:dyDescent="0.45">
      <c r="B18" s="308">
        <f>IF($C18="","",Attendance!$C17)</f>
        <v>13</v>
      </c>
      <c r="C18" s="309" t="str">
        <f>IF(Attendance!$D17="","",Attendance!$D17)</f>
        <v>Roma Memon</v>
      </c>
      <c r="D18" s="310">
        <f>IF($C18="","",IFERROR(Attendance!$GC17,""))</f>
        <v>1</v>
      </c>
      <c r="E18" s="311">
        <f>IF($C18="","",IFERROR(Attendance!$GD17,""))</f>
        <v>3</v>
      </c>
      <c r="F18" s="310" t="str">
        <f>IF($C18="","",IFERROR(Attendance!$GH17,""))</f>
        <v/>
      </c>
      <c r="G18" s="311" t="str">
        <f>IF($C18="","",IFERROR(Attendance!$GK17,""))</f>
        <v/>
      </c>
      <c r="H18" s="310">
        <f>IF($C18="","",IFERROR(Attendance!$GN17,""))</f>
        <v>0.76666666666666661</v>
      </c>
      <c r="I18" s="309" t="str">
        <f>IF($C18="","",IF($AW18="","Not graded",IF(AND($AV18="Pre-season",N($AP18)&lt;'Pre season'!$AM$5),"Insufficient data",IF($AW18&gt;=3.5,"Match Ready",IF($AW18&gt;3,"Not Ready for 90 min",IF($AW18&gt;2.5,"Nearly Ready",IF($AW18&gt;2,"Improving",IF($AW18&gt;1.5,"Not Ready","Critical"))))))))</f>
        <v>Nearly Ready</v>
      </c>
      <c r="J18" s="309">
        <f t="shared" si="0"/>
        <v>0.76674666666666658</v>
      </c>
      <c r="K18" s="309">
        <f>ROWS($K$6:$K18)</f>
        <v>13</v>
      </c>
      <c r="L18" s="309" t="str">
        <f>IFERROR(INDEX($C$6:$C$25,MATCH(LARGE($J$6:$J$25,ROWS($L$6:$L18)),$J$6:$J$25,0)),"")</f>
        <v>Shauna Kavanagh</v>
      </c>
      <c r="M18" s="310">
        <f>IFERROR(INDEX($H$6:$H$25,MATCH(LARGE($J$6:$J$25,ROWS($M$6:$M18)),$J$6:$J$25,0)),"")</f>
        <v>0.65</v>
      </c>
      <c r="N18" s="309"/>
      <c r="O18" s="309" t="str">
        <f t="shared" si="1"/>
        <v>Roma Memon</v>
      </c>
      <c r="P18" s="311">
        <f t="shared" si="2"/>
        <v>3</v>
      </c>
      <c r="Q18" s="311" t="str">
        <f t="shared" si="3"/>
        <v/>
      </c>
      <c r="R18" s="309"/>
      <c r="S18" s="309"/>
      <c r="T18" s="309"/>
      <c r="U18" s="309"/>
      <c r="V18" s="309"/>
      <c r="W18" s="309"/>
      <c r="X18" s="309">
        <v>13</v>
      </c>
      <c r="Y18" s="311" t="str">
        <f ca="1">IFERROR(IF($Y$2="","",AVERAGE(OFFSET(Attendance!$A$1,$Y$2-1,5+($X18-1)*4),OFFSET(Attendance!$A$1,$Y$2-1,7+($X18-1)*4))),"")</f>
        <v/>
      </c>
      <c r="Z18" s="311" t="str">
        <f ca="1">IFERROR(IF($Y$2="","",IF(LEN(OFFSET(Attendance!$A$1,$Y$2-1,95+($X18-1)*4))=0,"",OFFSET(Attendance!$A$1,$Y$2-1,95+($X18-1)*4))),"")</f>
        <v/>
      </c>
      <c r="AA18" s="309">
        <f t="shared" si="5"/>
        <v>12</v>
      </c>
      <c r="AB18" s="309" t="str">
        <f>IFERROR(INDEX($C$6:$C$25,MATCH(ROWS($AB$6:$AB18),$AA$6:$AA$25,0)),"")</f>
        <v>Semilore Adesanya</v>
      </c>
      <c r="AC18" s="309"/>
      <c r="AD18" s="309">
        <v>13</v>
      </c>
      <c r="AE18" s="312" t="str">
        <f t="array" ref="AE18">IF(LEN(INDEX(Attendance!$CP$2:$FY$2,1,($AD18-1)*4+1))=0,"",INDEX(Attendance!$CP$2:$FY$2,1,($AD18-1)*4+1))</f>
        <v/>
      </c>
      <c r="AF18" s="309" t="str">
        <f t="array" ref="AF18">IF(LEN(INDEX(Attendance!$CP$3:$FY$3,1,($AD18-1)*4+1))=0,"",INDEX(Attendance!$CP$3:$FY$3,1,($AD18-1)*4+1))</f>
        <v/>
      </c>
      <c r="AG18" s="309" t="str">
        <f t="array" ref="AG18">IF(LEN(INDEX(Attendance!$CP$3:$FY$3,1,($AD18-1)*4+4))=0,"",INDEX(Attendance!$CP$3:$FY$3,1,($AD18-1)*4+4))</f>
        <v/>
      </c>
      <c r="AH18" s="309" t="str">
        <f t="array" ref="AH18">IF(LEN(INDEX(Attendance!$CP$26:$FY$26,1,($AD18-1)*4+1))=0,"",INDEX(Attendance!$CP$26:$FY$26,1,($AD18-1)*4+1))</f>
        <v/>
      </c>
      <c r="AI18" s="309" t="str">
        <f t="array" ref="AI18">IF(LEN(INDEX(Attendance!$CP$27:$FY$27,1,($AD18-1)*4+1))=0,"",INDEX(Attendance!$CP$27:$FY$27,1,($AD18-1)*4+1))</f>
        <v/>
      </c>
      <c r="AJ18" s="309" t="str">
        <f t="array" ref="AJ18">IF(LEN(INDEX(Attendance!$CP$28:$FY$28,1,($AD18-1)*4+1))=0,"",INDEX(Attendance!$CP$28:$FY$28,1,($AD18-1)*4+1))</f>
        <v/>
      </c>
      <c r="AO18" t="str">
        <f t="shared" si="8"/>
        <v>Roma Memon</v>
      </c>
      <c r="AP18" s="313">
        <f>IF($AO18="","",IFERROR(INDEX('Pre season'!$AE$5:$AE$24,MATCH($AO18,'Pre season'!$AD$5:$AD$24,0)),""))</f>
        <v>7</v>
      </c>
      <c r="AQ18" s="313">
        <f>IF($AO18="","",IFERROR(INDEX('Pre season'!$AF$5:$AF$24,MATCH($AO18,'Pre season'!$AD$5:$AD$24,0)),""))</f>
        <v>11</v>
      </c>
      <c r="AR18" s="314">
        <f>IF($AO18="","",IFERROR(INDEX('Pre season'!$AG$5:$AG$24,MATCH($AO18,'Pre season'!$AD$5:$AD$24,0)),""))</f>
        <v>0.63636363636363635</v>
      </c>
      <c r="AS18" s="64">
        <f>IF($AO18="","",IFERROR(INDEX('Pre season'!$AK$5:$AK$24,MATCH($AO18,'Pre season'!$AD$5:$AD$24,0)),""))</f>
        <v>3.2857142857142856</v>
      </c>
      <c r="AT18" s="314">
        <f>IF($AO18="","",IFERROR(INDEX('Pre season'!$AJ$5:$AJ$24,MATCH($AO18,'Pre season'!$AD$5:$AD$24,0)),""))</f>
        <v>0.58909090909090911</v>
      </c>
      <c r="AU18" t="str">
        <f>IF($AO18="","",IF($AS18="","No pre-season data",IF(N($AP18)&lt;'Pre season'!$AM$5,"Insufficient data",IF($AS18&gt;=3.5,"Match Ready",IF($AS18&gt;3,"Not Ready for 90 min",IF($AS18&gt;2.5,"Nearly Ready",IF($AS18&gt;2,"Improving",IF($AS18&gt;1.5,"Not Ready","Critical"))))))))</f>
        <v>Not Ready for 90 min</v>
      </c>
      <c r="AV18" t="str">
        <f t="shared" si="9"/>
        <v>In-season</v>
      </c>
      <c r="AW18" s="64">
        <f t="shared" si="10"/>
        <v>3</v>
      </c>
      <c r="AX18" s="315">
        <f t="array" ref="AX18">IF($AO18="","",IF($AT18="","",SUMPRODUCT(($AT$6:$AT$25&lt;&gt;"")*($AT$6:$AT$25&gt;$AT18))+COUNTIF($AT$6:$AT18,$AT18)))</f>
        <v>10</v>
      </c>
      <c r="BA18" t="str">
        <f t="shared" si="11"/>
        <v>Roma Memon</v>
      </c>
      <c r="BB18" s="316">
        <f t="array" aca="1" ref="BB18" ca="1">IF($BA18="","",IF(ActiveSrc="In-season",SUMPRODUCT((ATAtt="Att")*(ATDates&gt;WinEnd-WinDays)*(ATDates&lt;=WinEnd)*((Attendance!$E17:$CN17="Yes")+(Attendance!$E17:$CN17="No"))),SUMPRODUCT((PSAtt="Att")*(PSDates&gt;WinEnd-WinDays)*(PSDates&lt;=WinEnd)*(('Pre season'!$E17:$AB17="Yes")+('Pre season'!$E17:$AB17="No")))))</f>
        <v>1</v>
      </c>
      <c r="BC18" s="316">
        <f t="array" aca="1" ref="BC18" ca="1">IF($BA18="","",IF(ActiveSrc="In-season",SUMPRODUCT((ATAtt="Att")*(ATDates&gt;WinEnd-WinDays)*(ATDates&lt;=WinEnd)*(Attendance!$E17:$CN17="Yes")),SUMPRODUCT((PSAtt="Att")*(PSDates&gt;WinEnd-WinDays)*(PSDates&lt;=WinEnd)*('Pre season'!$E17:$AB17="Yes"))))</f>
        <v>1</v>
      </c>
      <c r="BD18" s="316">
        <f t="array" aca="1" ref="BD18" ca="1">IF($BA18="","",IF(ActiveSrc="In-season",SUMPRODUCT((ATWR="WR")*(ATDates&gt;WinEnd-WinDays)*(ATDates&lt;=WinEnd)*IF(ISNUMBER(Attendance!$F17:$CO17),Attendance!$F17:$CO17,0)),SUMPRODUCT((PSWR="WR")*(PSDates&gt;WinEnd-WinDays)*(PSDates&lt;=WinEnd)*IF(ISNUMBER('Pre season'!$F17:$AC17),'Pre season'!$F17:$AC17,0))))</f>
        <v>3</v>
      </c>
      <c r="BE18" s="316">
        <f t="array" aca="1" ref="BE18" ca="1">IF($BA18="","",IF(ActiveSrc="In-season",SUMPRODUCT((ATWR="WR")*(ATDates&gt;WinEnd-WinDays)*(ATDates&lt;=WinEnd)*(IF(ISNUMBER(Attendance!$F17:$CO17),Attendance!$F17:$CO17,0)&gt;0)),SUMPRODUCT((PSWR="WR")*(PSDates&gt;WinEnd-WinDays)*(PSDates&lt;=WinEnd)*(IF(ISNUMBER('Pre season'!$F17:$AC17),'Pre season'!$F17:$AC17,0)&gt;0))))</f>
        <v>1</v>
      </c>
      <c r="BF18" s="317">
        <f t="shared" ca="1" si="12"/>
        <v>3</v>
      </c>
      <c r="BG18" s="318">
        <f ca="1">IF($BA18="","",IF(N($BB18)=0,"",'Pre season'!$AM$2*($BC18/$BB18)+'Pre season'!$AM$3*(IF($BF18="",0,$BF18)/5)))</f>
        <v>0.76</v>
      </c>
      <c r="BH18" s="316">
        <f t="array" aca="1" ref="BH18" ca="1">IF($BA18="","",IF($BG18="","",SUMPRODUCT(($BG$6:$BG$25&lt;&gt;"")*($BG$6:$BG$25&gt;$BG18))+COUNTIF($BG$6:$BG18,$BG18)))</f>
        <v>9</v>
      </c>
      <c r="BJ18" t="str">
        <f t="shared" si="13"/>
        <v>Roma Memon</v>
      </c>
      <c r="BK18" s="318">
        <f>IF($BJ18="","",IF(OR(N(Attendance!$GB17)&gt;0,N(Attendance!$GF17)&gt;0),IFERROR(Attendance!$GN17,""),IFERROR($AT18,"")))</f>
        <v>0.76666666666666661</v>
      </c>
      <c r="BL18" s="319" t="str">
        <f>IF($BJ18="","",IF(OR(N(Attendance!$GB17)&gt;0,N(Attendance!$GF17)&gt;0),"In-season","Pre-season"))</f>
        <v>In-season</v>
      </c>
      <c r="BM18" s="316">
        <f t="array" ref="BM18">IF($BJ18="","",IF($BK18="","",SUMPRODUCT(($BK$6:$BK$25&lt;&gt;"")*($BK$6:$BK$25&gt;$BK18))+COUNTIF($BK$6:$BK18,$BK18)))</f>
        <v>9</v>
      </c>
    </row>
    <row r="19" spans="2:65" x14ac:dyDescent="0.45">
      <c r="B19" s="308">
        <f>IF($C19="","",Attendance!$C18)</f>
        <v>14</v>
      </c>
      <c r="C19" s="309" t="str">
        <f>IF(Attendance!$D18="","",Attendance!$D18)</f>
        <v>Emma Dromgoole</v>
      </c>
      <c r="D19" s="310">
        <f>IF($C19="","",IFERROR(Attendance!$GC18,""))</f>
        <v>1</v>
      </c>
      <c r="E19" s="311">
        <f>IF($C19="","",IFERROR(Attendance!$GD18,""))</f>
        <v>3</v>
      </c>
      <c r="F19" s="310" t="str">
        <f>IF($C19="","",IFERROR(Attendance!$GH18,""))</f>
        <v/>
      </c>
      <c r="G19" s="311" t="str">
        <f>IF($C19="","",IFERROR(Attendance!$GK18,""))</f>
        <v/>
      </c>
      <c r="H19" s="310">
        <f>IF($C19="","",IFERROR(Attendance!$GN18,""))</f>
        <v>0.76666666666666661</v>
      </c>
      <c r="I19" s="309" t="str">
        <f>IF($C19="","",IF($AW19="","Not graded",IF(AND($AV19="Pre-season",N($AP19)&lt;'Pre season'!$AM$5),"Insufficient data",IF($AW19&gt;=3.5,"Match Ready",IF($AW19&gt;3,"Not Ready for 90 min",IF($AW19&gt;2.5,"Nearly Ready",IF($AW19&gt;2,"Improving",IF($AW19&gt;1.5,"Not Ready","Critical"))))))))</f>
        <v>Nearly Ready</v>
      </c>
      <c r="J19" s="309">
        <f t="shared" si="0"/>
        <v>0.76673666666666662</v>
      </c>
      <c r="K19" s="309">
        <f>ROWS($K$6:$K19)</f>
        <v>14</v>
      </c>
      <c r="L19" s="309" t="str">
        <f>IFERROR(INDEX($C$6:$C$25,MATCH(LARGE($J$6:$J$25,ROWS($L$6:$L19)),$J$6:$J$25,0)),"")</f>
        <v>Elsie Morrison</v>
      </c>
      <c r="M19" s="310">
        <f>IFERROR(INDEX($H$6:$H$25,MATCH(LARGE($J$6:$J$25,ROWS($M$6:$M19)),$J$6:$J$25,0)),"")</f>
        <v>0.65</v>
      </c>
      <c r="N19" s="309"/>
      <c r="O19" s="309" t="str">
        <f t="shared" si="1"/>
        <v>Emma Dromgoole</v>
      </c>
      <c r="P19" s="311">
        <f t="shared" si="2"/>
        <v>3</v>
      </c>
      <c r="Q19" s="311" t="str">
        <f t="shared" si="3"/>
        <v/>
      </c>
      <c r="R19" s="309"/>
      <c r="S19" s="309"/>
      <c r="T19" s="309"/>
      <c r="U19" s="309"/>
      <c r="V19" s="309"/>
      <c r="W19" s="309"/>
      <c r="X19" s="309">
        <v>14</v>
      </c>
      <c r="Y19" s="311" t="str">
        <f ca="1">IFERROR(IF($Y$2="","",AVERAGE(OFFSET(Attendance!$A$1,$Y$2-1,5+($X19-1)*4),OFFSET(Attendance!$A$1,$Y$2-1,7+($X19-1)*4))),"")</f>
        <v/>
      </c>
      <c r="Z19" s="311" t="str">
        <f ca="1">IFERROR(IF($Y$2="","",IF(LEN(OFFSET(Attendance!$A$1,$Y$2-1,95+($X19-1)*4))=0,"",OFFSET(Attendance!$A$1,$Y$2-1,95+($X19-1)*4))),"")</f>
        <v/>
      </c>
      <c r="AA19" s="309">
        <f t="shared" si="5"/>
        <v>4</v>
      </c>
      <c r="AB19" s="309" t="str">
        <f>IFERROR(INDEX($C$6:$C$25,MATCH(ROWS($AB$6:$AB19),$AA$6:$AA$25,0)),"")</f>
        <v>Shauna Kavanagh</v>
      </c>
      <c r="AC19" s="309"/>
      <c r="AD19" s="309">
        <v>14</v>
      </c>
      <c r="AE19" s="312" t="str">
        <f t="array" ref="AE19">IF(LEN(INDEX(Attendance!$CP$2:$FY$2,1,($AD19-1)*4+1))=0,"",INDEX(Attendance!$CP$2:$FY$2,1,($AD19-1)*4+1))</f>
        <v/>
      </c>
      <c r="AF19" s="309" t="str">
        <f t="array" ref="AF19">IF(LEN(INDEX(Attendance!$CP$3:$FY$3,1,($AD19-1)*4+1))=0,"",INDEX(Attendance!$CP$3:$FY$3,1,($AD19-1)*4+1))</f>
        <v/>
      </c>
      <c r="AG19" s="309" t="str">
        <f t="array" ref="AG19">IF(LEN(INDEX(Attendance!$CP$3:$FY$3,1,($AD19-1)*4+4))=0,"",INDEX(Attendance!$CP$3:$FY$3,1,($AD19-1)*4+4))</f>
        <v/>
      </c>
      <c r="AH19" s="309" t="str">
        <f t="array" ref="AH19">IF(LEN(INDEX(Attendance!$CP$26:$FY$26,1,($AD19-1)*4+1))=0,"",INDEX(Attendance!$CP$26:$FY$26,1,($AD19-1)*4+1))</f>
        <v/>
      </c>
      <c r="AI19" s="309" t="str">
        <f t="array" ref="AI19">IF(LEN(INDEX(Attendance!$CP$27:$FY$27,1,($AD19-1)*4+1))=0,"",INDEX(Attendance!$CP$27:$FY$27,1,($AD19-1)*4+1))</f>
        <v/>
      </c>
      <c r="AJ19" s="309" t="str">
        <f t="array" ref="AJ19">IF(LEN(INDEX(Attendance!$CP$28:$FY$28,1,($AD19-1)*4+1))=0,"",INDEX(Attendance!$CP$28:$FY$28,1,($AD19-1)*4+1))</f>
        <v/>
      </c>
      <c r="AO19" t="str">
        <f t="shared" si="8"/>
        <v>Emma Dromgoole</v>
      </c>
      <c r="AP19" s="313">
        <f>IF($AO19="","",IFERROR(INDEX('Pre season'!$AE$5:$AE$24,MATCH($AO19,'Pre season'!$AD$5:$AD$24,0)),""))</f>
        <v>6</v>
      </c>
      <c r="AQ19" s="313">
        <f>IF($AO19="","",IFERROR(INDEX('Pre season'!$AF$5:$AF$24,MATCH($AO19,'Pre season'!$AD$5:$AD$24,0)),""))</f>
        <v>11</v>
      </c>
      <c r="AR19" s="314">
        <f>IF($AO19="","",IFERROR(INDEX('Pre season'!$AG$5:$AG$24,MATCH($AO19,'Pre season'!$AD$5:$AD$24,0)),""))</f>
        <v>0.54545454545454541</v>
      </c>
      <c r="AS19" s="64">
        <f>IF($AO19="","",IFERROR(INDEX('Pre season'!$AK$5:$AK$24,MATCH($AO19,'Pre season'!$AD$5:$AD$24,0)),""))</f>
        <v>3.5</v>
      </c>
      <c r="AT19" s="314">
        <f>IF($AO19="","",IFERROR(INDEX('Pre season'!$AJ$5:$AJ$24,MATCH($AO19,'Pre season'!$AD$5:$AD$24,0)),""))</f>
        <v>0.52363636363636357</v>
      </c>
      <c r="AU19" t="str">
        <f>IF($AO19="","",IF($AS19="","No pre-season data",IF(N($AP19)&lt;'Pre season'!$AM$5,"Insufficient data",IF($AS19&gt;=3.5,"Match Ready",IF($AS19&gt;3,"Not Ready for 90 min",IF($AS19&gt;2.5,"Nearly Ready",IF($AS19&gt;2,"Improving",IF($AS19&gt;1.5,"Not Ready","Critical"))))))))</f>
        <v>Match Ready</v>
      </c>
      <c r="AV19" t="str">
        <f t="shared" si="9"/>
        <v>In-season</v>
      </c>
      <c r="AW19" s="64">
        <f t="shared" si="10"/>
        <v>3</v>
      </c>
      <c r="AX19" s="315">
        <f t="array" ref="AX19">IF($AO19="","",IF($AT19="","",SUMPRODUCT(($AT$6:$AT$25&lt;&gt;"")*($AT$6:$AT$25&gt;$AT19))+COUNTIF($AT$6:$AT19,$AT19)))</f>
        <v>12</v>
      </c>
      <c r="BA19" t="str">
        <f t="shared" si="11"/>
        <v>Emma Dromgoole</v>
      </c>
      <c r="BB19" s="316">
        <f t="array" aca="1" ref="BB19" ca="1">IF($BA19="","",IF(ActiveSrc="In-season",SUMPRODUCT((ATAtt="Att")*(ATDates&gt;WinEnd-WinDays)*(ATDates&lt;=WinEnd)*((Attendance!$E18:$CN18="Yes")+(Attendance!$E18:$CN18="No"))),SUMPRODUCT((PSAtt="Att")*(PSDates&gt;WinEnd-WinDays)*(PSDates&lt;=WinEnd)*(('Pre season'!$E18:$AB18="Yes")+('Pre season'!$E18:$AB18="No")))))</f>
        <v>1</v>
      </c>
      <c r="BC19" s="316">
        <f t="array" aca="1" ref="BC19" ca="1">IF($BA19="","",IF(ActiveSrc="In-season",SUMPRODUCT((ATAtt="Att")*(ATDates&gt;WinEnd-WinDays)*(ATDates&lt;=WinEnd)*(Attendance!$E18:$CN18="Yes")),SUMPRODUCT((PSAtt="Att")*(PSDates&gt;WinEnd-WinDays)*(PSDates&lt;=WinEnd)*('Pre season'!$E18:$AB18="Yes"))))</f>
        <v>1</v>
      </c>
      <c r="BD19" s="316">
        <f t="array" aca="1" ref="BD19" ca="1">IF($BA19="","",IF(ActiveSrc="In-season",SUMPRODUCT((ATWR="WR")*(ATDates&gt;WinEnd-WinDays)*(ATDates&lt;=WinEnd)*IF(ISNUMBER(Attendance!$F18:$CO18),Attendance!$F18:$CO18,0)),SUMPRODUCT((PSWR="WR")*(PSDates&gt;WinEnd-WinDays)*(PSDates&lt;=WinEnd)*IF(ISNUMBER('Pre season'!$F18:$AC18),'Pre season'!$F18:$AC18,0))))</f>
        <v>3</v>
      </c>
      <c r="BE19" s="316">
        <f t="array" aca="1" ref="BE19" ca="1">IF($BA19="","",IF(ActiveSrc="In-season",SUMPRODUCT((ATWR="WR")*(ATDates&gt;WinEnd-WinDays)*(ATDates&lt;=WinEnd)*(IF(ISNUMBER(Attendance!$F18:$CO18),Attendance!$F18:$CO18,0)&gt;0)),SUMPRODUCT((PSWR="WR")*(PSDates&gt;WinEnd-WinDays)*(PSDates&lt;=WinEnd)*(IF(ISNUMBER('Pre season'!$F18:$AC18),'Pre season'!$F18:$AC18,0)&gt;0))))</f>
        <v>1</v>
      </c>
      <c r="BF19" s="317">
        <f t="shared" ca="1" si="12"/>
        <v>3</v>
      </c>
      <c r="BG19" s="318">
        <f ca="1">IF($BA19="","",IF(N($BB19)=0,"",'Pre season'!$AM$2*($BC19/$BB19)+'Pre season'!$AM$3*(IF($BF19="",0,$BF19)/5)))</f>
        <v>0.76</v>
      </c>
      <c r="BH19" s="316">
        <f t="array" aca="1" ref="BH19" ca="1">IF($BA19="","",IF($BG19="","",SUMPRODUCT(($BG$6:$BG$25&lt;&gt;"")*($BG$6:$BG$25&gt;$BG19))+COUNTIF($BG$6:$BG19,$BG19)))</f>
        <v>10</v>
      </c>
      <c r="BJ19" t="str">
        <f t="shared" si="13"/>
        <v>Emma Dromgoole</v>
      </c>
      <c r="BK19" s="318">
        <f>IF($BJ19="","",IF(OR(N(Attendance!$GB18)&gt;0,N(Attendance!$GF18)&gt;0),IFERROR(Attendance!$GN18,""),IFERROR($AT19,"")))</f>
        <v>0.76666666666666661</v>
      </c>
      <c r="BL19" s="319" t="str">
        <f>IF($BJ19="","",IF(OR(N(Attendance!$GB18)&gt;0,N(Attendance!$GF18)&gt;0),"In-season","Pre-season"))</f>
        <v>In-season</v>
      </c>
      <c r="BM19" s="316">
        <f t="array" ref="BM19">IF($BJ19="","",IF($BK19="","",SUMPRODUCT(($BK$6:$BK$25&lt;&gt;"")*($BK$6:$BK$25&gt;$BK19))+COUNTIF($BK$6:$BK19,$BK19)))</f>
        <v>10</v>
      </c>
    </row>
    <row r="20" spans="2:65" x14ac:dyDescent="0.45">
      <c r="B20" s="308">
        <f>IF($C20="","",Attendance!$C19)</f>
        <v>15</v>
      </c>
      <c r="C20" s="309" t="str">
        <f>IF(Attendance!$D19="","",Attendance!$D19)</f>
        <v>Elsie Morrison</v>
      </c>
      <c r="D20" s="310">
        <f>IF($C20="","",IFERROR(Attendance!$GC19,""))</f>
        <v>1</v>
      </c>
      <c r="E20" s="311">
        <f>IF($C20="","",IFERROR(Attendance!$GD19,""))</f>
        <v>2</v>
      </c>
      <c r="F20" s="310" t="str">
        <f>IF($C20="","",IFERROR(Attendance!$GH19,""))</f>
        <v/>
      </c>
      <c r="G20" s="311" t="str">
        <f>IF($C20="","",IFERROR(Attendance!$GK19,""))</f>
        <v/>
      </c>
      <c r="H20" s="310">
        <f>IF($C20="","",IFERROR(Attendance!$GN19,""))</f>
        <v>0.65</v>
      </c>
      <c r="I20" s="309" t="str">
        <f>IF($C20="","",IF($AW20="","Not graded",IF(AND($AV20="Pre-season",N($AP20)&lt;'Pre season'!$AM$5),"Insufficient data",IF($AW20&gt;=3.5,"Match Ready",IF($AW20&gt;3,"Not Ready for 90 min",IF($AW20&gt;2.5,"Nearly Ready",IF($AW20&gt;2,"Improving",IF($AW20&gt;1.5,"Not Ready","Critical"))))))))</f>
        <v>Not Ready</v>
      </c>
      <c r="J20" s="309">
        <f t="shared" si="0"/>
        <v>0.65005999999999997</v>
      </c>
      <c r="K20" s="309">
        <f>ROWS($K$6:$K20)</f>
        <v>15</v>
      </c>
      <c r="L20" s="309" t="str">
        <f>IFERROR(INDEX($C$6:$C$25,MATCH(LARGE($J$6:$J$25,ROWS($L$6:$L20)),$J$6:$J$25,0)),"")</f>
        <v>Zara Power</v>
      </c>
      <c r="M20" s="310">
        <f>IFERROR(INDEX($H$6:$H$25,MATCH(LARGE($J$6:$J$25,ROWS($M$6:$M20)),$J$6:$J$25,0)),"")</f>
        <v>0</v>
      </c>
      <c r="N20" s="309"/>
      <c r="O20" s="309" t="str">
        <f t="shared" si="1"/>
        <v>Elsie Morrison</v>
      </c>
      <c r="P20" s="311">
        <f t="shared" si="2"/>
        <v>2</v>
      </c>
      <c r="Q20" s="311" t="str">
        <f t="shared" si="3"/>
        <v/>
      </c>
      <c r="R20" s="309"/>
      <c r="S20" s="309"/>
      <c r="T20" s="309"/>
      <c r="U20" s="309"/>
      <c r="V20" s="309"/>
      <c r="W20" s="309"/>
      <c r="X20" s="309">
        <v>15</v>
      </c>
      <c r="Y20" s="311" t="str">
        <f ca="1">IFERROR(IF($Y$2="","",AVERAGE(OFFSET(Attendance!$A$1,$Y$2-1,5+($X20-1)*4),OFFSET(Attendance!$A$1,$Y$2-1,7+($X20-1)*4))),"")</f>
        <v/>
      </c>
      <c r="Z20" s="311" t="str">
        <f ca="1">IFERROR(IF($Y$2="","",IF(LEN(OFFSET(Attendance!$A$1,$Y$2-1,95+($X20-1)*4))=0,"",OFFSET(Attendance!$A$1,$Y$2-1,95+($X20-1)*4))),"")</f>
        <v/>
      </c>
      <c r="AA20" s="309">
        <f t="shared" si="5"/>
        <v>3</v>
      </c>
      <c r="AB20" s="309" t="str">
        <f>IFERROR(INDEX($C$6:$C$25,MATCH(ROWS($AB$6:$AB20),$AA$6:$AA$25,0)),"")</f>
        <v>Stella McEvoy</v>
      </c>
      <c r="AC20" s="309"/>
      <c r="AD20" s="309">
        <v>15</v>
      </c>
      <c r="AE20" s="312" t="str">
        <f t="array" ref="AE20">IF(LEN(INDEX(Attendance!$CP$2:$FY$2,1,($AD20-1)*4+1))=0,"",INDEX(Attendance!$CP$2:$FY$2,1,($AD20-1)*4+1))</f>
        <v/>
      </c>
      <c r="AF20" s="309" t="str">
        <f t="array" ref="AF20">IF(LEN(INDEX(Attendance!$CP$3:$FY$3,1,($AD20-1)*4+1))=0,"",INDEX(Attendance!$CP$3:$FY$3,1,($AD20-1)*4+1))</f>
        <v/>
      </c>
      <c r="AG20" s="309" t="str">
        <f t="array" ref="AG20">IF(LEN(INDEX(Attendance!$CP$3:$FY$3,1,($AD20-1)*4+4))=0,"",INDEX(Attendance!$CP$3:$FY$3,1,($AD20-1)*4+4))</f>
        <v/>
      </c>
      <c r="AH20" s="309" t="str">
        <f t="array" ref="AH20">IF(LEN(INDEX(Attendance!$CP$26:$FY$26,1,($AD20-1)*4+1))=0,"",INDEX(Attendance!$CP$26:$FY$26,1,($AD20-1)*4+1))</f>
        <v/>
      </c>
      <c r="AI20" s="309" t="str">
        <f t="array" ref="AI20">IF(LEN(INDEX(Attendance!$CP$27:$FY$27,1,($AD20-1)*4+1))=0,"",INDEX(Attendance!$CP$27:$FY$27,1,($AD20-1)*4+1))</f>
        <v/>
      </c>
      <c r="AJ20" s="309" t="str">
        <f t="array" ref="AJ20">IF(LEN(INDEX(Attendance!$CP$28:$FY$28,1,($AD20-1)*4+1))=0,"",INDEX(Attendance!$CP$28:$FY$28,1,($AD20-1)*4+1))</f>
        <v/>
      </c>
      <c r="AO20" t="str">
        <f t="shared" si="8"/>
        <v>Elsie Morrison</v>
      </c>
      <c r="AP20" s="313">
        <f>IF($AO20="","",IFERROR(INDEX('Pre season'!$AE$5:$AE$24,MATCH($AO20,'Pre season'!$AD$5:$AD$24,0)),""))</f>
        <v>9</v>
      </c>
      <c r="AQ20" s="313">
        <f>IF($AO20="","",IFERROR(INDEX('Pre season'!$AF$5:$AF$24,MATCH($AO20,'Pre season'!$AD$5:$AD$24,0)),""))</f>
        <v>11</v>
      </c>
      <c r="AR20" s="314">
        <f>IF($AO20="","",IFERROR(INDEX('Pre season'!$AG$5:$AG$24,MATCH($AO20,'Pre season'!$AD$5:$AD$24,0)),""))</f>
        <v>0.81818181818181823</v>
      </c>
      <c r="AS20" s="64">
        <f>IF($AO20="","",IFERROR(INDEX('Pre season'!$AK$5:$AK$24,MATCH($AO20,'Pre season'!$AD$5:$AD$24,0)),""))</f>
        <v>3.2222222222222223</v>
      </c>
      <c r="AT20" s="314">
        <f>IF($AO20="","",IFERROR(INDEX('Pre season'!$AJ$5:$AJ$24,MATCH($AO20,'Pre season'!$AD$5:$AD$24,0)),""))</f>
        <v>0.71393939393939398</v>
      </c>
      <c r="AU20" t="str">
        <f>IF($AO20="","",IF($AS20="","No pre-season data",IF(N($AP20)&lt;'Pre season'!$AM$5,"Insufficient data",IF($AS20&gt;=3.5,"Match Ready",IF($AS20&gt;3,"Not Ready for 90 min",IF($AS20&gt;2.5,"Nearly Ready",IF($AS20&gt;2,"Improving",IF($AS20&gt;1.5,"Not Ready","Critical"))))))))</f>
        <v>Not Ready for 90 min</v>
      </c>
      <c r="AV20" t="str">
        <f t="shared" si="9"/>
        <v>In-season</v>
      </c>
      <c r="AW20" s="64">
        <f t="shared" si="10"/>
        <v>2</v>
      </c>
      <c r="AX20" s="315">
        <f t="array" ref="AX20">IF($AO20="","",IF($AT20="","",SUMPRODUCT(($AT$6:$AT$25&lt;&gt;"")*($AT$6:$AT$25&gt;$AT20))+COUNTIF($AT$6:$AT20,$AT20)))</f>
        <v>3</v>
      </c>
      <c r="BA20" t="str">
        <f t="shared" si="11"/>
        <v>Elsie Morrison</v>
      </c>
      <c r="BB20" s="316">
        <f t="array" aca="1" ref="BB20" ca="1">IF($BA20="","",IF(ActiveSrc="In-season",SUMPRODUCT((ATAtt="Att")*(ATDates&gt;WinEnd-WinDays)*(ATDates&lt;=WinEnd)*((Attendance!$E19:$CN19="Yes")+(Attendance!$E19:$CN19="No"))),SUMPRODUCT((PSAtt="Att")*(PSDates&gt;WinEnd-WinDays)*(PSDates&lt;=WinEnd)*(('Pre season'!$E19:$AB19="Yes")+('Pre season'!$E19:$AB19="No")))))</f>
        <v>1</v>
      </c>
      <c r="BC20" s="316">
        <f t="array" aca="1" ref="BC20" ca="1">IF($BA20="","",IF(ActiveSrc="In-season",SUMPRODUCT((ATAtt="Att")*(ATDates&gt;WinEnd-WinDays)*(ATDates&lt;=WinEnd)*(Attendance!$E19:$CN19="Yes")),SUMPRODUCT((PSAtt="Att")*(PSDates&gt;WinEnd-WinDays)*(PSDates&lt;=WinEnd)*('Pre season'!$E19:$AB19="Yes"))))</f>
        <v>1</v>
      </c>
      <c r="BD20" s="316">
        <f t="array" aca="1" ref="BD20" ca="1">IF($BA20="","",IF(ActiveSrc="In-season",SUMPRODUCT((ATWR="WR")*(ATDates&gt;WinEnd-WinDays)*(ATDates&lt;=WinEnd)*IF(ISNUMBER(Attendance!$F19:$CO19),Attendance!$F19:$CO19,0)),SUMPRODUCT((PSWR="WR")*(PSDates&gt;WinEnd-WinDays)*(PSDates&lt;=WinEnd)*IF(ISNUMBER('Pre season'!$F19:$AC19),'Pre season'!$F19:$AC19,0))))</f>
        <v>2</v>
      </c>
      <c r="BE20" s="316">
        <f t="array" aca="1" ref="BE20" ca="1">IF($BA20="","",IF(ActiveSrc="In-season",SUMPRODUCT((ATWR="WR")*(ATDates&gt;WinEnd-WinDays)*(ATDates&lt;=WinEnd)*(IF(ISNUMBER(Attendance!$F19:$CO19),Attendance!$F19:$CO19,0)&gt;0)),SUMPRODUCT((PSWR="WR")*(PSDates&gt;WinEnd-WinDays)*(PSDates&lt;=WinEnd)*(IF(ISNUMBER('Pre season'!$F19:$AC19),'Pre season'!$F19:$AC19,0)&gt;0))))</f>
        <v>1</v>
      </c>
      <c r="BF20" s="317">
        <f t="shared" ca="1" si="12"/>
        <v>2</v>
      </c>
      <c r="BG20" s="318">
        <f ca="1">IF($BA20="","",IF(N($BB20)=0,"",'Pre season'!$AM$2*($BC20/$BB20)+'Pre season'!$AM$3*(IF($BF20="",0,$BF20)/5)))</f>
        <v>0.64</v>
      </c>
      <c r="BH20" s="316">
        <f t="array" aca="1" ref="BH20" ca="1">IF($BA20="","",IF($BG20="","",SUMPRODUCT(($BG$6:$BG$25&lt;&gt;"")*($BG$6:$BG$25&gt;$BG20))+COUNTIF($BG$6:$BG20,$BG20)))</f>
        <v>14</v>
      </c>
      <c r="BJ20" t="str">
        <f t="shared" si="13"/>
        <v>Elsie Morrison</v>
      </c>
      <c r="BK20" s="318">
        <f>IF($BJ20="","",IF(OR(N(Attendance!$GB19)&gt;0,N(Attendance!$GF19)&gt;0),IFERROR(Attendance!$GN19,""),IFERROR($AT20,"")))</f>
        <v>0.65</v>
      </c>
      <c r="BL20" s="319" t="str">
        <f>IF($BJ20="","",IF(OR(N(Attendance!$GB19)&gt;0,N(Attendance!$GF19)&gt;0),"In-season","Pre-season"))</f>
        <v>In-season</v>
      </c>
      <c r="BM20" s="316">
        <f t="array" ref="BM20">IF($BJ20="","",IF($BK20="","",SUMPRODUCT(($BK$6:$BK$25&lt;&gt;"")*($BK$6:$BK$25&gt;$BK20))+COUNTIF($BK$6:$BK20,$BK20)))</f>
        <v>14</v>
      </c>
    </row>
    <row r="21" spans="2:65" x14ac:dyDescent="0.45">
      <c r="B21" s="308">
        <f>IF($C21="","",Attendance!$C20)</f>
        <v>16</v>
      </c>
      <c r="C21" s="309" t="str">
        <f>IF(Attendance!$D20="","",Attendance!$D20)</f>
        <v>Zara Freeman</v>
      </c>
      <c r="D21" s="310">
        <f>IF($C21="","",IFERROR(Attendance!$GC20,""))</f>
        <v>0</v>
      </c>
      <c r="E21" s="311" t="str">
        <f>IF($C21="","",IFERROR(Attendance!$GD20,""))</f>
        <v/>
      </c>
      <c r="F21" s="310" t="str">
        <f>IF($C21="","",IFERROR(Attendance!$GH20,""))</f>
        <v/>
      </c>
      <c r="G21" s="311" t="str">
        <f>IF($C21="","",IFERROR(Attendance!$GK20,""))</f>
        <v/>
      </c>
      <c r="H21" s="310">
        <f>IF($C21="","",IFERROR(Attendance!$GN20,""))</f>
        <v>0</v>
      </c>
      <c r="I21" s="309" t="str">
        <f>IF($C21="","",IF($AW21="","Not graded",IF(AND($AV21="Pre-season",N($AP21)&lt;'Pre season'!$AM$5),"Insufficient data",IF($AW21&gt;=3.5,"Match Ready",IF($AW21&gt;3,"Not Ready for 90 min",IF($AW21&gt;2.5,"Nearly Ready",IF($AW21&gt;2,"Improving",IF($AW21&gt;1.5,"Not Ready","Critical"))))))))</f>
        <v>Insufficient data</v>
      </c>
      <c r="J21" s="309">
        <f t="shared" si="0"/>
        <v>5.0000000000000002E-5</v>
      </c>
      <c r="K21" s="309">
        <f>ROWS($K$6:$K21)</f>
        <v>16</v>
      </c>
      <c r="L21" s="309" t="str">
        <f>IFERROR(INDEX($C$6:$C$25,MATCH(LARGE($J$6:$J$25,ROWS($L$6:$L21)),$J$6:$J$25,0)),"")</f>
        <v>Heidi Cerubini Dunne</v>
      </c>
      <c r="M21" s="310">
        <f>IFERROR(INDEX($H$6:$H$25,MATCH(LARGE($J$6:$J$25,ROWS($M$6:$M21)),$J$6:$J$25,0)),"")</f>
        <v>0</v>
      </c>
      <c r="N21" s="309"/>
      <c r="O21" s="309" t="str">
        <f t="shared" si="1"/>
        <v>Zara Freeman</v>
      </c>
      <c r="P21" s="311" t="str">
        <f t="shared" si="2"/>
        <v/>
      </c>
      <c r="Q21" s="311" t="str">
        <f t="shared" si="3"/>
        <v/>
      </c>
      <c r="R21" s="309"/>
      <c r="S21" s="309"/>
      <c r="T21" s="309"/>
      <c r="U21" s="309"/>
      <c r="V21" s="309"/>
      <c r="W21" s="309"/>
      <c r="X21" s="309">
        <v>16</v>
      </c>
      <c r="Y21" s="311" t="str">
        <f ca="1">IFERROR(IF($Y$2="","",AVERAGE(OFFSET(Attendance!$A$1,$Y$2-1,5+($X21-1)*4),OFFSET(Attendance!$A$1,$Y$2-1,7+($X21-1)*4))),"")</f>
        <v/>
      </c>
      <c r="Z21" s="311" t="str">
        <f ca="1">IFERROR(IF($Y$2="","",IF(LEN(OFFSET(Attendance!$A$1,$Y$2-1,95+($X21-1)*4))=0,"",OFFSET(Attendance!$A$1,$Y$2-1,95+($X21-1)*4))),"")</f>
        <v/>
      </c>
      <c r="AA21" s="309">
        <f t="shared" si="5"/>
        <v>17</v>
      </c>
      <c r="AB21" s="309" t="str">
        <f>IFERROR(INDEX($C$6:$C$25,MATCH(ROWS($AB$6:$AB21),$AA$6:$AA$25,0)),"")</f>
        <v>Tara Brannigan</v>
      </c>
      <c r="AC21" s="309"/>
      <c r="AD21" s="309">
        <v>16</v>
      </c>
      <c r="AE21" s="312" t="str">
        <f t="array" ref="AE21">IF(LEN(INDEX(Attendance!$CP$2:$FY$2,1,($AD21-1)*4+1))=0,"",INDEX(Attendance!$CP$2:$FY$2,1,($AD21-1)*4+1))</f>
        <v/>
      </c>
      <c r="AF21" s="309" t="str">
        <f t="array" ref="AF21">IF(LEN(INDEX(Attendance!$CP$3:$FY$3,1,($AD21-1)*4+1))=0,"",INDEX(Attendance!$CP$3:$FY$3,1,($AD21-1)*4+1))</f>
        <v/>
      </c>
      <c r="AG21" s="309" t="str">
        <f t="array" ref="AG21">IF(LEN(INDEX(Attendance!$CP$3:$FY$3,1,($AD21-1)*4+4))=0,"",INDEX(Attendance!$CP$3:$FY$3,1,($AD21-1)*4+4))</f>
        <v/>
      </c>
      <c r="AH21" s="309" t="str">
        <f t="array" ref="AH21">IF(LEN(INDEX(Attendance!$CP$26:$FY$26,1,($AD21-1)*4+1))=0,"",INDEX(Attendance!$CP$26:$FY$26,1,($AD21-1)*4+1))</f>
        <v/>
      </c>
      <c r="AI21" s="309" t="str">
        <f t="array" ref="AI21">IF(LEN(INDEX(Attendance!$CP$27:$FY$27,1,($AD21-1)*4+1))=0,"",INDEX(Attendance!$CP$27:$FY$27,1,($AD21-1)*4+1))</f>
        <v/>
      </c>
      <c r="AJ21" s="309" t="str">
        <f t="array" ref="AJ21">IF(LEN(INDEX(Attendance!$CP$28:$FY$28,1,($AD21-1)*4+1))=0,"",INDEX(Attendance!$CP$28:$FY$28,1,($AD21-1)*4+1))</f>
        <v/>
      </c>
      <c r="AO21" t="str">
        <f t="shared" si="8"/>
        <v>Zara Freeman</v>
      </c>
      <c r="AP21" s="313">
        <f>IF($AO21="","",IFERROR(INDEX('Pre season'!$AE$5:$AE$24,MATCH($AO21,'Pre season'!$AD$5:$AD$24,0)),""))</f>
        <v>3</v>
      </c>
      <c r="AQ21" s="313">
        <f>IF($AO21="","",IFERROR(INDEX('Pre season'!$AF$5:$AF$24,MATCH($AO21,'Pre season'!$AD$5:$AD$24,0)),""))</f>
        <v>11</v>
      </c>
      <c r="AR21" s="314">
        <f>IF($AO21="","",IFERROR(INDEX('Pre season'!$AG$5:$AG$24,MATCH($AO21,'Pre season'!$AD$5:$AD$24,0)),""))</f>
        <v>0.27272727272727271</v>
      </c>
      <c r="AS21" s="64">
        <f>IF($AO21="","",IFERROR(INDEX('Pre season'!$AK$5:$AK$24,MATCH($AO21,'Pre season'!$AD$5:$AD$24,0)),""))</f>
        <v>3.3333333333333335</v>
      </c>
      <c r="AT21" s="314">
        <f>IF($AO21="","",IFERROR(INDEX('Pre season'!$AJ$5:$AJ$24,MATCH($AO21,'Pre season'!$AD$5:$AD$24,0)),""))</f>
        <v>0.25454545454545452</v>
      </c>
      <c r="AU21" t="str">
        <f>IF($AO21="","",IF($AS21="","No pre-season data",IF(N($AP21)&lt;'Pre season'!$AM$5,"Insufficient data",IF($AS21&gt;=3.5,"Match Ready",IF($AS21&gt;3,"Not Ready for 90 min",IF($AS21&gt;2.5,"Nearly Ready",IF($AS21&gt;2,"Improving",IF($AS21&gt;1.5,"Not Ready","Critical"))))))))</f>
        <v>Insufficient data</v>
      </c>
      <c r="AV21" t="str">
        <f t="shared" si="9"/>
        <v>Pre-season</v>
      </c>
      <c r="AW21" s="64">
        <f t="shared" si="10"/>
        <v>3.3333333333333335</v>
      </c>
      <c r="AX21" s="315">
        <f t="array" ref="AX21">IF($AO21="","",IF($AT21="","",SUMPRODUCT(($AT$6:$AT$25&lt;&gt;"")*($AT$6:$AT$25&gt;$AT21))+COUNTIF($AT$6:$AT21,$AT21)))</f>
        <v>14</v>
      </c>
      <c r="BA21" t="str">
        <f t="shared" si="11"/>
        <v>Zara Freeman</v>
      </c>
      <c r="BB21" s="316">
        <f t="array" aca="1" ref="BB21" ca="1">IF($BA21="","",IF(ActiveSrc="In-season",SUMPRODUCT((ATAtt="Att")*(ATDates&gt;WinEnd-WinDays)*(ATDates&lt;=WinEnd)*((Attendance!$E20:$CN20="Yes")+(Attendance!$E20:$CN20="No"))),SUMPRODUCT((PSAtt="Att")*(PSDates&gt;WinEnd-WinDays)*(PSDates&lt;=WinEnd)*(('Pre season'!$E20:$AB20="Yes")+('Pre season'!$E20:$AB20="No")))))</f>
        <v>1</v>
      </c>
      <c r="BC21" s="316">
        <f t="array" aca="1" ref="BC21" ca="1">IF($BA21="","",IF(ActiveSrc="In-season",SUMPRODUCT((ATAtt="Att")*(ATDates&gt;WinEnd-WinDays)*(ATDates&lt;=WinEnd)*(Attendance!$E20:$CN20="Yes")),SUMPRODUCT((PSAtt="Att")*(PSDates&gt;WinEnd-WinDays)*(PSDates&lt;=WinEnd)*('Pre season'!$E20:$AB20="Yes"))))</f>
        <v>0</v>
      </c>
      <c r="BD21" s="316">
        <f t="array" aca="1" ref="BD21" ca="1">IF($BA21="","",IF(ActiveSrc="In-season",SUMPRODUCT((ATWR="WR")*(ATDates&gt;WinEnd-WinDays)*(ATDates&lt;=WinEnd)*IF(ISNUMBER(Attendance!$F20:$CO20),Attendance!$F20:$CO20,0)),SUMPRODUCT((PSWR="WR")*(PSDates&gt;WinEnd-WinDays)*(PSDates&lt;=WinEnd)*IF(ISNUMBER('Pre season'!$F20:$AC20),'Pre season'!$F20:$AC20,0))))</f>
        <v>0</v>
      </c>
      <c r="BE21" s="316">
        <f t="array" aca="1" ref="BE21" ca="1">IF($BA21="","",IF(ActiveSrc="In-season",SUMPRODUCT((ATWR="WR")*(ATDates&gt;WinEnd-WinDays)*(ATDates&lt;=WinEnd)*(IF(ISNUMBER(Attendance!$F20:$CO20),Attendance!$F20:$CO20,0)&gt;0)),SUMPRODUCT((PSWR="WR")*(PSDates&gt;WinEnd-WinDays)*(PSDates&lt;=WinEnd)*(IF(ISNUMBER('Pre season'!$F20:$AC20),'Pre season'!$F20:$AC20,0)&gt;0))))</f>
        <v>0</v>
      </c>
      <c r="BF21" s="317" t="str">
        <f t="shared" ca="1" si="12"/>
        <v/>
      </c>
      <c r="BG21" s="318">
        <f ca="1">IF($BA21="","",IF(N($BB21)=0,"",'Pre season'!$AM$2*($BC21/$BB21)+'Pre season'!$AM$3*(IF($BF21="",0,$BF21)/5)))</f>
        <v>0</v>
      </c>
      <c r="BH21" s="316">
        <f t="array" aca="1" ref="BH21" ca="1">IF($BA21="","",IF($BG21="","",SUMPRODUCT(($BG$6:$BG$25&lt;&gt;"")*($BG$6:$BG$25&gt;$BG21))+COUNTIF($BG$6:$BG21,$BG21)))</f>
        <v>18</v>
      </c>
      <c r="BJ21" t="str">
        <f t="shared" si="13"/>
        <v>Zara Freeman</v>
      </c>
      <c r="BK21" s="318">
        <f>IF($BJ21="","",IF(OR(N(Attendance!$GB20)&gt;0,N(Attendance!$GF20)&gt;0),IFERROR(Attendance!$GN20,""),IFERROR($AT21,"")))</f>
        <v>0</v>
      </c>
      <c r="BL21" s="319" t="str">
        <f>IF($BJ21="","",IF(OR(N(Attendance!$GB20)&gt;0,N(Attendance!$GF20)&gt;0),"In-season","Pre-season"))</f>
        <v>In-season</v>
      </c>
      <c r="BM21" s="316">
        <f t="array" ref="BM21">IF($BJ21="","",IF($BK21="","",SUMPRODUCT(($BK$6:$BK$25&lt;&gt;"")*($BK$6:$BK$25&gt;$BK21))+COUNTIF($BK$6:$BK21,$BK21)))</f>
        <v>18</v>
      </c>
    </row>
    <row r="22" spans="2:65" x14ac:dyDescent="0.45">
      <c r="B22" s="308">
        <f>IF($C22="","",Attendance!$C21)</f>
        <v>17</v>
      </c>
      <c r="C22" s="309" t="str">
        <f>IF(Attendance!$D21="","",Attendance!$D21)</f>
        <v>Mariana</v>
      </c>
      <c r="D22" s="310">
        <f>IF($C22="","",IFERROR(Attendance!$GC21,""))</f>
        <v>1</v>
      </c>
      <c r="E22" s="311">
        <f>IF($C22="","",IFERROR(Attendance!$GD21,""))</f>
        <v>3</v>
      </c>
      <c r="F22" s="310" t="str">
        <f>IF($C22="","",IFERROR(Attendance!$GH21,""))</f>
        <v/>
      </c>
      <c r="G22" s="311" t="str">
        <f>IF($C22="","",IFERROR(Attendance!$GK21,""))</f>
        <v/>
      </c>
      <c r="H22" s="310">
        <f>IF($C22="","",IFERROR(Attendance!$GN21,""))</f>
        <v>0.76666666666666661</v>
      </c>
      <c r="I22" s="309" t="str">
        <f>IF($C22="","",IF($AW22="","Not graded",IF(AND($AV22="Pre-season",N($AP22)&lt;'Pre season'!$AM$5),"Insufficient data",IF($AW22&gt;=3.5,"Match Ready",IF($AW22&gt;3,"Not Ready for 90 min",IF($AW22&gt;2.5,"Nearly Ready",IF($AW22&gt;2,"Improving",IF($AW22&gt;1.5,"Not Ready","Critical"))))))))</f>
        <v>Nearly Ready</v>
      </c>
      <c r="J22" s="309">
        <f t="shared" si="0"/>
        <v>0.76670666666666665</v>
      </c>
      <c r="K22" s="309">
        <f>ROWS($K$6:$K22)</f>
        <v>17</v>
      </c>
      <c r="L22" s="309" t="str">
        <f>IFERROR(INDEX($C$6:$C$25,MATCH(LARGE($J$6:$J$25,ROWS($L$6:$L22)),$J$6:$J$25,0)),"")</f>
        <v>Emma Kelly</v>
      </c>
      <c r="M22" s="310">
        <f>IFERROR(INDEX($H$6:$H$25,MATCH(LARGE($J$6:$J$25,ROWS($M$6:$M22)),$J$6:$J$25,0)),"")</f>
        <v>0</v>
      </c>
      <c r="N22" s="309"/>
      <c r="O22" s="309" t="str">
        <f t="shared" si="1"/>
        <v>Mariana</v>
      </c>
      <c r="P22" s="311">
        <f t="shared" si="2"/>
        <v>3</v>
      </c>
      <c r="Q22" s="311" t="str">
        <f t="shared" si="3"/>
        <v/>
      </c>
      <c r="R22" s="309"/>
      <c r="S22" s="309"/>
      <c r="T22" s="309"/>
      <c r="U22" s="309"/>
      <c r="V22" s="309"/>
      <c r="W22" s="309"/>
      <c r="X22" s="309">
        <v>17</v>
      </c>
      <c r="Y22" s="311" t="str">
        <f ca="1">IFERROR(IF($Y$2="","",AVERAGE(OFFSET(Attendance!$A$1,$Y$2-1,5+($X22-1)*4),OFFSET(Attendance!$A$1,$Y$2-1,7+($X22-1)*4))),"")</f>
        <v/>
      </c>
      <c r="Z22" s="311" t="str">
        <f ca="1">IFERROR(IF($Y$2="","",IF(LEN(OFFSET(Attendance!$A$1,$Y$2-1,95+($X22-1)*4))=0,"",OFFSET(Attendance!$A$1,$Y$2-1,95+($X22-1)*4))),"")</f>
        <v/>
      </c>
      <c r="AA22" s="309">
        <f t="shared" si="5"/>
        <v>8</v>
      </c>
      <c r="AB22" s="309" t="str">
        <f>IFERROR(INDEX($C$6:$C$25,MATCH(ROWS($AB$6:$AB22),$AA$6:$AA$25,0)),"")</f>
        <v>Zara Freeman</v>
      </c>
      <c r="AC22" s="309"/>
      <c r="AD22" s="309">
        <v>17</v>
      </c>
      <c r="AE22" s="312" t="str">
        <f t="array" ref="AE22">IF(LEN(INDEX(Attendance!$CP$2:$FY$2,1,($AD22-1)*4+1))=0,"",INDEX(Attendance!$CP$2:$FY$2,1,($AD22-1)*4+1))</f>
        <v/>
      </c>
      <c r="AF22" s="309" t="str">
        <f t="array" ref="AF22">IF(LEN(INDEX(Attendance!$CP$3:$FY$3,1,($AD22-1)*4+1))=0,"",INDEX(Attendance!$CP$3:$FY$3,1,($AD22-1)*4+1))</f>
        <v/>
      </c>
      <c r="AG22" s="309" t="str">
        <f t="array" ref="AG22">IF(LEN(INDEX(Attendance!$CP$3:$FY$3,1,($AD22-1)*4+4))=0,"",INDEX(Attendance!$CP$3:$FY$3,1,($AD22-1)*4+4))</f>
        <v/>
      </c>
      <c r="AH22" s="309" t="str">
        <f t="array" ref="AH22">IF(LEN(INDEX(Attendance!$CP$26:$FY$26,1,($AD22-1)*4+1))=0,"",INDEX(Attendance!$CP$26:$FY$26,1,($AD22-1)*4+1))</f>
        <v/>
      </c>
      <c r="AI22" s="309" t="str">
        <f t="array" ref="AI22">IF(LEN(INDEX(Attendance!$CP$27:$FY$27,1,($AD22-1)*4+1))=0,"",INDEX(Attendance!$CP$27:$FY$27,1,($AD22-1)*4+1))</f>
        <v/>
      </c>
      <c r="AJ22" s="309" t="str">
        <f t="array" ref="AJ22">IF(LEN(INDEX(Attendance!$CP$28:$FY$28,1,($AD22-1)*4+1))=0,"",INDEX(Attendance!$CP$28:$FY$28,1,($AD22-1)*4+1))</f>
        <v/>
      </c>
      <c r="AO22" t="str">
        <f t="shared" si="8"/>
        <v>Mariana</v>
      </c>
      <c r="AP22" s="313" t="str">
        <f>IF($AO22="","",IFERROR(INDEX('Pre season'!$AE$5:$AE$24,MATCH($AO22,'Pre season'!$AD$5:$AD$24,0)),""))</f>
        <v/>
      </c>
      <c r="AQ22" s="313" t="str">
        <f>IF($AO22="","",IFERROR(INDEX('Pre season'!$AF$5:$AF$24,MATCH($AO22,'Pre season'!$AD$5:$AD$24,0)),""))</f>
        <v/>
      </c>
      <c r="AR22" s="314" t="str">
        <f>IF($AO22="","",IFERROR(INDEX('Pre season'!$AG$5:$AG$24,MATCH($AO22,'Pre season'!$AD$5:$AD$24,0)),""))</f>
        <v/>
      </c>
      <c r="AS22" s="64" t="str">
        <f>IF($AO22="","",IFERROR(INDEX('Pre season'!$AK$5:$AK$24,MATCH($AO22,'Pre season'!$AD$5:$AD$24,0)),""))</f>
        <v/>
      </c>
      <c r="AT22" s="314" t="str">
        <f>IF($AO22="","",IFERROR(INDEX('Pre season'!$AJ$5:$AJ$24,MATCH($AO22,'Pre season'!$AD$5:$AD$24,0)),""))</f>
        <v/>
      </c>
      <c r="AU22" t="str">
        <f>IF($AO22="","",IF($AS22="","No pre-season data",IF(N($AP22)&lt;'Pre season'!$AM$5,"Insufficient data",IF($AS22&gt;=3.5,"Match Ready",IF($AS22&gt;3,"Not Ready for 90 min",IF($AS22&gt;2.5,"Nearly Ready",IF($AS22&gt;2,"Improving",IF($AS22&gt;1.5,"Not Ready","Critical"))))))))</f>
        <v>No pre-season data</v>
      </c>
      <c r="AV22" t="str">
        <f t="shared" si="9"/>
        <v>In-season</v>
      </c>
      <c r="AW22" s="64">
        <f t="shared" si="10"/>
        <v>3</v>
      </c>
      <c r="AX22" s="315" t="str">
        <f t="array" ref="AX22">IF($AO22="","",IF($AT22="","",SUMPRODUCT(($AT$6:$AT$25&lt;&gt;"")*($AT$6:$AT$25&gt;$AT22))+COUNTIF($AT$6:$AT22,$AT22)))</f>
        <v/>
      </c>
      <c r="BA22" t="str">
        <f t="shared" si="11"/>
        <v>Mariana</v>
      </c>
      <c r="BB22" s="316">
        <f t="array" aca="1" ref="BB22" ca="1">IF($BA22="","",IF(ActiveSrc="In-season",SUMPRODUCT((ATAtt="Att")*(ATDates&gt;WinEnd-WinDays)*(ATDates&lt;=WinEnd)*((Attendance!$E21:$CN21="Yes")+(Attendance!$E21:$CN21="No"))),SUMPRODUCT((PSAtt="Att")*(PSDates&gt;WinEnd-WinDays)*(PSDates&lt;=WinEnd)*(('Pre season'!$E21:$AB21="Yes")+('Pre season'!$E21:$AB21="No")))))</f>
        <v>1</v>
      </c>
      <c r="BC22" s="316">
        <f t="array" aca="1" ref="BC22" ca="1">IF($BA22="","",IF(ActiveSrc="In-season",SUMPRODUCT((ATAtt="Att")*(ATDates&gt;WinEnd-WinDays)*(ATDates&lt;=WinEnd)*(Attendance!$E21:$CN21="Yes")),SUMPRODUCT((PSAtt="Att")*(PSDates&gt;WinEnd-WinDays)*(PSDates&lt;=WinEnd)*('Pre season'!$E21:$AB21="Yes"))))</f>
        <v>1</v>
      </c>
      <c r="BD22" s="316">
        <f t="array" aca="1" ref="BD22" ca="1">IF($BA22="","",IF(ActiveSrc="In-season",SUMPRODUCT((ATWR="WR")*(ATDates&gt;WinEnd-WinDays)*(ATDates&lt;=WinEnd)*IF(ISNUMBER(Attendance!$F21:$CO21),Attendance!$F21:$CO21,0)),SUMPRODUCT((PSWR="WR")*(PSDates&gt;WinEnd-WinDays)*(PSDates&lt;=WinEnd)*IF(ISNUMBER('Pre season'!$F21:$AC21),'Pre season'!$F21:$AC21,0))))</f>
        <v>3</v>
      </c>
      <c r="BE22" s="316">
        <f t="array" aca="1" ref="BE22" ca="1">IF($BA22="","",IF(ActiveSrc="In-season",SUMPRODUCT((ATWR="WR")*(ATDates&gt;WinEnd-WinDays)*(ATDates&lt;=WinEnd)*(IF(ISNUMBER(Attendance!$F21:$CO21),Attendance!$F21:$CO21,0)&gt;0)),SUMPRODUCT((PSWR="WR")*(PSDates&gt;WinEnd-WinDays)*(PSDates&lt;=WinEnd)*(IF(ISNUMBER('Pre season'!$F21:$AC21),'Pre season'!$F21:$AC21,0)&gt;0))))</f>
        <v>1</v>
      </c>
      <c r="BF22" s="317">
        <f t="shared" ca="1" si="12"/>
        <v>3</v>
      </c>
      <c r="BG22" s="318">
        <f ca="1">IF($BA22="","",IF(N($BB22)=0,"",'Pre season'!$AM$2*($BC22/$BB22)+'Pre season'!$AM$3*(IF($BF22="",0,$BF22)/5)))</f>
        <v>0.76</v>
      </c>
      <c r="BH22" s="316">
        <f t="array" aca="1" ref="BH22" ca="1">IF($BA22="","",IF($BG22="","",SUMPRODUCT(($BG$6:$BG$25&lt;&gt;"")*($BG$6:$BG$25&gt;$BG22))+COUNTIF($BG$6:$BG22,$BG22)))</f>
        <v>11</v>
      </c>
      <c r="BJ22" t="str">
        <f t="shared" si="13"/>
        <v>Mariana</v>
      </c>
      <c r="BK22" s="318">
        <f>IF($BJ22="","",IF(OR(N(Attendance!$GB21)&gt;0,N(Attendance!$GF21)&gt;0),IFERROR(Attendance!$GN21,""),IFERROR($AT22,"")))</f>
        <v>0.76666666666666661</v>
      </c>
      <c r="BL22" s="319" t="str">
        <f>IF($BJ22="","",IF(OR(N(Attendance!$GB21)&gt;0,N(Attendance!$GF21)&gt;0),"In-season","Pre-season"))</f>
        <v>In-season</v>
      </c>
      <c r="BM22" s="316">
        <f t="array" ref="BM22">IF($BJ22="","",IF($BK22="","",SUMPRODUCT(($BK$6:$BK$25&lt;&gt;"")*($BK$6:$BK$25&gt;$BK22))+COUNTIF($BK$6:$BK22,$BK22)))</f>
        <v>11</v>
      </c>
    </row>
    <row r="23" spans="2:65" x14ac:dyDescent="0.45">
      <c r="B23" s="309">
        <f>IF($C23="","",Attendance!$C22)</f>
        <v>18</v>
      </c>
      <c r="C23" s="309" t="str">
        <f>IF(Attendance!$D22="","",Attendance!$D22)</f>
        <v>Rama</v>
      </c>
      <c r="D23" s="310">
        <f>IF($C23="","",IFERROR(Attendance!$GC22,""))</f>
        <v>1</v>
      </c>
      <c r="E23" s="311">
        <f>IF($C23="","",IFERROR(Attendance!$GD22,""))</f>
        <v>3</v>
      </c>
      <c r="F23" s="310" t="str">
        <f>IF($C23="","",IFERROR(Attendance!$GH22,""))</f>
        <v/>
      </c>
      <c r="G23" s="311" t="str">
        <f>IF($C23="","",IFERROR(Attendance!$GK22,""))</f>
        <v/>
      </c>
      <c r="H23" s="310">
        <f>IF($C23="","",IFERROR(Attendance!$GN22,""))</f>
        <v>0.76666666666666661</v>
      </c>
      <c r="I23" s="309" t="str">
        <f>IF($C23="","",IF($AW23="","Not graded",IF(AND($AV23="Pre-season",N($AP23)&lt;'Pre season'!$AM$5),"Insufficient data",IF($AW23&gt;=3.5,"Match Ready",IF($AW23&gt;3,"Not Ready for 90 min",IF($AW23&gt;2.5,"Nearly Ready",IF($AW23&gt;2,"Improving",IF($AW23&gt;1.5,"Not Ready","Critical"))))))))</f>
        <v>Nearly Ready</v>
      </c>
      <c r="J23" s="309">
        <f t="shared" si="0"/>
        <v>0.76669666666666658</v>
      </c>
      <c r="K23" s="309">
        <f>ROWS($K$6:$K23)</f>
        <v>18</v>
      </c>
      <c r="L23" s="309" t="str">
        <f>IFERROR(INDEX($C$6:$C$25,MATCH(LARGE($J$6:$J$25,ROWS($L$6:$L23)),$J$6:$J$25,0)),"")</f>
        <v>Zara Freeman</v>
      </c>
      <c r="M23" s="310">
        <f>IFERROR(INDEX($H$6:$H$25,MATCH(LARGE($J$6:$J$25,ROWS($M$6:$M23)),$J$6:$J$25,0)),"")</f>
        <v>0</v>
      </c>
      <c r="N23" s="309"/>
      <c r="O23" s="309" t="str">
        <f t="shared" si="1"/>
        <v>Rama</v>
      </c>
      <c r="P23" s="311">
        <f t="shared" si="2"/>
        <v>3</v>
      </c>
      <c r="Q23" s="311" t="str">
        <f t="shared" si="3"/>
        <v/>
      </c>
      <c r="R23" s="309"/>
      <c r="S23" s="309"/>
      <c r="T23" s="309"/>
      <c r="U23" s="309"/>
      <c r="V23" s="309"/>
      <c r="W23" s="309"/>
      <c r="X23" s="309">
        <v>18</v>
      </c>
      <c r="Y23" s="311" t="str">
        <f ca="1">IFERROR(IF($Y$2="","",AVERAGE(OFFSET(Attendance!$A$1,$Y$2-1,5+($X23-1)*4),OFFSET(Attendance!$A$1,$Y$2-1,7+($X23-1)*4))),"")</f>
        <v/>
      </c>
      <c r="Z23" s="311" t="str">
        <f ca="1">IFERROR(IF($Y$2="","",IF(LEN(OFFSET(Attendance!$A$1,$Y$2-1,95+($X23-1)*4))=0,"",OFFSET(Attendance!$A$1,$Y$2-1,95+($X23-1)*4))),"")</f>
        <v/>
      </c>
      <c r="AA23" s="309">
        <f t="shared" si="5"/>
        <v>10</v>
      </c>
      <c r="AB23" s="309" t="str">
        <f>IFERROR(INDEX($C$6:$C$25,MATCH(ROWS($AB$6:$AB23),$AA$6:$AA$25,0)),"")</f>
        <v>Zara Power</v>
      </c>
      <c r="AC23" s="309"/>
      <c r="AD23" s="309">
        <v>18</v>
      </c>
      <c r="AE23" s="312" t="str">
        <f t="array" ref="AE23">IF(LEN(INDEX(Attendance!$CP$2:$FY$2,1,($AD23-1)*4+1))=0,"",INDEX(Attendance!$CP$2:$FY$2,1,($AD23-1)*4+1))</f>
        <v/>
      </c>
      <c r="AF23" s="309" t="str">
        <f t="array" ref="AF23">IF(LEN(INDEX(Attendance!$CP$3:$FY$3,1,($AD23-1)*4+1))=0,"",INDEX(Attendance!$CP$3:$FY$3,1,($AD23-1)*4+1))</f>
        <v/>
      </c>
      <c r="AG23" s="309" t="str">
        <f t="array" ref="AG23">IF(LEN(INDEX(Attendance!$CP$3:$FY$3,1,($AD23-1)*4+4))=0,"",INDEX(Attendance!$CP$3:$FY$3,1,($AD23-1)*4+4))</f>
        <v/>
      </c>
      <c r="AH23" s="309" t="str">
        <f t="array" ref="AH23">IF(LEN(INDEX(Attendance!$CP$26:$FY$26,1,($AD23-1)*4+1))=0,"",INDEX(Attendance!$CP$26:$FY$26,1,($AD23-1)*4+1))</f>
        <v/>
      </c>
      <c r="AI23" s="309" t="str">
        <f t="array" ref="AI23">IF(LEN(INDEX(Attendance!$CP$27:$FY$27,1,($AD23-1)*4+1))=0,"",INDEX(Attendance!$CP$27:$FY$27,1,($AD23-1)*4+1))</f>
        <v/>
      </c>
      <c r="AJ23" s="309" t="str">
        <f t="array" ref="AJ23">IF(LEN(INDEX(Attendance!$CP$28:$FY$28,1,($AD23-1)*4+1))=0,"",INDEX(Attendance!$CP$28:$FY$28,1,($AD23-1)*4+1))</f>
        <v/>
      </c>
      <c r="AO23" t="str">
        <f t="shared" si="8"/>
        <v>Rama</v>
      </c>
      <c r="AP23" s="313" t="str">
        <f>IF($AO23="","",IFERROR(INDEX('Pre season'!$AE$5:$AE$24,MATCH($AO23,'Pre season'!$AD$5:$AD$24,0)),""))</f>
        <v/>
      </c>
      <c r="AQ23" s="313" t="str">
        <f>IF($AO23="","",IFERROR(INDEX('Pre season'!$AF$5:$AF$24,MATCH($AO23,'Pre season'!$AD$5:$AD$24,0)),""))</f>
        <v/>
      </c>
      <c r="AR23" s="314" t="str">
        <f>IF($AO23="","",IFERROR(INDEX('Pre season'!$AG$5:$AG$24,MATCH($AO23,'Pre season'!$AD$5:$AD$24,0)),""))</f>
        <v/>
      </c>
      <c r="AS23" s="64" t="str">
        <f>IF($AO23="","",IFERROR(INDEX('Pre season'!$AK$5:$AK$24,MATCH($AO23,'Pre season'!$AD$5:$AD$24,0)),""))</f>
        <v/>
      </c>
      <c r="AT23" s="314" t="str">
        <f>IF($AO23="","",IFERROR(INDEX('Pre season'!$AJ$5:$AJ$24,MATCH($AO23,'Pre season'!$AD$5:$AD$24,0)),""))</f>
        <v/>
      </c>
      <c r="AU23" t="str">
        <f>IF($AO23="","",IF($AS23="","No pre-season data",IF(N($AP23)&lt;'Pre season'!$AM$5,"Insufficient data",IF($AS23&gt;=3.5,"Match Ready",IF($AS23&gt;3,"Not Ready for 90 min",IF($AS23&gt;2.5,"Nearly Ready",IF($AS23&gt;2,"Improving",IF($AS23&gt;1.5,"Not Ready","Critical"))))))))</f>
        <v>No pre-season data</v>
      </c>
      <c r="AV23" t="str">
        <f t="shared" si="9"/>
        <v>In-season</v>
      </c>
      <c r="AW23" s="64">
        <f t="shared" si="10"/>
        <v>3</v>
      </c>
      <c r="AX23" s="315" t="str">
        <f t="array" ref="AX23">IF($AO23="","",IF($AT23="","",SUMPRODUCT(($AT$6:$AT$25&lt;&gt;"")*($AT$6:$AT$25&gt;$AT23))+COUNTIF($AT$6:$AT23,$AT23)))</f>
        <v/>
      </c>
      <c r="BA23" t="str">
        <f t="shared" si="11"/>
        <v>Rama</v>
      </c>
      <c r="BB23" s="316">
        <f t="array" aca="1" ref="BB23" ca="1">IF($BA23="","",IF(ActiveSrc="In-season",SUMPRODUCT((ATAtt="Att")*(ATDates&gt;WinEnd-WinDays)*(ATDates&lt;=WinEnd)*((Attendance!$E22:$CN22="Yes")+(Attendance!$E22:$CN22="No"))),SUMPRODUCT((PSAtt="Att")*(PSDates&gt;WinEnd-WinDays)*(PSDates&lt;=WinEnd)*(('Pre season'!$E22:$AB22="Yes")+('Pre season'!$E22:$AB22="No")))))</f>
        <v>1</v>
      </c>
      <c r="BC23" s="316">
        <f t="array" aca="1" ref="BC23" ca="1">IF($BA23="","",IF(ActiveSrc="In-season",SUMPRODUCT((ATAtt="Att")*(ATDates&gt;WinEnd-WinDays)*(ATDates&lt;=WinEnd)*(Attendance!$E22:$CN22="Yes")),SUMPRODUCT((PSAtt="Att")*(PSDates&gt;WinEnd-WinDays)*(PSDates&lt;=WinEnd)*('Pre season'!$E22:$AB22="Yes"))))</f>
        <v>1</v>
      </c>
      <c r="BD23" s="316">
        <f t="array" aca="1" ref="BD23" ca="1">IF($BA23="","",IF(ActiveSrc="In-season",SUMPRODUCT((ATWR="WR")*(ATDates&gt;WinEnd-WinDays)*(ATDates&lt;=WinEnd)*IF(ISNUMBER(Attendance!$F22:$CO22),Attendance!$F22:$CO22,0)),SUMPRODUCT((PSWR="WR")*(PSDates&gt;WinEnd-WinDays)*(PSDates&lt;=WinEnd)*IF(ISNUMBER('Pre season'!$F22:$AC22),'Pre season'!$F22:$AC22,0))))</f>
        <v>3</v>
      </c>
      <c r="BE23" s="316">
        <f t="array" aca="1" ref="BE23" ca="1">IF($BA23="","",IF(ActiveSrc="In-season",SUMPRODUCT((ATWR="WR")*(ATDates&gt;WinEnd-WinDays)*(ATDates&lt;=WinEnd)*(IF(ISNUMBER(Attendance!$F22:$CO22),Attendance!$F22:$CO22,0)&gt;0)),SUMPRODUCT((PSWR="WR")*(PSDates&gt;WinEnd-WinDays)*(PSDates&lt;=WinEnd)*(IF(ISNUMBER('Pre season'!$F22:$AC22),'Pre season'!$F22:$AC22,0)&gt;0))))</f>
        <v>1</v>
      </c>
      <c r="BF23" s="317">
        <f t="shared" ca="1" si="12"/>
        <v>3</v>
      </c>
      <c r="BG23" s="318">
        <f ca="1">IF($BA23="","",IF(N($BB23)=0,"",'Pre season'!$AM$2*($BC23/$BB23)+'Pre season'!$AM$3*(IF($BF23="",0,$BF23)/5)))</f>
        <v>0.76</v>
      </c>
      <c r="BH23" s="316">
        <f t="array" aca="1" ref="BH23" ca="1">IF($BA23="","",IF($BG23="","",SUMPRODUCT(($BG$6:$BG$25&lt;&gt;"")*($BG$6:$BG$25&gt;$BG23))+COUNTIF($BG$6:$BG23,$BG23)))</f>
        <v>12</v>
      </c>
      <c r="BJ23" t="str">
        <f t="shared" si="13"/>
        <v>Rama</v>
      </c>
      <c r="BK23" s="318">
        <f>IF($BJ23="","",IF(OR(N(Attendance!$GB22)&gt;0,N(Attendance!$GF22)&gt;0),IFERROR(Attendance!$GN22,""),IFERROR($AT23,"")))</f>
        <v>0.76666666666666661</v>
      </c>
      <c r="BL23" s="319" t="str">
        <f>IF($BJ23="","",IF(OR(N(Attendance!$GB22)&gt;0,N(Attendance!$GF22)&gt;0),"In-season","Pre-season"))</f>
        <v>In-season</v>
      </c>
      <c r="BM23" s="316">
        <f t="array" ref="BM23">IF($BJ23="","",IF($BK23="","",SUMPRODUCT(($BK$6:$BK$25&lt;&gt;"")*($BK$6:$BK$25&gt;$BK23))+COUNTIF($BK$6:$BK23,$BK23)))</f>
        <v>12</v>
      </c>
    </row>
    <row r="24" spans="2:65" x14ac:dyDescent="0.45">
      <c r="B24" s="309" t="str">
        <f>IF($C24="","",Attendance!$C23)</f>
        <v/>
      </c>
      <c r="C24" s="309" t="str">
        <f>IF(Attendance!$D23="","",Attendance!$D23)</f>
        <v/>
      </c>
      <c r="D24" s="310" t="str">
        <f>IF($C24="","",IFERROR(Attendance!$GC23,""))</f>
        <v/>
      </c>
      <c r="E24" s="311" t="str">
        <f>IF($C24="","",IFERROR(Attendance!$GD23,""))</f>
        <v/>
      </c>
      <c r="F24" s="310" t="str">
        <f>IF($C24="","",IFERROR(Attendance!$GH23,""))</f>
        <v/>
      </c>
      <c r="G24" s="311" t="str">
        <f>IF($C24="","",IFERROR(Attendance!$GK23,""))</f>
        <v/>
      </c>
      <c r="H24" s="310" t="str">
        <f>IF($C24="","",IFERROR(Attendance!$GN23,""))</f>
        <v/>
      </c>
      <c r="I24" s="309" t="str">
        <f>IF($C24="","",IF($AW24="","Not graded",IF(AND($AV24="Pre-season",N($AP24)&lt;'Pre season'!$AM$5),"Insufficient data",IF($AW24&gt;=3.5,"Match Ready",IF($AW24&gt;3,"Not Ready for 90 min",IF($AW24&gt;2.5,"Nearly Ready",IF($AW24&gt;2,"Improving",IF($AW24&gt;1.5,"Not Ready","Critical"))))))))</f>
        <v/>
      </c>
      <c r="J24" s="309" t="str">
        <f t="shared" si="0"/>
        <v/>
      </c>
      <c r="K24" s="309">
        <f>ROWS($K$6:$K24)</f>
        <v>19</v>
      </c>
      <c r="L24" s="309" t="str">
        <f>IFERROR(INDEX($C$6:$C$25,MATCH(LARGE($J$6:$J$25,ROWS($L$6:$L24)),$J$6:$J$25,0)),"")</f>
        <v/>
      </c>
      <c r="M24" s="310" t="str">
        <f>IFERROR(INDEX($H$6:$H$25,MATCH(LARGE($J$6:$J$25,ROWS($M$6:$M24)),$J$6:$J$25,0)),"")</f>
        <v/>
      </c>
      <c r="N24" s="309"/>
      <c r="O24" s="309" t="str">
        <f t="shared" si="1"/>
        <v/>
      </c>
      <c r="P24" s="311" t="str">
        <f t="shared" si="2"/>
        <v/>
      </c>
      <c r="Q24" s="311" t="str">
        <f t="shared" si="3"/>
        <v/>
      </c>
      <c r="R24" s="309"/>
      <c r="S24" s="309"/>
      <c r="T24" s="309"/>
      <c r="U24" s="309"/>
      <c r="V24" s="309"/>
      <c r="W24" s="309"/>
      <c r="X24" s="309">
        <v>19</v>
      </c>
      <c r="Y24" s="311" t="str">
        <f ca="1">IFERROR(IF($Y$2="","",AVERAGE(OFFSET(Attendance!$A$1,$Y$2-1,5+($X24-1)*4),OFFSET(Attendance!$A$1,$Y$2-1,7+($X24-1)*4))),"")</f>
        <v/>
      </c>
      <c r="Z24" s="311" t="str">
        <f ca="1">IFERROR(IF($Y$2="","",IF(LEN(OFFSET(Attendance!$A$1,$Y$2-1,95+($X24-1)*4))=0,"",OFFSET(Attendance!$A$1,$Y$2-1,95+($X24-1)*4))),"")</f>
        <v/>
      </c>
      <c r="AA24" s="309" t="str">
        <f t="shared" si="5"/>
        <v/>
      </c>
      <c r="AB24" s="309" t="str">
        <f>IFERROR(INDEX($C$6:$C$25,MATCH(ROWS($AB$6:$AB24),$AA$6:$AA$25,0)),"")</f>
        <v/>
      </c>
      <c r="AC24" s="309"/>
      <c r="AD24" s="309">
        <v>19</v>
      </c>
      <c r="AE24" s="312" t="str">
        <f t="array" ref="AE24">IF(LEN(INDEX(Attendance!$CP$2:$FY$2,1,($AD24-1)*4+1))=0,"",INDEX(Attendance!$CP$2:$FY$2,1,($AD24-1)*4+1))</f>
        <v/>
      </c>
      <c r="AF24" s="309" t="str">
        <f t="array" ref="AF24">IF(LEN(INDEX(Attendance!$CP$3:$FY$3,1,($AD24-1)*4+1))=0,"",INDEX(Attendance!$CP$3:$FY$3,1,($AD24-1)*4+1))</f>
        <v/>
      </c>
      <c r="AG24" s="309" t="str">
        <f t="array" ref="AG24">IF(LEN(INDEX(Attendance!$CP$3:$FY$3,1,($AD24-1)*4+4))=0,"",INDEX(Attendance!$CP$3:$FY$3,1,($AD24-1)*4+4))</f>
        <v/>
      </c>
      <c r="AH24" s="309" t="str">
        <f t="array" ref="AH24">IF(LEN(INDEX(Attendance!$CP$26:$FY$26,1,($AD24-1)*4+1))=0,"",INDEX(Attendance!$CP$26:$FY$26,1,($AD24-1)*4+1))</f>
        <v/>
      </c>
      <c r="AI24" s="309" t="str">
        <f t="array" ref="AI24">IF(LEN(INDEX(Attendance!$CP$27:$FY$27,1,($AD24-1)*4+1))=0,"",INDEX(Attendance!$CP$27:$FY$27,1,($AD24-1)*4+1))</f>
        <v/>
      </c>
      <c r="AJ24" s="309" t="str">
        <f t="array" ref="AJ24">IF(LEN(INDEX(Attendance!$CP$28:$FY$28,1,($AD24-1)*4+1))=0,"",INDEX(Attendance!$CP$28:$FY$28,1,($AD24-1)*4+1))</f>
        <v/>
      </c>
      <c r="AO24" t="str">
        <f t="shared" si="8"/>
        <v/>
      </c>
      <c r="AP24" s="313" t="str">
        <f>IF($AO24="","",IFERROR(INDEX('Pre season'!$AE$5:$AE$24,MATCH($AO24,'Pre season'!$AD$5:$AD$24,0)),""))</f>
        <v/>
      </c>
      <c r="AQ24" s="313" t="str">
        <f>IF($AO24="","",IFERROR(INDEX('Pre season'!$AF$5:$AF$24,MATCH($AO24,'Pre season'!$AD$5:$AD$24,0)),""))</f>
        <v/>
      </c>
      <c r="AR24" s="314" t="str">
        <f>IF($AO24="","",IFERROR(INDEX('Pre season'!$AG$5:$AG$24,MATCH($AO24,'Pre season'!$AD$5:$AD$24,0)),""))</f>
        <v/>
      </c>
      <c r="AS24" s="64" t="str">
        <f>IF($AO24="","",IFERROR(INDEX('Pre season'!$AK$5:$AK$24,MATCH($AO24,'Pre season'!$AD$5:$AD$24,0)),""))</f>
        <v/>
      </c>
      <c r="AT24" s="314" t="str">
        <f>IF($AO24="","",IFERROR(INDEX('Pre season'!$AJ$5:$AJ$24,MATCH($AO24,'Pre season'!$AD$5:$AD$24,0)),""))</f>
        <v/>
      </c>
      <c r="AU24" t="str">
        <f>IF($AO24="","",IF($AS24="","No pre-season data",IF(N($AP24)&lt;'Pre season'!$AM$5,"Insufficient data",IF($AS24&gt;=3.5,"Match Ready",IF($AS24&gt;3,"Not Ready for 90 min",IF($AS24&gt;2.5,"Nearly Ready",IF($AS24&gt;2,"Improving",IF($AS24&gt;1.5,"Not Ready","Critical"))))))))</f>
        <v/>
      </c>
      <c r="AV24" t="str">
        <f t="shared" si="9"/>
        <v/>
      </c>
      <c r="AW24" s="64" t="str">
        <f t="shared" si="10"/>
        <v/>
      </c>
      <c r="AX24" s="315" t="str">
        <f t="array" ref="AX24">IF($AO24="","",IF($AT24="","",SUMPRODUCT(($AT$6:$AT$25&lt;&gt;"")*($AT$6:$AT$25&gt;$AT24))+COUNTIF($AT$6:$AT24,$AT24)))</f>
        <v/>
      </c>
      <c r="BA24" t="str">
        <f t="shared" si="11"/>
        <v/>
      </c>
      <c r="BB24" s="316" t="str">
        <f t="array" ref="BB24">IF($BA24="","",IF(ActiveSrc="In-season",SUMPRODUCT((ATAtt="Att")*(ATDates&gt;WinEnd-WinDays)*(ATDates&lt;=WinEnd)*((Attendance!$E23:$CN23="Yes")+(Attendance!$E23:$CN23="No"))),SUMPRODUCT((PSAtt="Att")*(PSDates&gt;WinEnd-WinDays)*(PSDates&lt;=WinEnd)*(('Pre season'!$E23:$AB23="Yes")+('Pre season'!$E23:$AB23="No")))))</f>
        <v/>
      </c>
      <c r="BC24" s="316" t="str">
        <f t="array" ref="BC24">IF($BA24="","",IF(ActiveSrc="In-season",SUMPRODUCT((ATAtt="Att")*(ATDates&gt;WinEnd-WinDays)*(ATDates&lt;=WinEnd)*(Attendance!$E23:$CN23="Yes")),SUMPRODUCT((PSAtt="Att")*(PSDates&gt;WinEnd-WinDays)*(PSDates&lt;=WinEnd)*('Pre season'!$E23:$AB23="Yes"))))</f>
        <v/>
      </c>
      <c r="BD24" s="316" t="str">
        <f t="array" ref="BD24">IF($BA24="","",IF(ActiveSrc="In-season",SUMPRODUCT((ATWR="WR")*(ATDates&gt;WinEnd-WinDays)*(ATDates&lt;=WinEnd)*IF(ISNUMBER(Attendance!$F23:$CO23),Attendance!$F23:$CO23,0)),SUMPRODUCT((PSWR="WR")*(PSDates&gt;WinEnd-WinDays)*(PSDates&lt;=WinEnd)*IF(ISNUMBER('Pre season'!$F23:$AC23),'Pre season'!$F23:$AC23,0))))</f>
        <v/>
      </c>
      <c r="BE24" s="316" t="str">
        <f t="array" ref="BE24">IF($BA24="","",IF(ActiveSrc="In-season",SUMPRODUCT((ATWR="WR")*(ATDates&gt;WinEnd-WinDays)*(ATDates&lt;=WinEnd)*(IF(ISNUMBER(Attendance!$F23:$CO23),Attendance!$F23:$CO23,0)&gt;0)),SUMPRODUCT((PSWR="WR")*(PSDates&gt;WinEnd-WinDays)*(PSDates&lt;=WinEnd)*(IF(ISNUMBER('Pre season'!$F23:$AC23),'Pre season'!$F23:$AC23,0)&gt;0))))</f>
        <v/>
      </c>
      <c r="BF24" s="317" t="str">
        <f t="shared" si="12"/>
        <v/>
      </c>
      <c r="BG24" s="318" t="str">
        <f>IF($BA24="","",IF(N($BB24)=0,"",'Pre season'!$AM$2*($BC24/$BB24)+'Pre season'!$AM$3*(IF($BF24="",0,$BF24)/5)))</f>
        <v/>
      </c>
      <c r="BH24" s="316" t="str">
        <f t="array" ref="BH24">IF($BA24="","",IF($BG24="","",SUMPRODUCT(($BG$6:$BG$25&lt;&gt;"")*($BG$6:$BG$25&gt;$BG24))+COUNTIF($BG$6:$BG24,$BG24)))</f>
        <v/>
      </c>
      <c r="BJ24" t="str">
        <f t="shared" si="13"/>
        <v/>
      </c>
      <c r="BK24" s="318" t="str">
        <f>IF($BJ24="","",IF(OR(N(Attendance!$GB23)&gt;0,N(Attendance!$GF23)&gt;0),IFERROR(Attendance!$GN23,""),IFERROR($AT24,"")))</f>
        <v/>
      </c>
      <c r="BL24" s="319" t="str">
        <f>IF($BJ24="","",IF(OR(N(Attendance!$GB23)&gt;0,N(Attendance!$GF23)&gt;0),"In-season","Pre-season"))</f>
        <v/>
      </c>
      <c r="BM24" s="316" t="str">
        <f t="array" ref="BM24">IF($BJ24="","",IF($BK24="","",SUMPRODUCT(($BK$6:$BK$25&lt;&gt;"")*($BK$6:$BK$25&gt;$BK24))+COUNTIF($BK$6:$BK24,$BK24)))</f>
        <v/>
      </c>
    </row>
    <row r="25" spans="2:65" x14ac:dyDescent="0.45">
      <c r="B25" s="309" t="str">
        <f>IF($C25="","",Attendance!$C24)</f>
        <v/>
      </c>
      <c r="C25" s="309" t="str">
        <f>IF(Attendance!$D24="","",Attendance!$D24)</f>
        <v/>
      </c>
      <c r="D25" s="310" t="str">
        <f>IF($C25="","",IFERROR(Attendance!$GC24,""))</f>
        <v/>
      </c>
      <c r="E25" s="311" t="str">
        <f>IF($C25="","",IFERROR(Attendance!$GD24,""))</f>
        <v/>
      </c>
      <c r="F25" s="310" t="str">
        <f>IF($C25="","",IFERROR(Attendance!$GH24,""))</f>
        <v/>
      </c>
      <c r="G25" s="311" t="str">
        <f>IF($C25="","",IFERROR(Attendance!$GK24,""))</f>
        <v/>
      </c>
      <c r="H25" s="310" t="str">
        <f>IF($C25="","",IFERROR(Attendance!$GN24,""))</f>
        <v/>
      </c>
      <c r="I25" s="309" t="str">
        <f>IF($C25="","",IF($AW25="","Not graded",IF(AND($AV25="Pre-season",N($AP25)&lt;'Pre season'!$AM$5),"Insufficient data",IF($AW25&gt;=3.5,"Match Ready",IF($AW25&gt;3,"Not Ready for 90 min",IF($AW25&gt;2.5,"Nearly Ready",IF($AW25&gt;2,"Improving",IF($AW25&gt;1.5,"Not Ready","Critical"))))))))</f>
        <v/>
      </c>
      <c r="J25" s="309" t="str">
        <f t="shared" si="0"/>
        <v/>
      </c>
      <c r="K25" s="309">
        <f>ROWS($K$6:$K25)</f>
        <v>20</v>
      </c>
      <c r="L25" s="309" t="str">
        <f>IFERROR(INDEX($C$6:$C$25,MATCH(LARGE($J$6:$J$25,ROWS($L$6:$L25)),$J$6:$J$25,0)),"")</f>
        <v/>
      </c>
      <c r="M25" s="310" t="str">
        <f>IFERROR(INDEX($H$6:$H$25,MATCH(LARGE($J$6:$J$25,ROWS($M$6:$M25)),$J$6:$J$25,0)),"")</f>
        <v/>
      </c>
      <c r="N25" s="309"/>
      <c r="O25" s="309" t="str">
        <f t="shared" si="1"/>
        <v/>
      </c>
      <c r="P25" s="311" t="str">
        <f t="shared" si="2"/>
        <v/>
      </c>
      <c r="Q25" s="311" t="str">
        <f t="shared" si="3"/>
        <v/>
      </c>
      <c r="R25" s="309"/>
      <c r="S25" s="309"/>
      <c r="T25" s="309"/>
      <c r="U25" s="309"/>
      <c r="V25" s="309"/>
      <c r="W25" s="309"/>
      <c r="X25" s="309">
        <v>20</v>
      </c>
      <c r="Y25" s="311" t="str">
        <f ca="1">IFERROR(IF($Y$2="","",AVERAGE(OFFSET(Attendance!$A$1,$Y$2-1,5+($X25-1)*4),OFFSET(Attendance!$A$1,$Y$2-1,7+($X25-1)*4))),"")</f>
        <v/>
      </c>
      <c r="Z25" s="311" t="str">
        <f ca="1">IFERROR(IF($Y$2="","",IF(LEN(OFFSET(Attendance!$A$1,$Y$2-1,95+($X25-1)*4))=0,"",OFFSET(Attendance!$A$1,$Y$2-1,95+($X25-1)*4))),"")</f>
        <v/>
      </c>
      <c r="AA25" s="309" t="str">
        <f t="shared" si="5"/>
        <v/>
      </c>
      <c r="AB25" s="309" t="str">
        <f>IFERROR(INDEX($C$6:$C$25,MATCH(ROWS($AB$6:$AB25),$AA$6:$AA$25,0)),"")</f>
        <v/>
      </c>
      <c r="AC25" s="309"/>
      <c r="AD25" s="309">
        <v>20</v>
      </c>
      <c r="AE25" s="312" t="str">
        <f t="array" ref="AE25">IF(LEN(INDEX(Attendance!$CP$2:$FY$2,1,($AD25-1)*4+1))=0,"",INDEX(Attendance!$CP$2:$FY$2,1,($AD25-1)*4+1))</f>
        <v/>
      </c>
      <c r="AF25" s="309" t="str">
        <f t="array" ref="AF25">IF(LEN(INDEX(Attendance!$CP$3:$FY$3,1,($AD25-1)*4+1))=0,"",INDEX(Attendance!$CP$3:$FY$3,1,($AD25-1)*4+1))</f>
        <v/>
      </c>
      <c r="AG25" s="309" t="str">
        <f t="array" ref="AG25">IF(LEN(INDEX(Attendance!$CP$3:$FY$3,1,($AD25-1)*4+4))=0,"",INDEX(Attendance!$CP$3:$FY$3,1,($AD25-1)*4+4))</f>
        <v/>
      </c>
      <c r="AH25" s="309" t="str">
        <f t="array" ref="AH25">IF(LEN(INDEX(Attendance!$CP$26:$FY$26,1,($AD25-1)*4+1))=0,"",INDEX(Attendance!$CP$26:$FY$26,1,($AD25-1)*4+1))</f>
        <v/>
      </c>
      <c r="AI25" s="309" t="str">
        <f t="array" ref="AI25">IF(LEN(INDEX(Attendance!$CP$27:$FY$27,1,($AD25-1)*4+1))=0,"",INDEX(Attendance!$CP$27:$FY$27,1,($AD25-1)*4+1))</f>
        <v/>
      </c>
      <c r="AJ25" s="309" t="str">
        <f t="array" ref="AJ25">IF(LEN(INDEX(Attendance!$CP$28:$FY$28,1,($AD25-1)*4+1))=0,"",INDEX(Attendance!$CP$28:$FY$28,1,($AD25-1)*4+1))</f>
        <v/>
      </c>
      <c r="AO25" t="str">
        <f t="shared" si="8"/>
        <v/>
      </c>
      <c r="AP25" s="313" t="str">
        <f>IF($AO25="","",IFERROR(INDEX('Pre season'!$AE$5:$AE$24,MATCH($AO25,'Pre season'!$AD$5:$AD$24,0)),""))</f>
        <v/>
      </c>
      <c r="AQ25" s="313" t="str">
        <f>IF($AO25="","",IFERROR(INDEX('Pre season'!$AF$5:$AF$24,MATCH($AO25,'Pre season'!$AD$5:$AD$24,0)),""))</f>
        <v/>
      </c>
      <c r="AR25" s="314" t="str">
        <f>IF($AO25="","",IFERROR(INDEX('Pre season'!$AG$5:$AG$24,MATCH($AO25,'Pre season'!$AD$5:$AD$24,0)),""))</f>
        <v/>
      </c>
      <c r="AS25" s="64" t="str">
        <f>IF($AO25="","",IFERROR(INDEX('Pre season'!$AK$5:$AK$24,MATCH($AO25,'Pre season'!$AD$5:$AD$24,0)),""))</f>
        <v/>
      </c>
      <c r="AT25" s="314" t="str">
        <f>IF($AO25="","",IFERROR(INDEX('Pre season'!$AJ$5:$AJ$24,MATCH($AO25,'Pre season'!$AD$5:$AD$24,0)),""))</f>
        <v/>
      </c>
      <c r="AU25" t="str">
        <f>IF($AO25="","",IF($AS25="","No pre-season data",IF(N($AP25)&lt;'Pre season'!$AM$5,"Insufficient data",IF($AS25&gt;=3.5,"Match Ready",IF($AS25&gt;3,"Not Ready for 90 min",IF($AS25&gt;2.5,"Nearly Ready",IF($AS25&gt;2,"Improving",IF($AS25&gt;1.5,"Not Ready","Critical"))))))))</f>
        <v/>
      </c>
      <c r="AV25" t="str">
        <f t="shared" si="9"/>
        <v/>
      </c>
      <c r="AW25" s="64" t="str">
        <f t="shared" si="10"/>
        <v/>
      </c>
      <c r="AX25" s="315" t="str">
        <f t="array" ref="AX25">IF($AO25="","",IF($AT25="","",SUMPRODUCT(($AT$6:$AT$25&lt;&gt;"")*($AT$6:$AT$25&gt;$AT25))+COUNTIF($AT$6:$AT25,$AT25)))</f>
        <v/>
      </c>
      <c r="BA25" t="str">
        <f t="shared" si="11"/>
        <v/>
      </c>
      <c r="BB25" s="316" t="str">
        <f t="array" ref="BB25">IF($BA25="","",IF(ActiveSrc="In-season",SUMPRODUCT((ATAtt="Att")*(ATDates&gt;WinEnd-WinDays)*(ATDates&lt;=WinEnd)*((Attendance!$E24:$CN24="Yes")+(Attendance!$E24:$CN24="No"))),SUMPRODUCT((PSAtt="Att")*(PSDates&gt;WinEnd-WinDays)*(PSDates&lt;=WinEnd)*(('Pre season'!$E24:$AB24="Yes")+('Pre season'!$E24:$AB24="No")))))</f>
        <v/>
      </c>
      <c r="BC25" s="316" t="str">
        <f t="array" ref="BC25">IF($BA25="","",IF(ActiveSrc="In-season",SUMPRODUCT((ATAtt="Att")*(ATDates&gt;WinEnd-WinDays)*(ATDates&lt;=WinEnd)*(Attendance!$E24:$CN24="Yes")),SUMPRODUCT((PSAtt="Att")*(PSDates&gt;WinEnd-WinDays)*(PSDates&lt;=WinEnd)*('Pre season'!$E24:$AB24="Yes"))))</f>
        <v/>
      </c>
      <c r="BD25" s="316" t="str">
        <f t="array" ref="BD25">IF($BA25="","",IF(ActiveSrc="In-season",SUMPRODUCT((ATWR="WR")*(ATDates&gt;WinEnd-WinDays)*(ATDates&lt;=WinEnd)*IF(ISNUMBER(Attendance!$F24:$CO24),Attendance!$F24:$CO24,0)),SUMPRODUCT((PSWR="WR")*(PSDates&gt;WinEnd-WinDays)*(PSDates&lt;=WinEnd)*IF(ISNUMBER('Pre season'!$F24:$AC24),'Pre season'!$F24:$AC24,0))))</f>
        <v/>
      </c>
      <c r="BE25" s="316" t="str">
        <f t="array" ref="BE25">IF($BA25="","",IF(ActiveSrc="In-season",SUMPRODUCT((ATWR="WR")*(ATDates&gt;WinEnd-WinDays)*(ATDates&lt;=WinEnd)*(IF(ISNUMBER(Attendance!$F24:$CO24),Attendance!$F24:$CO24,0)&gt;0)),SUMPRODUCT((PSWR="WR")*(PSDates&gt;WinEnd-WinDays)*(PSDates&lt;=WinEnd)*(IF(ISNUMBER('Pre season'!$F24:$AC24),'Pre season'!$F24:$AC24,0)&gt;0))))</f>
        <v/>
      </c>
      <c r="BF25" s="317" t="str">
        <f t="shared" si="12"/>
        <v/>
      </c>
      <c r="BG25" s="318" t="str">
        <f>IF($BA25="","",IF(N($BB25)=0,"",'Pre season'!$AM$2*($BC25/$BB25)+'Pre season'!$AM$3*(IF($BF25="",0,$BF25)/5)))</f>
        <v/>
      </c>
      <c r="BH25" s="316" t="str">
        <f t="array" ref="BH25">IF($BA25="","",IF($BG25="","",SUMPRODUCT(($BG$6:$BG$25&lt;&gt;"")*($BG$6:$BG$25&gt;$BG25))+COUNTIF($BG$6:$BG25,$BG25)))</f>
        <v/>
      </c>
      <c r="BJ25" t="str">
        <f t="shared" si="13"/>
        <v/>
      </c>
      <c r="BK25" s="318" t="str">
        <f>IF($BJ25="","",IF(OR(N(Attendance!$GB24)&gt;0,N(Attendance!$GF24)&gt;0),IFERROR(Attendance!$GN24,""),IFERROR($AT25,"")))</f>
        <v/>
      </c>
      <c r="BL25" s="319" t="str">
        <f>IF($BJ25="","",IF(OR(N(Attendance!$GB24)&gt;0,N(Attendance!$GF24)&gt;0),"In-season","Pre-season"))</f>
        <v/>
      </c>
      <c r="BM25" s="316" t="str">
        <f t="array" ref="BM25">IF($BJ25="","",IF($BK25="","",SUMPRODUCT(($BK$6:$BK$25&lt;&gt;"")*($BK$6:$BK$25&gt;$BK25))+COUNTIF($BK$6:$BK25,$BK25)))</f>
        <v/>
      </c>
    </row>
    <row r="26" spans="2:65" x14ac:dyDescent="0.45">
      <c r="B26" s="309"/>
      <c r="C26" s="309"/>
      <c r="D26" s="309"/>
      <c r="E26" s="309"/>
      <c r="F26" s="309"/>
      <c r="G26" s="309"/>
      <c r="H26" s="309"/>
      <c r="I26" s="309"/>
      <c r="J26" s="309"/>
      <c r="K26" s="309"/>
      <c r="L26" s="309"/>
      <c r="M26" s="309"/>
      <c r="N26" s="309"/>
      <c r="O26" s="309"/>
      <c r="P26" s="309"/>
      <c r="Q26" s="309"/>
      <c r="R26" s="309"/>
      <c r="S26" s="309"/>
      <c r="T26" s="309"/>
      <c r="U26" s="309"/>
      <c r="V26" s="309"/>
      <c r="W26" s="309"/>
      <c r="X26" s="309">
        <v>21</v>
      </c>
      <c r="Y26" s="311" t="str">
        <f ca="1">IFERROR(IF($Y$2="","",AVERAGE(OFFSET(Attendance!$A$1,$Y$2-1,5+($X26-1)*4),OFFSET(Attendance!$A$1,$Y$2-1,7+($X26-1)*4))),"")</f>
        <v/>
      </c>
      <c r="Z26" s="311" t="str">
        <f ca="1">IFERROR(IF($Y$2="","",IF(LEN(OFFSET(Attendance!$A$1,$Y$2-1,95+($X26-1)*4))=0,"",OFFSET(Attendance!$A$1,$Y$2-1,95+($X26-1)*4))),"")</f>
        <v/>
      </c>
      <c r="AA26" s="309"/>
      <c r="AB26" s="309"/>
      <c r="AC26" s="309"/>
      <c r="AD26" s="309">
        <v>21</v>
      </c>
      <c r="AE26" s="312" t="str">
        <f t="array" ref="AE26">IF(LEN(INDEX(Attendance!$CP$2:$FY$2,1,($AD26-1)*4+1))=0,"",INDEX(Attendance!$CP$2:$FY$2,1,($AD26-1)*4+1))</f>
        <v/>
      </c>
      <c r="AF26" s="309" t="str">
        <f t="array" ref="AF26">IF(LEN(INDEX(Attendance!$CP$3:$FY$3,1,($AD26-1)*4+1))=0,"",INDEX(Attendance!$CP$3:$FY$3,1,($AD26-1)*4+1))</f>
        <v/>
      </c>
      <c r="AG26" s="309" t="str">
        <f t="array" ref="AG26">IF(LEN(INDEX(Attendance!$CP$3:$FY$3,1,($AD26-1)*4+4))=0,"",INDEX(Attendance!$CP$3:$FY$3,1,($AD26-1)*4+4))</f>
        <v/>
      </c>
      <c r="AH26" s="309" t="str">
        <f t="array" ref="AH26">IF(LEN(INDEX(Attendance!$CP$26:$FY$26,1,($AD26-1)*4+1))=0,"",INDEX(Attendance!$CP$26:$FY$26,1,($AD26-1)*4+1))</f>
        <v/>
      </c>
      <c r="AI26" s="309" t="str">
        <f t="array" ref="AI26">IF(LEN(INDEX(Attendance!$CP$27:$FY$27,1,($AD26-1)*4+1))=0,"",INDEX(Attendance!$CP$27:$FY$27,1,($AD26-1)*4+1))</f>
        <v/>
      </c>
      <c r="AJ26" s="309" t="str">
        <f t="array" ref="AJ26">IF(LEN(INDEX(Attendance!$CP$28:$FY$28,1,($AD26-1)*4+1))=0,"",INDEX(Attendance!$CP$28:$FY$28,1,($AD26-1)*4+1))</f>
        <v/>
      </c>
    </row>
    <row r="27" spans="2:65" x14ac:dyDescent="0.45">
      <c r="B27" s="309"/>
      <c r="C27" s="309"/>
      <c r="D27" s="309"/>
      <c r="E27" s="309"/>
      <c r="F27" s="309"/>
      <c r="G27" s="309"/>
      <c r="H27" s="309"/>
      <c r="I27" s="309"/>
      <c r="J27" s="309"/>
      <c r="K27" s="309"/>
      <c r="L27" s="309"/>
      <c r="M27" s="309"/>
      <c r="N27" s="309"/>
      <c r="O27" s="309"/>
      <c r="P27" s="309"/>
      <c r="Q27" s="309"/>
      <c r="R27" s="309"/>
      <c r="S27" s="309"/>
      <c r="T27" s="309"/>
      <c r="U27" s="309"/>
      <c r="V27" s="309"/>
      <c r="W27" s="309"/>
      <c r="X27" s="309">
        <v>22</v>
      </c>
      <c r="Y27" s="311" t="str">
        <f ca="1">IFERROR(IF($Y$2="","",AVERAGE(OFFSET(Attendance!$A$1,$Y$2-1,5+($X27-1)*4),OFFSET(Attendance!$A$1,$Y$2-1,7+($X27-1)*4))),"")</f>
        <v/>
      </c>
      <c r="Z27" s="311" t="str">
        <f ca="1">IFERROR(IF($Y$2="","",IF(LEN(OFFSET(Attendance!$A$1,$Y$2-1,95+($X27-1)*4))=0,"",OFFSET(Attendance!$A$1,$Y$2-1,95+($X27-1)*4))),"")</f>
        <v/>
      </c>
      <c r="AA27" s="309"/>
      <c r="AB27" s="309"/>
      <c r="AC27" s="309"/>
      <c r="AD27" s="309">
        <v>22</v>
      </c>
      <c r="AE27" s="312" t="str">
        <f t="array" ref="AE27">IF(LEN(INDEX(Attendance!$CP$2:$FY$2,1,($AD27-1)*4+1))=0,"",INDEX(Attendance!$CP$2:$FY$2,1,($AD27-1)*4+1))</f>
        <v/>
      </c>
      <c r="AF27" s="309" t="str">
        <f t="array" ref="AF27">IF(LEN(INDEX(Attendance!$CP$3:$FY$3,1,($AD27-1)*4+1))=0,"",INDEX(Attendance!$CP$3:$FY$3,1,($AD27-1)*4+1))</f>
        <v/>
      </c>
      <c r="AG27" s="309" t="str">
        <f t="array" ref="AG27">IF(LEN(INDEX(Attendance!$CP$3:$FY$3,1,($AD27-1)*4+4))=0,"",INDEX(Attendance!$CP$3:$FY$3,1,($AD27-1)*4+4))</f>
        <v/>
      </c>
      <c r="AH27" s="309" t="str">
        <f t="array" ref="AH27">IF(LEN(INDEX(Attendance!$CP$26:$FY$26,1,($AD27-1)*4+1))=0,"",INDEX(Attendance!$CP$26:$FY$26,1,($AD27-1)*4+1))</f>
        <v/>
      </c>
      <c r="AI27" s="309" t="str">
        <f t="array" ref="AI27">IF(LEN(INDEX(Attendance!$CP$27:$FY$27,1,($AD27-1)*4+1))=0,"",INDEX(Attendance!$CP$27:$FY$27,1,($AD27-1)*4+1))</f>
        <v/>
      </c>
      <c r="AJ27" s="309"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AJ63"/>
  <sheetViews>
    <sheetView tabSelected="1" topLeftCell="G1" zoomScaleNormal="100" workbookViewId="0">
      <pane ySplit="6" topLeftCell="A19" activePane="bottomLeft" state="frozen"/>
      <selection pane="bottomLeft" activeCell="A18" sqref="A18"/>
    </sheetView>
  </sheetViews>
  <sheetFormatPr defaultColWidth="8.53125" defaultRowHeight="14.25" x14ac:dyDescent="0.45"/>
  <cols>
    <col min="1" max="1" width="46.19921875" customWidth="1"/>
    <col min="2" max="2" width="19.53125" customWidth="1"/>
    <col min="3" max="4" width="17.796875" customWidth="1"/>
    <col min="5" max="6" width="9.796875" customWidth="1"/>
    <col min="7" max="26" width="16" customWidth="1"/>
  </cols>
  <sheetData>
    <row r="2" spans="1:8" ht="18" customHeight="1" x14ac:dyDescent="0.55000000000000004">
      <c r="A2" s="3" t="s">
        <v>428</v>
      </c>
    </row>
    <row r="3" spans="1:8" x14ac:dyDescent="0.45">
      <c r="A3" s="2" t="str">
        <f ca="1">"Copy cell A4 (minified JSON) into the website. This rebuilds itself live — but you must re-copy it after ANY data change. Last built: "&amp;TEXT(NOW(),"dd-mmm-yyyy hh:mm")</f>
        <v>Copy cell A4 (minified JSON) into the website. This rebuilds itself live — but you must re-copy it after ANY data change. Last built: 27-Aug-2026 14:27</v>
      </c>
      <c r="H3" s="320" t="s">
        <v>429</v>
      </c>
    </row>
    <row r="4" spans="1:8" x14ac:dyDescent="0.45">
      <c r="A4" s="321" t="str">
        <f ca="1">"{"&amp;$H$4&amp;","&amp;$H$5&amp;","&amp;$H$6&amp;","&amp;$H$7&amp;","&amp;$H$8&amp;","&amp;$H$9&amp;","&amp;$H$10&amp;","&amp;$H$11&amp;","&amp;$H$12&amp;","&amp;$H$13&amp;"}"</f>
        <v>{"meta":{"title":"Lucan Utd Youths — Girls Youth 2026/2027 League Season","squad":"Girls Youth","generated":"2026-08-27 14:27","arrayKeys":{"session":["att","wr"],"match":["att","mins","rating","motm"]},"weightings":{"trainingAttendance":0.25,"workRate":0.35,"matchdayAttendance":0.15,"matchRating":0.25}},"squadSummary":{"players":18,"sessionsHeld":1,"matchesPlayed":0,"record":{"w":0,"d":0,"l":0},"avgTrainingAttendance":0.7778,"avgWorkRate":2.86,"avgMatchdayAttendance":0,"avgMatchRating":0,"seasonScore":0.5833},"ragBands":[{"band":"Critical","from":0,"to":1.5,"players":0},{"band":"Not Ready","from":1.51,"to":2,"players":2},{"band":"Improving","from":2.01,"to":2.5,"players":0},{"band":"Nearly Ready","from":2.51,"to":3,"players":12},{"band":"Not Ready for 90 min","from":3.01,"to":3.49,"players":1},{"band":"Match Ready","from":3.5,"to":5,"players":0}],"sessions":[{"index":1,"gw":1,"date":"2026-08-25"}],"fixtures":[{"gw":1,"date":"2026-08-30","opponent":"Enniskerry FC","venue":"H","gf":0,"ga":0,"result":""}],"players":[{"number":1,"name":"Aoife Kennan","position":"GK","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2,"name":"Stella McEvoy","position":"LB / 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CM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6,"name":"Naomi Adewoyin","position":"CM / A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7,"name":"Amber Kilalee","position":"LW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8,"name":"Shauna Kavanagh","position":"ST / RW","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9,"name":"Tara Brannigan","position":"DM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10,"name":"Semilore Adesanya","position":"CB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11,"name":"Hannah Fleming","position":"LB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15,"name":"Elsie Morrison","position":"LW / ST / GK","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a","position":"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18,"name":"Rama","position":"RW / ST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teamSelection":{"formation":"3-5-2","startingXI":[{"slot":1,"position":"GK","player":"Elsie Morrison","fitScore":10.71,"seasonScore":0.65,"overallGrade":10.51},{"slot":2,"position":"CB","player":"Stella McEvoy","fitScore":14.12,"seasonScore":0.7667,"overallGrade":11.14},{"slot":3,"position":"CB","player":"Emma Kelly","fitScore":14.71,"seasonScore":0,"overallGrade":13.73},{"slot":4,"position":"CB","player":"Mariana","fitScore":13.48,"seasonScore":0.7667,"overallGrade":10.49},{"slot":5,"position":"RWB","player":"Rama","fitScore":0,"seasonScore":0.7667,"overallGrade":13.63},{"slot":6,"position":"LWB","player":"Hannah Fleming","fitScore":13.13,"seasonScore":0.7667,"overallGrade":12.22},{"slot":7,"position":"CM","player":"Roisin Offenhausen","fitScore":12.78,"seasonScore":0.7667,"overallGrade":11.97},{"slot":8,"position":"CM","player":"Semilore Adesanya","fitScore":13.84,"seasonScore":0.7667,"overallGrade":12.76},{"slot":9,"position":"CM","player":"Tara Brannigan","fitScore":12.68,"seasonScore":0.7667,"overallGrade":11.73},{"slot":10,"position":"ST","player":"Zara Freeman","fitScore":11.6,"seasonScore":0,"overallGrade":11.86},{"slot":11,"position":"ST","player":"Amber Kilalee","fitScore":9.57,"seasonScore":0.7667,"overallGrade":9.01}],"notSelected":[{"player":"Aoife Kennan","position":"GK","overallGrade":6.7,"seasonScore":0.7667,"status":"Available"},{"player":"Zara Power","position":"RB","overallGrade":10.54,"seasonScore":0,"status":"Unavailable — Injured - Ankle injury - 6 week recovery plan (back 2 Oct)"},{"player":"Heidi Cerubini Dunne","position":"LB / RB","overallGrade":4.19,"seasonScore":0,"status":"Available"},{"player":"Naomi Adewoyin","position":"CM / ACM","overallGrade":10.99,"seasonScore":0.7667,"status":"Available"},{"player":"Shauna Kavanagh","position":"ST / RW","overallGrade":7.73,"seasonScore":0.65,"status":"Available"},{"player":"Roma Memon","position":"DM / CM","overallGrade":10.62,"seasonScore":0.7667,"status":"Available"},{"player":"Emma Dromgoole","position":"RW / ST","overallGrade":9.66,"seasonScore":0.7667,"status":"Unavailable — Injured - Knee injury  (back 28 Aug)"}],"unavailable":[{"player":"Zara Power","reason":"Injured - Ankle injury - 6 week recovery plan (back 2 Oct)"},{"player":"Emma Dromgoole","reason":"Injured - Knee injury  (back 28 Aug)"}]},"matchReports":[{"gw":1,"xi":[],"subs":[],"motm":"","matchNotes":"","keyNotes":""}],"preSeason":{"sessionsHeld":11,"squadAttendancePct":0.5966,"squadAvgWorkRate":3.15,"matchReady":4,"players":[{"name":"Aoife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Power","rank":15,"sessionsAttended":3,"sessionsHeld":11,"attendancePct":0.2727,"avgWorkRate":2.67,"gradePct":0.2255,"readinessBand":"Insufficient data"},{"name":"Heidi Cerubini Dunne","rank":16,"sessionsAttended":3,"sessionsHeld":11,"attendancePct":0.2727,"avgWorkRate":2,"gradePct":0.1964,"readinessBand":"Insufficient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data"},{"name":"Mariana","rank":0,"sessionsAttended":0,"sessionsHeld":0,"attendancePct":0,"avgWorkRate":0,"gradePct":0,"readinessBand":"No pre-season data"},{"name":"Rama","rank":0,"sessionsAttended":0,"sessionsHeld":0,"attendancePct":0,"avgWorkRate":0,"gradePct":0,"readinessBand":"No pre-season data"}]},"homeScreen":{"asOf":"2026-08-25","source":"In-season","windowDays":7,"windowSessions":1,"topAllTime":[{"rank":1,"name":"Aoife Kennan","scorePct":0.7667,"basis":"In-season"},{"rank":2,"name":"Stella McEvoy","scorePct":0.7667,"basis":"In-season"},{"rank":3,"name":"Roisin Offenhausen","scorePct":0.7667,"basis":"In-season"},{"rank":4,"name":"Naomi Adewoyin","scorePct":0.7667,"basis":"In-season"},{"rank":5,"name":"Amber Kilalee","scorePct":0.7667,"basis":"In-season"}],"topLastWeek":[{"rank":1,"name":"Aoife Kennan","weekScorePct":0.76,"attended":1,"sessionsHeld":1,"avgWorkRate":3},{"rank":2,"name":"Stella McEvoy","weekScorePct":0.76,"attended":1,"sessionsHeld":1,"avgWorkRate":3},{"rank":3,"name":"Roisin Offenhausen","weekScorePct":0.76,"attended":1,"sessionsHeld":1,"avgWorkRate":3},{"rank":4,"name":"Naomi Adewoyin","weekScorePct":0.76,"attended":1,"sessionsHeld":1,"avgWorkRate":3},{"rank":5,"name":"Amber Kilalee","weekScorePct":0.76,"attended":1,"sessionsHeld":1,"avgWorkRate":3}],"readinessGroups":[{"band":"Match Ready","count":0,"players":[]},{"band":"Not Ready for 90 min","count":1,"players":["Emma Kelly"]},{"band":"Nearly Ready","count":12,"players":["Aoife Kennan","Stella McEvoy","Roisin Offenhausen","Naomi Adewoyin","Amber Kilalee","Tara Brannigan","Semilore Adesanya","Hannah Fleming","Roma Memon","Emma Dromgoole","Mariana","Rama"]},{"band":"Improving","count":0,"players":[]},{"band":"Not Ready","count":2,"players":["Shauna Kavanagh","Elsie Morrison"]},{"band":"Critical","count":0,"players":[]},{"band":"Insufficient data","count":3,"players":["Zara Power","Heidi Cerubini Dunne","Zara Freeman"]}]}}</v>
      </c>
      <c r="G4" s="322" t="s">
        <v>430</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Youth","generated":"2026-08-27 14:27","arrayKeys":{"session":["att","wr"],"match":["att","mins","rating","motm"]},"weightings":{"trainingAttendance":0.25,"workRate":0.35,"matchdayAttendance":0.15,"matchRating":0.25}}</v>
      </c>
    </row>
    <row r="5" spans="1:8" x14ac:dyDescent="0.45">
      <c r="G5" s="322" t="s">
        <v>431</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"squadSummary":{"players":18,"sessionsHeld":1,"matchesPlayed":0,"record":{"w":0,"d":0,"l":0},"avgTrainingAttendance":0.7778,"avgWorkRate":2.86,"avgMatchdayAttendance":0,"avgMatchRating":0,"seasonScore":0.5833}</v>
      </c>
    </row>
    <row r="6" spans="1:8" x14ac:dyDescent="0.45">
      <c r="A6" s="1" t="s">
        <v>432</v>
      </c>
      <c r="G6" s="322" t="s">
        <v>433</v>
      </c>
      <c r="H6" t="str">
        <f>"""ragBands"":["&amp;_xlfn.TEXTJOIN(",",TRUE(),$P$20:$P$25)&amp;"]"</f>
        <v>"ragBands":[{"band":"Critical","from":0,"to":1.5,"players":0},{"band":"Not Ready","from":1.51,"to":2,"players":2},{"band":"Improving","from":2.01,"to":2.5,"players":0},{"band":"Nearly Ready","from":2.51,"to":3,"players":12},{"band":"Not Ready for 90 min","from":3.01,"to":3.49,"players":1},{"band":"Match Ready","from":3.5,"to":5,"players":0}]</v>
      </c>
    </row>
    <row r="7" spans="1:8" x14ac:dyDescent="0.45">
      <c r="A7" s="323" t="str">
        <f>"{"</f>
        <v>{</v>
      </c>
      <c r="G7" s="322" t="s">
        <v>434</v>
      </c>
      <c r="H7" t="str">
        <f>"""sessions"":["&amp;_xlfn.TEXTJOIN(",",TRUE(),$N$20:$N$63)&amp;"]"</f>
        <v>"sessions":[{"index":1,"gw":1,"date":"2026-08-25"}]</v>
      </c>
    </row>
    <row r="8" spans="1:8" x14ac:dyDescent="0.45">
      <c r="A8" s="323" t="str">
        <f ca="1">"  "&amp;$H$4&amp;","</f>
        <v xml:space="preserve">  "meta":{"title":"Lucan Utd Youths — Girls Youth 2026/2027 League Season","squad":"Girls Youth","generated":"2026-08-27 14:27","arrayKeys":{"session":["att","wr"],"match":["att","mins","rating","motm"]},"weightings":{"trainingAttendance":0.25,"workRate":0.35,"matchdayAttendance":0.15,"matchRating":0.25}},</v>
      </c>
      <c r="G8" s="322" t="s">
        <v>435</v>
      </c>
      <c r="H8" t="str">
        <f>"""fixtures"":["&amp;_xlfn.TEXTJOIN(",",TRUE(),$L$20:$L$41)&amp;"]"</f>
        <v>"fixtures":[{"gw":1,"date":"2026-08-30","opponent":"Enniskerry FC","venue":"H","gf":0,"ga":0,"result":""}]</v>
      </c>
    </row>
    <row r="9" spans="1:8" x14ac:dyDescent="0.45">
      <c r="A9" s="323" t="str">
        <f>"  "&amp;$H$5&amp;","</f>
        <v xml:space="preserve">  "squadSummary":{"players":18,"sessionsHeld":1,"matchesPlayed":0,"record":{"w":0,"d":0,"l":0},"avgTrainingAttendance":0.7778,"avgWorkRate":2.86,"avgMatchdayAttendance":0,"avgMatchRating":0,"seasonScore":0.5833},</v>
      </c>
      <c r="G9" s="322" t="s">
        <v>436</v>
      </c>
      <c r="H9" t="str">
        <f>"""players"":["&amp;_xlfn.TEXTJOIN(",",TRUE(),$J$20:$J$39)&amp;"]"</f>
        <v>"players":[{"number":1,"name":"Aoife Kennan","position":"GK","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2,"name":"Stella McEvoy","position":"LB / 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CM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6,"name":"Naomi Adewoyin","position":"CM / A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7,"name":"Amber Kilalee","position":"LW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8,"name":"Shauna Kavanagh","position":"ST / RW","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9,"name":"Tara Brannigan","position":"DM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10,"name":"Semilore Adesanya","position":"CB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11,"name":"Hannah Fleming","position":"LB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15,"name":"Elsie Morrison","position":"LW / ST / GK","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a","position":"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18,"name":"Rama","position":"RW / ST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row>
    <row r="10" spans="1:8" x14ac:dyDescent="0.45">
      <c r="A10" s="323" t="str">
        <f>"  "&amp;$H$6&amp;","</f>
        <v xml:space="preserve">  "ragBands":[{"band":"Critical","from":0,"to":1.5,"players":0},{"band":"Not Ready","from":1.51,"to":2,"players":2},{"band":"Improving","from":2.01,"to":2.5,"players":0},{"band":"Nearly Ready","from":2.51,"to":3,"players":12},{"band":"Not Ready for 90 min","from":3.01,"to":3.49,"players":1},{"band":"Match Ready","from":3.5,"to":5,"players":0}],</v>
      </c>
      <c r="G10" s="322" t="s">
        <v>437</v>
      </c>
      <c r="H10" t="str">
        <f>"""teamSelection"":{""formation"":"""&amp;'Team Selection'!$L$6&amp;""",""startingXI"":["&amp;_xlfn.TEXTJOIN(",",TRUE(),$R$20:$R$30)&amp;"],""notSelected"":["&amp;_xlfn.TEXTJOIN(",",TRUE(),$T$20:$T$39)&amp;"],""unavailable"":["&amp;_xlfn.TEXTJOIN(",",TRUE(),$V$20:$V$39)&amp;"]}"</f>
        <v>"teamSelection":{"formation":"3-5-2","startingXI":[{"slot":1,"position":"GK","player":"Elsie Morrison","fitScore":10.71,"seasonScore":0.65,"overallGrade":10.51},{"slot":2,"position":"CB","player":"Stella McEvoy","fitScore":14.12,"seasonScore":0.7667,"overallGrade":11.14},{"slot":3,"position":"CB","player":"Emma Kelly","fitScore":14.71,"seasonScore":0,"overallGrade":13.73},{"slot":4,"position":"CB","player":"Mariana","fitScore":13.48,"seasonScore":0.7667,"overallGrade":10.49},{"slot":5,"position":"RWB","player":"Rama","fitScore":0,"seasonScore":0.7667,"overallGrade":13.63},{"slot":6,"position":"LWB","player":"Hannah Fleming","fitScore":13.13,"seasonScore":0.7667,"overallGrade":12.22},{"slot":7,"position":"CM","player":"Roisin Offenhausen","fitScore":12.78,"seasonScore":0.7667,"overallGrade":11.97},{"slot":8,"position":"CM","player":"Semilore Adesanya","fitScore":13.84,"seasonScore":0.7667,"overallGrade":12.76},{"slot":9,"position":"CM","player":"Tara Brannigan","fitScore":12.68,"seasonScore":0.7667,"overallGrade":11.73},{"slot":10,"position":"ST","player":"Zara Freeman","fitScore":11.6,"seasonScore":0,"overallGrade":11.86},{"slot":11,"position":"ST","player":"Amber Kilalee","fitScore":9.57,"seasonScore":0.7667,"overallGrade":9.01}],"notSelected":[{"player":"Aoife Kennan","position":"GK","overallGrade":6.7,"seasonScore":0.7667,"status":"Available"},{"player":"Zara Power","position":"RB","overallGrade":10.54,"seasonScore":0,"status":"Unavailable — Injured - Ankle injury - 6 week recovery plan (back 2 Oct)"},{"player":"Heidi Cerubini Dunne","position":"LB / RB","overallGrade":4.19,"seasonScore":0,"status":"Available"},{"player":"Naomi Adewoyin","position":"CM / ACM","overallGrade":10.99,"seasonScore":0.7667,"status":"Available"},{"player":"Shauna Kavanagh","position":"ST / RW","overallGrade":7.73,"seasonScore":0.65,"status":"Available"},{"player":"Roma Memon","position":"DM / CM","overallGrade":10.62,"seasonScore":0.7667,"status":"Available"},{"player":"Emma Dromgoole","position":"RW / ST","overallGrade":9.66,"seasonScore":0.7667,"status":"Unavailable — Injured - Knee injury  (back 28 Aug)"}],"unavailable":[{"player":"Zara Power","reason":"Injured - Ankle injury - 6 week recovery plan (back 2 Oct)"},{"player":"Emma Dromgoole","reason":"Injured - Knee injury  (back 28 Aug)"}]}</v>
      </c>
    </row>
    <row r="11" spans="1:8" x14ac:dyDescent="0.45">
      <c r="A11" s="323" t="str">
        <f>"  "&amp;$H$7&amp;","</f>
        <v xml:space="preserve">  "sessions":[{"index":1,"gw":1,"date":"2026-08-25"}],</v>
      </c>
      <c r="G11" s="322" t="s">
        <v>438</v>
      </c>
      <c r="H11" t="str">
        <f>"""matchReports"":["&amp;_xlfn.TEXTJOIN(",",TRUE(),$AB$20:$AB$41)&amp;"]"</f>
        <v>"matchReports":[{"gw":1,"xi":[],"subs":[],"motm":"","matchNotes":"","keyNotes":""}]</v>
      </c>
    </row>
    <row r="12" spans="1:8" x14ac:dyDescent="0.45">
      <c r="A12" s="323" t="str">
        <f>"  "&amp;$H$8&amp;","</f>
        <v xml:space="preserve">  "fixtures":[{"gw":1,"date":"2026-08-30","opponent":"Enniskerry FC","venue":"H","gf":0,"ga":0,"result":""}],</v>
      </c>
      <c r="G12" s="322" t="s">
        <v>439</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"preSeason":{"sessionsHeld":11,"squadAttendancePct":0.5966,"squadAvgWorkRate":3.15,"matchReady":4,"players":[{"name":"Aoife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Power","rank":15,"sessionsAttended":3,"sessionsHeld":11,"attendancePct":0.2727,"avgWorkRate":2.67,"gradePct":0.2255,"readinessBand":"Insufficient data"},{"name":"Heidi Cerubini Dunne","rank":16,"sessionsAttended":3,"sessionsHeld":11,"attendancePct":0.2727,"avgWorkRate":2,"gradePct":0.1964,"readinessBand":"Insufficient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data"},{"name":"Mariana","rank":0,"sessionsAttended":0,"sessionsHeld":0,"attendancePct":0,"avgWorkRate":0,"gradePct":0,"readinessBand":"No pre-season data"},{"name":"Rama","rank":0,"sessionsAttended":0,"sessionsHeld":0,"attendancePct":0,"avgWorkRate":0,"gradePct":0,"readinessBand":"No pre-season data"}]}</v>
      </c>
    </row>
    <row r="13" spans="1:8" x14ac:dyDescent="0.45">
      <c r="A13" s="323" t="str">
        <f>"  "&amp;$H$9&amp;","</f>
        <v xml:space="preserve">  "players":[{"number":1,"name":"Aoife Kennan","position":"GK","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2,"name":"Stella McEvoy","position":"LB / 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CM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6,"name":"Naomi Adewoyin","position":"CM / A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7,"name":"Amber Kilalee","position":"LW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8,"name":"Shauna Kavanagh","position":"ST / RW","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9,"name":"Tara Brannigan","position":"DM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10,"name":"Semilore Adesanya","position":"CB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11,"name":"Hannah Fleming","position":"LB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15,"name":"Elsie Morrison","position":"LW / ST / GK","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a","position":"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number":18,"name":"Rama","position":"RW / ST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G13" s="322" t="s">
        <v>440</v>
      </c>
      <c r="H13" t="str">
        <f ca="1">"""homeScreen"":{""asOf"":"""&amp;TEXT(Workings!$BD$1,"yyyy-mm-dd")&amp;""",""source"":"""&amp;Workings!$BD$2&amp;""",""windowDays"":"&amp;Workings!$BB$1&amp;",""windowSessions"":"&amp;Workings!$BD$3&amp;",""topAllTime"":["&amp;_xlfn.TEXTJOIN(",",TRUE(),$AF$20:$AF$24)&amp;"],""topLastWeek"":["&amp;_xlfn.TEXTJOIN(",",TRUE(),$AH$20:$AH$24)&amp;"],""readinessGroups"":["&amp;_xlfn.TEXTJOIN(",",TRUE(),$AJ$20:$AJ$26)&amp;"]}"</f>
        <v>"homeScreen":{"asOf":"2026-08-25","source":"In-season","windowDays":7,"windowSessions":1,"topAllTime":[{"rank":1,"name":"Aoife Kennan","scorePct":0.7667,"basis":"In-season"},{"rank":2,"name":"Stella McEvoy","scorePct":0.7667,"basis":"In-season"},{"rank":3,"name":"Roisin Offenhausen","scorePct":0.7667,"basis":"In-season"},{"rank":4,"name":"Naomi Adewoyin","scorePct":0.7667,"basis":"In-season"},{"rank":5,"name":"Amber Kilalee","scorePct":0.7667,"basis":"In-season"}],"topLastWeek":[{"rank":1,"name":"Aoife Kennan","weekScorePct":0.76,"attended":1,"sessionsHeld":1,"avgWorkRate":3},{"rank":2,"name":"Stella McEvoy","weekScorePct":0.76,"attended":1,"sessionsHeld":1,"avgWorkRate":3},{"rank":3,"name":"Roisin Offenhausen","weekScorePct":0.76,"attended":1,"sessionsHeld":1,"avgWorkRate":3},{"rank":4,"name":"Naomi Adewoyin","weekScorePct":0.76,"attended":1,"sessionsHeld":1,"avgWorkRate":3},{"rank":5,"name":"Amber Kilalee","weekScorePct":0.76,"attended":1,"sessionsHeld":1,"avgWorkRate":3}],"readinessGroups":[{"band":"Match Ready","count":0,"players":[]},{"band":"Not Ready for 90 min","count":1,"players":["Emma Kelly"]},{"band":"Nearly Ready","count":12,"players":["Aoife Kennan","Stella McEvoy","Roisin Offenhausen","Naomi Adewoyin","Amber Kilalee","Tara Brannigan","Semilore Adesanya","Hannah Fleming","Roma Memon","Emma Dromgoole","Mariana","Rama"]},{"band":"Improving","count":0,"players":[]},{"band":"Not Ready","count":2,"players":["Shauna Kavanagh","Elsie Morrison"]},{"band":"Critical","count":0,"players":[]},{"band":"Insufficient data","count":3,"players":["Zara Power","Heidi Cerubini Dunne","Zara Freeman"]}]}</v>
      </c>
    </row>
    <row r="14" spans="1:8" x14ac:dyDescent="0.45">
      <c r="A14" s="323" t="str">
        <f>"  "&amp;$H$10&amp;","</f>
        <v xml:space="preserve">  "teamSelection":{"formation":"3-5-2","startingXI":[{"slot":1,"position":"GK","player":"Elsie Morrison","fitScore":10.71,"seasonScore":0.65,"overallGrade":10.51},{"slot":2,"position":"CB","player":"Stella McEvoy","fitScore":14.12,"seasonScore":0.7667,"overallGrade":11.14},{"slot":3,"position":"CB","player":"Emma Kelly","fitScore":14.71,"seasonScore":0,"overallGrade":13.73},{"slot":4,"position":"CB","player":"Mariana","fitScore":13.48,"seasonScore":0.7667,"overallGrade":10.49},{"slot":5,"position":"RWB","player":"Rama","fitScore":0,"seasonScore":0.7667,"overallGrade":13.63},{"slot":6,"position":"LWB","player":"Hannah Fleming","fitScore":13.13,"seasonScore":0.7667,"overallGrade":12.22},{"slot":7,"position":"CM","player":"Roisin Offenhausen","fitScore":12.78,"seasonScore":0.7667,"overallGrade":11.97},{"slot":8,"position":"CM","player":"Semilore Adesanya","fitScore":13.84,"seasonScore":0.7667,"overallGrade":12.76},{"slot":9,"position":"CM","player":"Tara Brannigan","fitScore":12.68,"seasonScore":0.7667,"overallGrade":11.73},{"slot":10,"position":"ST","player":"Zara Freeman","fitScore":11.6,"seasonScore":0,"overallGrade":11.86},{"slot":11,"position":"ST","player":"Amber Kilalee","fitScore":9.57,"seasonScore":0.7667,"overallGrade":9.01}],"notSelected":[{"player":"Aoife Kennan","position":"GK","overallGrade":6.7,"seasonScore":0.7667,"status":"Available"},{"player":"Zara Power","position":"RB","overallGrade":10.54,"seasonScore":0,"status":"Unavailable — Injured - Ankle injury - 6 week recovery plan (back 2 Oct)"},{"player":"Heidi Cerubini Dunne","position":"LB / RB","overallGrade":4.19,"seasonScore":0,"status":"Available"},{"player":"Naomi Adewoyin","position":"CM / ACM","overallGrade":10.99,"seasonScore":0.7667,"status":"Available"},{"player":"Shauna Kavanagh","position":"ST / RW","overallGrade":7.73,"seasonScore":0.65,"status":"Available"},{"player":"Roma Memon","position":"DM / CM","overallGrade":10.62,"seasonScore":0.7667,"status":"Available"},{"player":"Emma Dromgoole","position":"RW / ST","overallGrade":9.66,"seasonScore":0.7667,"status":"Unavailable — Injured - Knee injury  (back 28 Aug)"}],"unavailable":[{"player":"Zara Power","reason":"Injured - Ankle injury - 6 week recovery plan (back 2 Oct)"},{"player":"Emma Dromgoole","reason":"Injured - Knee injury  (back 28 Aug)"}]},</v>
      </c>
    </row>
    <row r="15" spans="1:8" x14ac:dyDescent="0.45">
      <c r="A15" s="323" t="str">
        <f>"  "&amp;$H$11&amp;","</f>
        <v xml:space="preserve">  "matchReports":[{"gw":1,"xi":[],"subs":[],"motm":"","matchNotes":"","keyNotes":""}],</v>
      </c>
    </row>
    <row r="16" spans="1:8" x14ac:dyDescent="0.45">
      <c r="A16" t="str">
        <f>"  "&amp;$H$12&amp;","</f>
        <v xml:space="preserve">  "preSeason":{"sessionsHeld":11,"squadAttendancePct":0.5966,"squadAvgWorkRate":3.15,"matchReady":4,"players":[{"name":"Aoife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Power","rank":15,"sessionsAttended":3,"sessionsHeld":11,"attendancePct":0.2727,"avgWorkRate":2.67,"gradePct":0.2255,"readinessBand":"Insufficient data"},{"name":"Heidi Cerubini Dunne","rank":16,"sessionsAttended":3,"sessionsHeld":11,"attendancePct":0.2727,"avgWorkRate":2,"gradePct":0.1964,"readinessBand":"Insufficient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data"},{"name":"Mariana","rank":0,"sessionsAttended":0,"sessionsHeld":0,"attendancePct":0,"avgWorkRate":0,"gradePct":0,"readinessBand":"No pre-season data"},{"name":"Rama","rank":0,"sessionsAttended":0,"sessionsHeld":0,"attendancePct":0,"avgWorkRate":0,"gradePct":0,"readinessBand":"No pre-season data"}]},</v>
      </c>
    </row>
    <row r="17" spans="1:36" x14ac:dyDescent="0.45">
      <c r="A17" t="str">
        <f ca="1">"  "&amp;$H$13</f>
        <v xml:space="preserve">  "homeScreen":{"asOf":"2026-08-25","source":"In-season","windowDays":7,"windowSessions":1,"topAllTime":[{"rank":1,"name":"Aoife Kennan","scorePct":0.7667,"basis":"In-season"},{"rank":2,"name":"Stella McEvoy","scorePct":0.7667,"basis":"In-season"},{"rank":3,"name":"Roisin Offenhausen","scorePct":0.7667,"basis":"In-season"},{"rank":4,"name":"Naomi Adewoyin","scorePct":0.7667,"basis":"In-season"},{"rank":5,"name":"Amber Kilalee","scorePct":0.7667,"basis":"In-season"}],"topLastWeek":[{"rank":1,"name":"Aoife Kennan","weekScorePct":0.76,"attended":1,"sessionsHeld":1,"avgWorkRate":3},{"rank":2,"name":"Stella McEvoy","weekScorePct":0.76,"attended":1,"sessionsHeld":1,"avgWorkRate":3},{"rank":3,"name":"Roisin Offenhausen","weekScorePct":0.76,"attended":1,"sessionsHeld":1,"avgWorkRate":3},{"rank":4,"name":"Naomi Adewoyin","weekScorePct":0.76,"attended":1,"sessionsHeld":1,"avgWorkRate":3},{"rank":5,"name":"Amber Kilalee","weekScorePct":0.76,"attended":1,"sessionsHeld":1,"avgWorkRate":3}],"readinessGroups":[{"band":"Match Ready","count":0,"players":[]},{"band":"Not Ready for 90 min","count":1,"players":["Emma Kelly"]},{"band":"Nearly Ready","count":12,"players":["Aoife Kennan","Stella McEvoy","Roisin Offenhausen","Naomi Adewoyin","Amber Kilalee","Tara Brannigan","Semilore Adesanya","Hannah Fleming","Roma Memon","Emma Dromgoole","Mariana","Rama"]},{"band":"Improving","count":0,"players":[]},{"band":"Not Ready","count":2,"players":["Shauna Kavanagh","Elsie Morrison"]},{"band":"Critical","count":0,"players":[]},{"band":"Insufficient data","count":3,"players":["Zara Power","Heidi Cerubini Dunne","Zara Freeman"]}]}</v>
      </c>
    </row>
    <row r="18" spans="1:36" x14ac:dyDescent="0.45">
      <c r="A18" t="s">
        <v>441</v>
      </c>
    </row>
    <row r="19" spans="1:36" x14ac:dyDescent="0.45">
      <c r="J19" s="324" t="s">
        <v>436</v>
      </c>
      <c r="K19" s="324"/>
      <c r="L19" s="324" t="s">
        <v>435</v>
      </c>
      <c r="M19" s="324"/>
      <c r="N19" s="324" t="s">
        <v>434</v>
      </c>
      <c r="O19" s="324"/>
      <c r="P19" s="324" t="s">
        <v>433</v>
      </c>
      <c r="Q19" s="324"/>
      <c r="R19" s="324" t="s">
        <v>442</v>
      </c>
      <c r="S19" s="324"/>
      <c r="T19" s="324" t="s">
        <v>443</v>
      </c>
      <c r="U19" s="324"/>
      <c r="V19" s="324" t="s">
        <v>444</v>
      </c>
      <c r="W19" s="324"/>
      <c r="X19" s="324" t="s">
        <v>445</v>
      </c>
      <c r="Y19" s="324"/>
      <c r="Z19" s="324" t="s">
        <v>446</v>
      </c>
      <c r="AD19" s="297" t="s">
        <v>439</v>
      </c>
      <c r="AF19" s="297" t="s">
        <v>447</v>
      </c>
      <c r="AH19" s="297" t="s">
        <v>448</v>
      </c>
      <c r="AJ19" s="297" t="s">
        <v>449</v>
      </c>
    </row>
    <row r="20" spans="1:36" ht="15.75" x14ac:dyDescent="0.5">
      <c r="A20" s="45" t="s">
        <v>450</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0" t="str">
        <f>IF(Workings!$AE6="","","{""gw"":"&amp;Workings!$AD6&amp;",""date"":"""&amp;TEXT(Workings!$AE6,"yyyy-mm-dd")&amp;""",""opponent"":"""&amp;Workings!$AF6&amp;""",""venue"":"""&amp;Workings!$AG6&amp;""",""gf"":"&amp;N(Workings!$AH6)&amp;",""ga"":"&amp;N(Workings!$AI6)&amp;",""result"":"""&amp;Workings!$AJ6&amp;"""}")</f>
        <v>{"gw":1,"date":"2026-08-30","opponent":"Enniskerry FC","venue":"H","gf":0,"ga":0,"result":""}</v>
      </c>
      <c r="N20" t="str">
        <f t="array" ref="N20">IF(LEN(INDEX(Attendance!$E$3:$CN$3,1,(1-1)*2+1))=0,"","{""index"":1,""gw"":1,""date"":"""&amp;TEXT(INDEX(Attendance!$E$3:$CN$3,1,(1-1)*2+1),"yyyy-mm-dd")&amp;"""}")</f>
        <v>{"index":1,"gw":1,"date":"2026-08-25"}</v>
      </c>
      <c r="P20" t="str">
        <f>"{""band"":"""&amp;Workings!$S6&amp;""",""from"":"&amp;Workings!$T6&amp;",""to"":"&amp;Workings!$U6&amp;",""players"":"&amp;Workings!$V6&amp;"}"</f>
        <v>{"band":"Critical","from":0,"to":1.5,"players":0}</v>
      </c>
      <c r="R20" t="str">
        <f>IF('Team Selection'!$D25="","","{""slot"":"&amp;'Team Selection'!$B25&amp;",""position"":"""&amp;'Team Selection'!$C25&amp;""",""player"":"""&amp;'Team Selection'!$D25&amp;""",""fitScore"":"&amp;ROUND(N('Team Selection'!$E25),2)&amp;",""seasonScore"":"&amp;ROUND(N('Team Selection'!$F25),4)&amp;",""overallGrade"":"&amp;ROUND(N('Team Selection'!$G25),2)&amp;"}")</f>
        <v>{"slot":1,"position":"GK","player":"Elsie Morrison","fitScore":10.71,"seasonScore":0.65,"overallGrade":10.51}</v>
      </c>
      <c r="T20" t="str">
        <f>IF('Team Selection'!$C40="","","{""player"":"""&amp;'Team Selection'!$C40&amp;""",""position"":"""&amp;'Team Selection'!$D40&amp;""",""overallGrade"":"&amp;ROUND(N('Team Selection'!$E40),2)&amp;",""seasonScore"":"&amp;ROUND(N('Team Selection'!$F40),4)&amp;",""status"":"""&amp;'Team Selection'!$G40&amp;"""}")</f>
        <v>{"player":"Aoife Kennan","position":"GK","overallGrade":6.7,"seasonScore":0.7667,"status":"Available"}</v>
      </c>
      <c r="V20" t="str">
        <f>IF(OR('Team Selection'!$C64="",'Team Selection'!$E64="Yes"),"","{""player"":"""&amp;'Team Selection'!$C64&amp;""",""reason"":"""&amp;'Team Selection'!$F64&amp;"""}")</f>
        <v/>
      </c>
      <c r="X20" t="str">
        <f t="array" ref="X20">IF(Attendance!$D5="","",_xlfn.TEXTJOIN(",",TRUE(),IF(Attendance!$E$4:$CN$4="Att","["&amp;IF(Attendance!$E5:$CN5="Yes",1,0)&amp;","&amp;IF(Attendance!$F5:$CO5="",0,Attendance!$F5:$CO5)&amp;"]","")))</f>
        <v>[1,3],[0,0],[0,0],[0,0],[0,0],[0,0],[0,0],[0,0],[0,0],[0,0],[0,0],[0,0],[0,0],[0,0],[0,0],[0,0],[0,0],[0,0],[0,0],[0,0],[0,0],[0,0],[0,0],[0,0],[0,0],[0,0],[0,0],[0,0],[0,0],[0,0],[0,0],[0,0],[0,0],[0,0],[0,0],[0,0],[0,0],[0,0],[0,0],[0,0],[0,0],[0,0],[0,0],[0,0]</v>
      </c>
      <c r="Z20" t="str">
        <f t="array" ref="Z20">IF(Attendance!$D5="","",_xlfn.TEXTJOIN(",",TRUE(),IF(Attendance!$CP$4:$FY$4="Att","["&amp;IF(Attendance!$CP5:$FY5="Yes",1,IF(Attendance!$CP5:$FY5="No",0,-1))&amp;","&amp;IF(Attendance!$CQ5:$FZ5="",0,Attendance!$CQ5:$FZ5)&amp;","&amp;IF(Attendance!$CR5:$GA5="",0,Attendance!$CR5:$GA5)&amp;","&amp;IF(Attendance!$CS5:$GB5="Yes",1,0)&amp;"]","")))</f>
        <v>[-1,0,0,0],[-1,0,0,0],[-1,0,0,0],[-1,0,0,0],[-1,0,0,0],[-1,0,0,0],[-1,0,0,0],[-1,0,0,0],[-1,0,0,0],[-1,0,0,0],[-1,0,0,0],[-1,0,0,0],[-1,0,0,0],[-1,0,0,0],[-1,0,0,0],[-1,0,0,0],[-1,0,0,0],[-1,0,0,0],[-1,0,0,0],[-1,0,0,0],[-1,0,0,0],[-1,0,0,0]</v>
      </c>
      <c r="AB20" t="str">
        <f t="array" ref="AB20">IF(AND('Match Day Reports'!$L45="",COUNTIF('Match Day Reports'!$K9:$AD9,"?*")=0),"","{""gw"":"&amp;'Match Day Reports'!$J9&amp;",""xi"":["&amp;_xlfn.TEXTJOIN(",",TRUE(),IF('Match Day Reports'!$K9:$U9="","",""""&amp;'Match Day Reports'!$K9:$U9&amp;""""))&amp;"],""subs"":["&amp;_xlfn.TEXTJOIN(",",TRUE(),IF('Match Day Reports'!$V9:$AB9="","",""""&amp;'Match Day Reports'!$V9:$AB9&amp;""""))&amp;"],""motm"":"""&amp;IFERROR(INDEX(Attendance!$D$5:$D$24,MATCH("Yes",INDEX(Attendance!$CP$5:$FY$24,0,('Match Day Reports'!$J9-1)*4+4),0)),"")&amp;""",""matchNotes"":"""&amp;SUBSTITUTE(SUBSTITUTE('Match Day Reports'!$AC9,"""","'"),CHAR(10)," ")&amp;""",""keyNotes"":"""&amp;SUBSTITUTE(SUBSTITUTE('Match Day Reports'!$AD9,"""","'"),CHAR(10)," ")&amp;"""}")</f>
        <v>{"gw":1,"xi":[],"subs":[],"motm":"","matchNotes":"","keyNotes":""}</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Kennan","rank":5,"sessionsAttended":8,"sessionsHeld":11,"attendancePct":0.7273,"avgWorkRate":2.88,"gradePct":0.6255,"readinessBand":"Nearly Ready"}</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{"rank":1,"name":"Aoife Kennan","scorePct":0.7667,"basis":"In-season"}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Kennan","weekScorePct":0.76,"attended":1,"sessionsHeld":1,"avgWorkRate":3}</v>
      </c>
      <c r="AJ20" t="str">
        <f>IF(Workings!$BO6="","","{""band"":"""&amp;Workings!$BO6&amp;""",""count"":"&amp;N(Workings!$BP6)&amp;",""players"":["&amp;IF(Workings!$BQ6="","",""""&amp;SUBSTITUTE(Workings!$BQ6,", ",""",""")&amp;"""")&amp;"]}")</f>
        <v>{"band":"Match Ready","count":0,"players":[]}</v>
      </c>
    </row>
    <row r="21" spans="1:36" x14ac:dyDescent="0.45">
      <c r="A21" s="325" t="s">
        <v>451</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1" t="str">
        <f>IF(Workings!$AE7="","","{""gw"":"&amp;Workings!$AD7&amp;",""date"":"""&amp;TEXT(Workings!$AE7,"yyyy-mm-dd")&amp;""",""opponent"":"""&amp;Workings!$AF7&amp;""",""venue"":"""&amp;Workings!$AG7&amp;""",""gf"":"&amp;N(Workings!$AH7)&amp;",""ga"":"&amp;N(Workings!$AI7)&amp;",""result"":"""&amp;Workings!$AJ7&amp;"""}")</f>
        <v/>
      </c>
      <c r="N21" t="str">
        <f t="array" ref="N21">IF(LEN(INDEX(Attendance!$E$3:$CN$3,1,(2-1)*2+1))=0,"","{""index"":2,""gw"":1,""date"":"""&amp;TEXT(INDEX(Attendance!$E$3:$CN$3,1,(2-1)*2+1),"yyyy-mm-dd")&amp;"""}")</f>
        <v/>
      </c>
      <c r="P21" t="str">
        <f>"{""band"":"""&amp;Workings!$S7&amp;""",""from"":"&amp;Workings!$T7&amp;",""to"":"&amp;Workings!$U7&amp;",""players"":"&amp;Workings!$V7&amp;"}"</f>
        <v>{"band":"Not Ready","from":1.51,"to":2,"players":2}</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McEvoy","fitScore":14.12,"seasonScore":0.7667,"overallGrade":11.14}</v>
      </c>
      <c r="T21" t="str">
        <f>IF('Team Selection'!$C41="","","{""player"":"""&amp;'Team Selection'!$C41&amp;""",""position"":"""&amp;'Team Selection'!$D41&amp;""",""overallGrade"":"&amp;ROUND(N('Team Selection'!$E41),2)&amp;",""seasonScore"":"&amp;ROUND(N('Team Selection'!$F41),4)&amp;",""status"":"""&amp;'Team Selection'!$G41&amp;"""}")</f>
        <v>{"player":"Zara Power","position":"RB","overallGrade":10.54,"seasonScore":0,"status":"Unavailable — Injured - Ankle injury - 6 week recovery plan (back 2 Oct)"}</v>
      </c>
      <c r="V21" t="str">
        <f>IF(OR('Team Selection'!$C65="",'Team Selection'!$E65="Yes"),"","{""player"":"""&amp;'Team Selection'!$C65&amp;""",""reason"":"""&amp;'Team Selection'!$F65&amp;"""}")</f>
        <v/>
      </c>
      <c r="X21" t="str">
        <f t="array" ref="X21">IF(Attendance!$D6="","",_xlfn.TEXTJOIN(",",TRUE(),IF(Attendance!$E$4:$CN$4="Att","["&amp;IF(Attendance!$E6:$CN6="Yes",1,0)&amp;","&amp;IF(Attendance!$F6:$CO6="",0,Attendance!$F6:$CO6)&amp;"]","")))</f>
        <v>[1,3],[0,0],[0,0],[0,0],[0,0],[0,0],[0,0],[0,0],[0,0],[0,0],[0,0],[0,0],[0,0],[0,0],[0,0],[0,0],[0,0],[0,0],[0,0],[0,0],[0,0],[0,0],[0,0],[0,0],[0,0],[0,0],[0,0],[0,0],[0,0],[0,0],[0,0],[0,0],[0,0],[0,0],[0,0],[0,0],[0,0],[0,0],[0,0],[0,0],[0,0],[0,0],[0,0],[0,0]</v>
      </c>
      <c r="Z21" t="str">
        <f t="array" ref="Z21">IF(Attendance!$D6="","",_xlfn.TEXTJOIN(",",TRUE(),IF(Attendance!$CP$4:$FY$4="Att","["&amp;IF(Attendance!$CP6:$FY6="Yes",1,IF(Attendance!$CP6:$FY6="No",0,-1))&amp;","&amp;IF(Attendance!$CQ6:$FZ6="",0,Attendance!$CQ6:$FZ6)&amp;","&amp;IF(Attendance!$CR6:$GA6="",0,Attendance!$CR6:$GA6)&amp;","&amp;IF(Attendance!$CS6:$GB6="Yes",1,0)&amp;"]","")))</f>
        <v>[-1,0,0,0],[-1,0,0,0],[-1,0,0,0],[-1,0,0,0],[-1,0,0,0],[-1,0,0,0],[-1,0,0,0],[-1,0,0,0],[-1,0,0,0],[-1,0,0,0],[-1,0,0,0],[-1,0,0,0],[-1,0,0,0],[-1,0,0,0],[-1,0,0,0],[-1,0,0,0],[-1,0,0,0],[-1,0,0,0],[-1,0,0,0],[-1,0,0,0],[-1,0,0,0],[-1,0,0,0]</v>
      </c>
      <c r="AB21" t="str">
        <f t="array" ref="AB21">IF(AND('Match Day Reports'!$L46="",COUNTIF('Match Day Reports'!$K10:$AD10,"?*")=0),"","{""gw"":"&amp;'Match Day Reports'!$J10&amp;",""xi"":["&amp;_xlfn.TEXTJOIN(",",TRUE(),IF('Match Day Reports'!$K10:$U10="","",""""&amp;'Match Day Reports'!$K10:$U10&amp;""""))&amp;"],""subs"":["&amp;_xlfn.TEXTJOIN(",",TRUE(),IF('Match Day Reports'!$V10:$AB10="","",""""&amp;'Match Day Reports'!$V10:$AB10&amp;""""))&amp;"],""motm"":"""&amp;IFERROR(INDEX(Attendance!$D$5:$D$24,MATCH("Yes",INDEX(Attendance!$CP$5:$FY$24,0,('Match Day Reports'!$J10-1)*4+4),0)),"")&amp;""",""matchNotes"":"""&amp;SUBSTITUTE(SUBSTITUTE('Match Day Reports'!$AC10,"""","'"),CHAR(10)," ")&amp;""",""keyNotes"":"""&amp;SUBSTITUTE(SUBSTITUTE('Match Day Reports'!$AD10,"""","'"),CHAR(10)," ")&amp;"""}")</f>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{"rank":2,"name":"Stella McEvoy","scorePct":0.7667,"basis":"In-season"}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{"rank":2,"name":"Stella McEvoy","weekScorePct":0.76,"attended":1,"sessionsHeld":1,"avgWorkRate":3}</v>
      </c>
      <c r="AJ21" t="str">
        <f>IF(Workings!$BO7="","","{""band"":"""&amp;Workings!$BO7&amp;""",""count"":"&amp;N(Workings!$BP7)&amp;",""players"":["&amp;IF(Workings!$BQ7="","",""""&amp;SUBSTITUTE(Workings!$BQ7,", ",""",""")&amp;"""")&amp;"]}")</f>
        <v>{"band":"Not Ready for 90 min","count":1,"players":["Emma Kelly"]}</v>
      </c>
    </row>
    <row r="22" spans="1:36" x14ac:dyDescent="0.45">
      <c r="A22" s="304" t="s">
        <v>452</v>
      </c>
      <c r="B22" s="326"/>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
      </c>
      <c r="P22" t="str">
        <f>"{""band"":"""&amp;Workings!$S8&amp;""",""from"":"&amp;Workings!$T8&amp;",""to"":"&amp;Workings!$U8&amp;",""players"":"&amp;Workings!$V8&amp;"}"</f>
        <v>{"band":"Improving","from":2.01,"to":2.5,"players":0}</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Kelly","fitScore":14.71,"seasonScore":0,"overallGrade":13.73}</v>
      </c>
      <c r="T22" t="str">
        <f>IF('Team Selection'!$C42="","","{""player"":"""&amp;'Team Selection'!$C42&amp;""",""position"":"""&amp;'Team Selection'!$D42&amp;""",""overallGrade"":"&amp;ROUND(N('Team Selection'!$E42),2)&amp;",""seasonScore"":"&amp;ROUND(N('Team Selection'!$F42),4)&amp;",""status"":"""&amp;'Team Selection'!$G42&amp;"""}")</f>
        <v>{"player":"Heidi Cerubini Dunne","position":"LB / RB","overallGrade":4.19,"seasonScore":0,"status":"Available"}</v>
      </c>
      <c r="V22" t="str">
        <f>IF(OR('Team Selection'!$C66="",'Team Selection'!$E66="Yes"),"","{""player"":"""&amp;'Team Selection'!$C66&amp;""",""reason"":"""&amp;'Team Selection'!$F66&amp;"""}")</f>
        <v>{"player":"Zara Power","reason":"Injured - Ankle injury - 6 week recovery plan (back 2 Oct)"}</v>
      </c>
      <c r="X22" t="str">
        <f t="array" ref="X22">IF(Attendance!$D7="","",_xlfn.TEXTJOIN(",",TRUE(),IF(Attendance!$E$4:$CN$4="Att","["&amp;IF(Attendance!$E7:$CN7="Yes",1,0)&amp;","&amp;IF(Attendance!$F7:$CO7="",0,Attendance!$F7:$CO7)&amp;"]","")))</f>
        <v>[0,0],[0,0],[0,0],[0,0],[0,0],[0,0],[0,0],[0,0],[0,0],[0,0],[0,0],[0,0],[0,0],[0,0],[0,0],[0,0],[0,0],[0,0],[0,0],[0,0],[0,0],[0,0],[0,0],[0,0],[0,0],[0,0],[0,0],[0,0],[0,0],[0,0],[0,0],[0,0],[0,0],[0,0],[0,0],[0,0],[0,0],[0,0],[0,0],[0,0],[0,0],[0,0],[0,0],[0,0]</v>
      </c>
      <c r="Z22" t="str">
        <f t="array" ref="Z22">IF(Attendance!$D7="","",_xlfn.TEXTJOIN(",",TRUE(),IF(Attendance!$CP$4:$FY$4="Att","["&amp;IF(Attendance!$CP7:$FY7="Yes",1,IF(Attendance!$CP7:$FY7="No",0,-1))&amp;","&amp;IF(Attendance!$CQ7:$FZ7="",0,Attendance!$CQ7:$FZ7)&amp;","&amp;IF(Attendance!$CR7:$GA7="",0,Attendance!$CR7:$GA7)&amp;","&amp;IF(Attendance!$CS7:$GB7="Yes",1,0)&amp;"]","")))</f>
        <v>[-1,0,0,0],[-1,0,0,0],[-1,0,0,0],[-1,0,0,0],[-1,0,0,0],[-1,0,0,0],[-1,0,0,0],[-1,0,0,0],[-1,0,0,0],[-1,0,0,0],[-1,0,0,0],[-1,0,0,0],[-1,0,0,0],[-1,0,0,0],[-1,0,0,0],[-1,0,0,0],[-1,0,0,0],[-1,0,0,0],[-1,0,0,0],[-1,0,0,0],[-1,0,0,0],[-1,0,0,0]</v>
      </c>
      <c r="AB22" t="str">
        <f t="array" ref="AB22">IF(AND('Match Day Reports'!$L47="",COUNTIF('Match Day Reports'!$K11:$AD11,"?*")=0),"","{""gw"":"&amp;'Match Day Reports'!$J11&amp;",""xi"":["&amp;_xlfn.TEXTJOIN(",",TRUE(),IF('Match Day Reports'!$K11:$U11="","",""""&amp;'Match Day Reports'!$K11:$U11&amp;""""))&amp;"],""subs"":["&amp;_xlfn.TEXTJOIN(",",TRUE(),IF('Match Day Reports'!$V11:$AB11="","",""""&amp;'Match Day Reports'!$V11:$AB11&amp;""""))&amp;"],""motm"":"""&amp;IFERROR(INDEX(Attendance!$D$5:$D$24,MATCH("Yes",INDEX(Attendance!$CP$5:$FY$24,0,('Match Day Reports'!$J11-1)*4+4),0)),"")&amp;""",""matchNotes"":"""&amp;SUBSTITUTE(SUBSTITUTE('Match Day Reports'!$AC11,"""","'"),CHAR(10)," ")&amp;""",""keyNotes"":"""&amp;SUBSTITUTE(SUBSTITUTE('Match Day Reports'!$AD11,"""","'"),CHAR(10)," ")&amp;"""}")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Power","rank":15,"sessionsAttended":3,"sessionsHeld":11,"attendancePct":0.2727,"avgWorkRate":2.67,"gradePct":0.2255,"readinessBand":"Insufficient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{"rank":3,"name":"Roisin Offenhausen","scorePct":0.7667,"basis":"In-season"}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{"rank":3,"name":"Roisin Offenhausen","weekScorePct":0.76,"attended":1,"sessionsHeld":1,"avgWorkRate":3}</v>
      </c>
      <c r="AJ22" t="str">
        <f>IF(Workings!$BO8="","","{""band"":"""&amp;Workings!$BO8&amp;""",""count"":"&amp;N(Workings!$BP8)&amp;",""players"":["&amp;IF(Workings!$BQ8="","",""""&amp;SUBSTITUTE(Workings!$BQ8,", ",""",""")&amp;"""")&amp;"]}")</f>
        <v>{"band":"Nearly Ready","count":12,"players":["Aoife Kennan","Stella McEvoy","Roisin Offenhausen","Naomi Adewoyin","Amber Kilalee","Tara Brannigan","Semilore Adesanya","Hannah Fleming","Roma Memon","Emma Dromgoole","Mariana","Rama"]}</v>
      </c>
    </row>
    <row r="23" spans="1:36"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
      </c>
      <c r="P23" t="str">
        <f>"{""band"":"""&amp;Workings!$S9&amp;""",""from"":"&amp;Workings!$T9&amp;",""to"":"&amp;Workings!$U9&amp;",""players"":"&amp;Workings!$V9&amp;"}"</f>
        <v>{"band":"Nearly Ready","from":2.51,"to":3,"players":12}</v>
      </c>
      <c r="R23" t="str">
        <f>IF('Team Selection'!$D28="","","{""slot"":"&amp;'Team Selection'!$B28&amp;",""position"":"""&amp;'Team Selection'!$C28&amp;""",""player"":"""&amp;'Team Selection'!$D28&amp;""",""fitScore"":"&amp;ROUND(N('Team Selection'!$E28),2)&amp;",""seasonScore"":"&amp;ROUND(N('Team Selection'!$F28),4)&amp;",""overallGrade"":"&amp;ROUND(N('Team Selection'!$G28),2)&amp;"}")</f>
        <v>{"slot":4,"position":"CB","player":"Mariana","fitScore":13.48,"seasonScore":0.7667,"overallGrade":10.49}</v>
      </c>
      <c r="T23" t="str">
        <f>IF('Team Selection'!$C43="","","{""player"":"""&amp;'Team Selection'!$C43&amp;""",""position"":"""&amp;'Team Selection'!$D43&amp;""",""overallGrade"":"&amp;ROUND(N('Team Selection'!$E43),2)&amp;",""seasonScore"":"&amp;ROUND(N('Team Selection'!$F43),4)&amp;",""status"":"""&amp;'Team Selection'!$G43&amp;"""}")</f>
        <v>{"player":"Naomi Adewoyin","position":"CM / ACM","overallGrade":10.99,"seasonScore":0.7667,"status":"Available"}</v>
      </c>
      <c r="V23" t="str">
        <f>IF(OR('Team Selection'!$C67="",'Team Selection'!$E67="Yes"),"","{""player"":"""&amp;'Team Selection'!$C67&amp;""",""reason"":"""&amp;'Team Selection'!$F67&amp;"""}")</f>
        <v/>
      </c>
      <c r="X23" t="str">
        <f t="array" ref="X23">IF(Attendance!$D8="","",_xlfn.TEXTJOIN(",",TRUE(),IF(Attendance!$E$4:$CN$4="Att","["&amp;IF(Attendance!$E8:$CN8="Yes",1,0)&amp;","&amp;IF(Attendance!$F8:$CO8="",0,Attendance!$F8:$CO8)&amp;"]","")))</f>
        <v>[0,0],[0,0],[0,0],[0,0],[0,0],[0,0],[0,0],[0,0],[0,0],[0,0],[0,0],[0,0],[0,0],[0,0],[0,0],[0,0],[0,0],[0,0],[0,0],[0,0],[0,0],[0,0],[0,0],[0,0],[0,0],[0,0],[0,0],[0,0],[0,0],[0,0],[0,0],[0,0],[0,0],[0,0],[0,0],[0,0],[0,0],[0,0],[0,0],[0,0],[0,0],[0,0],[0,0],[0,0]</v>
      </c>
      <c r="Z23" t="str">
        <f t="array" ref="Z23">IF(Attendance!$D8="","",_xlfn.TEXTJOIN(",",TRUE(),IF(Attendance!$CP$4:$FY$4="Att","["&amp;IF(Attendance!$CP8:$FY8="Yes",1,IF(Attendance!$CP8:$FY8="No",0,-1))&amp;","&amp;IF(Attendance!$CQ8:$FZ8="",0,Attendance!$CQ8:$FZ8)&amp;","&amp;IF(Attendance!$CR8:$GA8="",0,Attendance!$CR8:$GA8)&amp;","&amp;IF(Attendance!$CS8:$GB8="Yes",1,0)&amp;"]","")))</f>
        <v>[-1,0,0,0],[-1,0,0,0],[-1,0,0,0],[-1,0,0,0],[-1,0,0,0],[-1,0,0,0],[-1,0,0,0],[-1,0,0,0],[-1,0,0,0],[-1,0,0,0],[-1,0,0,0],[-1,0,0,0],[-1,0,0,0],[-1,0,0,0],[-1,0,0,0],[-1,0,0,0],[-1,0,0,0],[-1,0,0,0],[-1,0,0,0],[-1,0,0,0],[-1,0,0,0],[-1,0,0,0]</v>
      </c>
      <c r="AB23" t="str">
        <f t="array" ref="AB23">IF(AND('Match Day Reports'!$L48="",COUNTIF('Match Day Reports'!$K12:$AD12,"?*")=0),"","{""gw"":"&amp;'Match Day Reports'!$J12&amp;",""xi"":["&amp;_xlfn.TEXTJOIN(",",TRUE(),IF('Match Day Reports'!$K12:$U12="","",""""&amp;'Match Day Reports'!$K12:$U12&amp;""""))&amp;"],""subs"":["&amp;_xlfn.TEXTJOIN(",",TRUE(),IF('Match Day Reports'!$V12:$AB12="","",""""&amp;'Match Day Reports'!$V12:$AB12&amp;""""))&amp;"],""motm"":"""&amp;IFERROR(INDEX(Attendance!$D$5:$D$24,MATCH("Yes",INDEX(Attendance!$CP$5:$FY$24,0,('Match Day Reports'!$J12-1)*4+4),0)),"")&amp;""",""matchNotes"":"""&amp;SUBSTITUTE(SUBSTITUTE('Match Day Reports'!$AC12,"""","'"),CHAR(10)," ")&amp;""",""keyNotes"":"""&amp;SUBSTITUTE(SUBSTITUTE('Match Day Reports'!$AD12,"""","'"),CHAR(10)," ")&amp;"""}")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Dunne","rank":16,"sessionsAttended":3,"sessionsHeld":11,"attendancePct":0.2727,"avgWorkRate":2,"gradePct":0.1964,"readinessBand":"Insufficient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{"rank":4,"name":"Naomi Adewoyin","scorePct":0.7667,"basis":"In-season"}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Adewoyin","weekScorePct":0.76,"attended":1,"sessionsHeld":1,"avgWorkRate":3}</v>
      </c>
      <c r="AJ23" t="str">
        <f>IF(Workings!$BO9="","","{""band"":"""&amp;Workings!$BO9&amp;""",""count"":"&amp;N(Workings!$BP9)&amp;",""players"":["&amp;IF(Workings!$BQ9="","",""""&amp;SUBSTITUTE(Workings!$BQ9,", ",""",""")&amp;"""")&amp;"]}")</f>
        <v>{"band":"Improving","count":0,"players":[]}</v>
      </c>
    </row>
    <row r="24" spans="1:36" x14ac:dyDescent="0.45">
      <c r="A24" s="330" t="s">
        <v>32</v>
      </c>
      <c r="B24" s="331" t="s">
        <v>453</v>
      </c>
      <c r="C24" s="331" t="s">
        <v>454</v>
      </c>
      <c r="D24" s="331" t="s">
        <v>318</v>
      </c>
      <c r="E24" s="327" t="s">
        <v>455</v>
      </c>
      <c r="F24" s="327" t="s">
        <v>456</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
      </c>
      <c r="P24" t="str">
        <f>"{""band"":"""&amp;Workings!$S10&amp;""",""from"":"&amp;Workings!$T10&amp;",""to"":"&amp;Workings!$U10&amp;",""players"":"&amp;Workings!$V10&amp;"}"</f>
        <v>{"band":"Not Ready for 90 min","from":3.01,"to":3.49,"players":1}</v>
      </c>
      <c r="R24" t="str">
        <f>IF('Team Selection'!$D29="","","{""slot"":"&amp;'Team Selection'!$B29&amp;",""position"":"""&amp;'Team Selection'!$C29&amp;""",""player"":"""&amp;'Team Selection'!$D29&amp;""",""fitScore"":"&amp;ROUND(N('Team Selection'!$E29),2)&amp;",""seasonScore"":"&amp;ROUND(N('Team Selection'!$F29),4)&amp;",""overallGrade"":"&amp;ROUND(N('Team Selection'!$G29),2)&amp;"}")</f>
        <v>{"slot":5,"position":"RWB","player":"Rama","fitScore":0,"seasonScore":0.7667,"overallGrade":13.63}</v>
      </c>
      <c r="T24" t="str">
        <f>IF('Team Selection'!$C44="","","{""player"":"""&amp;'Team Selection'!$C44&amp;""",""position"":"""&amp;'Team Selection'!$D44&amp;""",""overallGrade"":"&amp;ROUND(N('Team Selection'!$E44),2)&amp;",""seasonScore"":"&amp;ROUND(N('Team Selection'!$F44),4)&amp;",""status"":"""&amp;'Team Selection'!$G44&amp;"""}")</f>
        <v>{"player":"Shauna Kavanagh","position":"ST / RW","overallGrade":7.73,"seasonScore":0.65,"status":"Available"}</v>
      </c>
      <c r="V24" t="str">
        <f>IF(OR('Team Selection'!$C68="",'Team Selection'!$E68="Yes"),"","{""player"":"""&amp;'Team Selection'!$C68&amp;""",""reason"":"""&amp;'Team Selection'!$F68&amp;"""}")</f>
        <v/>
      </c>
      <c r="X24" t="str">
        <f t="array" ref="X24">IF(Attendance!$D9="","",_xlfn.TEXTJOIN(",",TRUE(),IF(Attendance!$E$4:$CN$4="Att","["&amp;IF(Attendance!$E9:$CN9="Yes",1,0)&amp;","&amp;IF(Attendance!$F9:$CO9="",0,Attendance!$F9:$CO9)&amp;"]","")))</f>
        <v>[1,3],[0,0],[0,0],[0,0],[0,0],[0,0],[0,0],[0,0],[0,0],[0,0],[0,0],[0,0],[0,0],[0,0],[0,0],[0,0],[0,0],[0,0],[0,0],[0,0],[0,0],[0,0],[0,0],[0,0],[0,0],[0,0],[0,0],[0,0],[0,0],[0,0],[0,0],[0,0],[0,0],[0,0],[0,0],[0,0],[0,0],[0,0],[0,0],[0,0],[0,0],[0,0],[0,0],[0,0]</v>
      </c>
      <c r="Z24" t="str">
        <f t="array" ref="Z24">IF(Attendance!$D9="","",_xlfn.TEXTJOIN(",",TRUE(),IF(Attendance!$CP$4:$FY$4="Att","["&amp;IF(Attendance!$CP9:$FY9="Yes",1,IF(Attendance!$CP9:$FY9="No",0,-1))&amp;","&amp;IF(Attendance!$CQ9:$FZ9="",0,Attendance!$CQ9:$FZ9)&amp;","&amp;IF(Attendance!$CR9:$GA9="",0,Attendance!$CR9:$GA9)&amp;","&amp;IF(Attendance!$CS9:$GB9="Yes",1,0)&amp;"]","")))</f>
        <v>[-1,0,0,0],[-1,0,0,0],[-1,0,0,0],[-1,0,0,0],[-1,0,0,0],[-1,0,0,0],[-1,0,0,0],[-1,0,0,0],[-1,0,0,0],[-1,0,0,0],[-1,0,0,0],[-1,0,0,0],[-1,0,0,0],[-1,0,0,0],[-1,0,0,0],[-1,0,0,0],[-1,0,0,0],[-1,0,0,0],[-1,0,0,0],[-1,0,0,0],[-1,0,0,0],[-1,0,0,0]</v>
      </c>
      <c r="AB24" t="str">
        <f t="array" ref="AB24">IF(AND('Match Day Reports'!$L49="",COUNTIF('Match Day Reports'!$K13:$AD13,"?*")=0),"","{""gw"":"&amp;'Match Day Reports'!$J13&amp;",""xi"":["&amp;_xlfn.TEXTJOIN(",",TRUE(),IF('Match Day Reports'!$K13:$U13="","",""""&amp;'Match Day Reports'!$K13:$U13&amp;""""))&amp;"],""subs"":["&amp;_xlfn.TEXTJOIN(",",TRUE(),IF('Match Day Reports'!$V13:$AB13="","",""""&amp;'Match Day Reports'!$V13:$AB13&amp;""""))&amp;"],""motm"":"""&amp;IFERROR(INDEX(Attendance!$D$5:$D$24,MATCH("Yes",INDEX(Attendance!$CP$5:$FY$24,0,('Match Day Reports'!$J13-1)*4+4),0)),"")&amp;""",""matchNotes"":"""&amp;SUBSTITUTE(SUBSTITUTE('Match Day Reports'!$AC13,"""","'"),CHAR(10)," ")&amp;""",""keyNotes"":"""&amp;SUBSTITUTE(SUBSTITUTE('Match Day Reports'!$AD13,"""","'"),CHAR(10)," ")&amp;"""}")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{"rank":5,"name":"Amber Kilalee","scorePct":0.7667,"basis":"In-season"}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Kilalee","weekScorePct":0.76,"attended":1,"sessionsHeld":1,"avgWorkRate":3}</v>
      </c>
      <c r="AJ24" t="str">
        <f>IF(Workings!$BO10="","","{""band"":"""&amp;Workings!$BO10&amp;""",""count"":"&amp;N(Workings!$BP10)&amp;",""players"":["&amp;IF(Workings!$BQ10="","",""""&amp;SUBSTITUTE(Workings!$BQ10,", ",""",""")&amp;"""")&amp;"]}")</f>
        <v>{"band":"Not Ready","count":2,"players":["Shauna Kavanagh","Elsie Morrison"]}</v>
      </c>
    </row>
    <row r="25" spans="1:36" x14ac:dyDescent="0.45">
      <c r="A25" s="336" t="str">
        <f>Workings!$S6</f>
        <v>Critical</v>
      </c>
      <c r="B25" s="337">
        <f>Workings!$V6</f>
        <v>0</v>
      </c>
      <c r="C25" s="338" t="str">
        <f>IF($F25="","",IFERROR(VALUE(MID($B$22,$F25,FIND("}",$B$22,$F25)-$F25)),"?"))</f>
        <v/>
      </c>
      <c r="D25" s="338" t="str">
        <f>IF($B$22="","-",IF($C25="","BAND NOT FOUND",IF($C25=$B25,"OK","MISMATCH")))</f>
        <v>-</v>
      </c>
      <c r="E25" s="329">
        <f>IFERROR(FIND("""band"":"""&amp;$A25&amp;"""",$B$22),0)</f>
        <v>0</v>
      </c>
      <c r="F25" s="329"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
      </c>
      <c r="P25" t="str">
        <f>"{""band"":"""&amp;Workings!$S11&amp;""",""from"":"&amp;Workings!$T11&amp;",""to"":"&amp;Workings!$U11&amp;",""players"":"&amp;Workings!$V11&amp;"}"</f>
        <v>{"band":"Match Ready","from":3.5,"to":5,"players":0}</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Fleming","fitScore":13.13,"seasonScore":0.7667,"overallGrade":12.22}</v>
      </c>
      <c r="T25" t="str">
        <f>IF('Team Selection'!$C45="","","{""player"":"""&amp;'Team Selection'!$C45&amp;""",""position"":"""&amp;'Team Selection'!$D45&amp;""",""overallGrade"":"&amp;ROUND(N('Team Selection'!$E45),2)&amp;",""seasonScore"":"&amp;ROUND(N('Team Selection'!$F45),4)&amp;",""status"":"""&amp;'Team Selection'!$G45&amp;"""}")</f>
        <v>{"player":"Roma Memon","position":"DM / CM","overallGrade":10.62,"seasonScore":0.7667,"status":"Available"}</v>
      </c>
      <c r="V25" t="str">
        <f>IF(OR('Team Selection'!$C69="",'Team Selection'!$E69="Yes"),"","{""player"":"""&amp;'Team Selection'!$C69&amp;""",""reason"":"""&amp;'Team Selection'!$F69&amp;"""}")</f>
        <v/>
      </c>
      <c r="X25" t="str">
        <f t="array" ref="X25">IF(Attendance!$D10="","",_xlfn.TEXTJOIN(",",TRUE(),IF(Attendance!$E$4:$CN$4="Att","["&amp;IF(Attendance!$E10:$CN10="Yes",1,0)&amp;","&amp;IF(Attendance!$F10:$CO10="",0,Attendance!$F10:$CO10)&amp;"]","")))</f>
        <v>[1,3],[0,0],[0,0],[0,0],[0,0],[0,0],[0,0],[0,0],[0,0],[0,0],[0,0],[0,0],[0,0],[0,0],[0,0],[0,0],[0,0],[0,0],[0,0],[0,0],[0,0],[0,0],[0,0],[0,0],[0,0],[0,0],[0,0],[0,0],[0,0],[0,0],[0,0],[0,0],[0,0],[0,0],[0,0],[0,0],[0,0],[0,0],[0,0],[0,0],[0,0],[0,0],[0,0],[0,0]</v>
      </c>
      <c r="Z25" t="str">
        <f t="array" ref="Z25">IF(Attendance!$D10="","",_xlfn.TEXTJOIN(",",TRUE(),IF(Attendance!$CP$4:$FY$4="Att","["&amp;IF(Attendance!$CP10:$FY10="Yes",1,IF(Attendance!$CP10:$FY10="No",0,-1))&amp;","&amp;IF(Attendance!$CQ10:$FZ10="",0,Attendance!$CQ10:$FZ10)&amp;","&amp;IF(Attendance!$CR10:$GA10="",0,Attendance!$CR10:$GA10)&amp;","&amp;IF(Attendance!$CS10:$GB10="Yes",1,0)&amp;"]","")))</f>
        <v>[-1,0,0,0],[-1,0,0,0],[-1,0,0,0],[-1,0,0,0],[-1,0,0,0],[-1,0,0,0],[-1,0,0,0],[-1,0,0,0],[-1,0,0,0],[-1,0,0,0],[-1,0,0,0],[-1,0,0,0],[-1,0,0,0],[-1,0,0,0],[-1,0,0,0],[-1,0,0,0],[-1,0,0,0],[-1,0,0,0],[-1,0,0,0],[-1,0,0,0],[-1,0,0,0],[-1,0,0,0]</v>
      </c>
      <c r="AB25" t="str">
        <f t="array" ref="AB25">IF(AND('Match Day Reports'!$L50="",COUNTIF('Match Day Reports'!$K14:$AD14,"?*")=0),"","{""gw"":"&amp;'Match Day Reports'!$J14&amp;",""xi"":["&amp;_xlfn.TEXTJOIN(",",TRUE(),IF('Match Day Reports'!$K14:$U14="","",""""&amp;'Match Day Reports'!$K14:$U14&amp;""""))&amp;"],""subs"":["&amp;_xlfn.TEXTJOIN(",",TRUE(),IF('Match Day Reports'!$V14:$AB14="","",""""&amp;'Match Day Reports'!$V14:$AB14&amp;""""))&amp;"],""motm"":"""&amp;IFERROR(INDEX(Attendance!$D$5:$D$24,MATCH("Yes",INDEX(Attendance!$CP$5:$FY$24,0,('Match Day Reports'!$J14-1)*4+4),0)),"")&amp;""",""matchNotes"":"""&amp;SUBSTITUTE(SUBSTITUTE('Match Day Reports'!$AC14,"""","'"),CHAR(10)," ")&amp;""",""keyNotes"":"""&amp;SUBSTITUTE(SUBSTITUTE('Match Day Reports'!$AD14,"""","'"),CHAR(10)," ")&amp;"""}")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Adewoyin","rank":7,"sessionsAttended":7,"sessionsHeld":11,"attendancePct":0.6364,"avgWorkRate":3.43,"gradePct":0.6036,"readinessBand":"Not Ready for 90 min"}</v>
      </c>
      <c r="AJ25" t="str">
        <f>IF(Workings!$BO11="","","{""band"":"""&amp;Workings!$BO11&amp;""",""count"":"&amp;N(Workings!$BP11)&amp;",""players"":["&amp;IF(Workings!$BQ11="","",""""&amp;SUBSTITUTE(Workings!$BQ11,", ",""",""")&amp;"""")&amp;"]}")</f>
        <v>{"band":"Critical","count":0,"players":[]}</v>
      </c>
    </row>
    <row r="26" spans="1:36" x14ac:dyDescent="0.45">
      <c r="A26" s="332" t="str">
        <f>Workings!$S7</f>
        <v>Not Ready</v>
      </c>
      <c r="B26" s="333">
        <f>Workings!$V7</f>
        <v>2</v>
      </c>
      <c r="C26" s="138" t="str">
        <f t="shared" ref="C26:C30" si="0">IF($F26="","",IFERROR(VALUE(MID($B$22,$F26,FIND("}",$B$22,$F26)-$F26)),"?"))</f>
        <v/>
      </c>
      <c r="D26" s="138" t="str">
        <f t="shared" ref="D26:D30" si="1">IF($B$22="","-",IF($C26="","BAND NOT FOUND",IF($C26=$B26,"OK","MISMATCH")))</f>
        <v>-</v>
      </c>
      <c r="E26" s="329">
        <f t="shared" ref="E26:E30" si="2">IFERROR(FIND("""band"":"""&amp;$A26&amp;"""",$B$22),0)</f>
        <v>0</v>
      </c>
      <c r="F26" s="329" t="str">
        <f t="shared" ref="F26:F30" si="3">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{"slot":7,"position":"CM","player":"Roisin Offenhausen","fitScore":12.78,"seasonScore":0.7667,"overallGrade":11.97}</v>
      </c>
      <c r="T26" t="str">
        <f>IF('Team Selection'!$C46="","","{""player"":"""&amp;'Team Selection'!$C46&amp;""",""position"":"""&amp;'Team Selection'!$D46&amp;""",""overallGrade"":"&amp;ROUND(N('Team Selection'!$E46),2)&amp;",""seasonScore"":"&amp;ROUND(N('Team Selection'!$F46),4)&amp;",""status"":"""&amp;'Team Selection'!$G46&amp;"""}")</f>
        <v>{"player":"Emma Dromgoole","position":"RW / ST","overallGrade":9.66,"seasonScore":0.7667,"status":"Unavailable — Injured - Knee injury  (back 28 Aug)"}</v>
      </c>
      <c r="V26" t="str">
        <f>IF(OR('Team Selection'!$C70="",'Team Selection'!$E70="Yes"),"","{""player"":"""&amp;'Team Selection'!$C70&amp;""",""reason"":"""&amp;'Team Selection'!$F70&amp;"""}")</f>
        <v/>
      </c>
      <c r="X26" t="str">
        <f t="array" ref="X26">IF(Attendance!$D11="","",_xlfn.TEXTJOIN(",",TRUE(),IF(Attendance!$E$4:$CN$4="Att","["&amp;IF(Attendance!$E11:$CN11="Yes",1,0)&amp;","&amp;IF(Attendance!$F11:$CO11="",0,Attendance!$F11:$CO11)&amp;"]","")))</f>
        <v>[1,3],[0,0],[0,0],[0,0],[0,0],[0,0],[0,0],[0,0],[0,0],[0,0],[0,0],[0,0],[0,0],[0,0],[0,0],[0,0],[0,0],[0,0],[0,0],[0,0],[0,0],[0,0],[0,0],[0,0],[0,0],[0,0],[0,0],[0,0],[0,0],[0,0],[0,0],[0,0],[0,0],[0,0],[0,0],[0,0],[0,0],[0,0],[0,0],[0,0],[0,0],[0,0],[0,0],[0,0]</v>
      </c>
      <c r="Z26" t="str">
        <f t="array" ref="Z26">IF(Attendance!$D11="","",_xlfn.TEXTJOIN(",",TRUE(),IF(Attendance!$CP$4:$FY$4="Att","["&amp;IF(Attendance!$CP11:$FY11="Yes",1,IF(Attendance!$CP11:$FY11="No",0,-1))&amp;","&amp;IF(Attendance!$CQ11:$FZ11="",0,Attendance!$CQ11:$FZ11)&amp;","&amp;IF(Attendance!$CR11:$GA11="",0,Attendance!$CR11:$GA11)&amp;","&amp;IF(Attendance!$CS11:$GB11="Yes",1,0)&amp;"]","")))</f>
        <v>[-1,0,0,0],[-1,0,0,0],[-1,0,0,0],[-1,0,0,0],[-1,0,0,0],[-1,0,0,0],[-1,0,0,0],[-1,0,0,0],[-1,0,0,0],[-1,0,0,0],[-1,0,0,0],[-1,0,0,0],[-1,0,0,0],[-1,0,0,0],[-1,0,0,0],[-1,0,0,0],[-1,0,0,0],[-1,0,0,0],[-1,0,0,0],[-1,0,0,0],[-1,0,0,0],[-1,0,0,0]</v>
      </c>
      <c r="AB26" t="str">
        <f t="array" ref="AB26">IF(AND('Match Day Reports'!$L51="",COUNTIF('Match Day Reports'!$K15:$AD15,"?*")=0),"","{""gw"":"&amp;'Match Day Reports'!$J15&amp;",""xi"":["&amp;_xlfn.TEXTJOIN(",",TRUE(),IF('Match Day Reports'!$K15:$U15="","",""""&amp;'Match Day Reports'!$K15:$U15&amp;""""))&amp;"],""subs"":["&amp;_xlfn.TEXTJOIN(",",TRUE(),IF('Match Day Reports'!$V15:$AB15="","",""""&amp;'Match Day Reports'!$V15:$AB15&amp;""""))&amp;"],""motm"":"""&amp;IFERROR(INDEX(Attendance!$D$5:$D$24,MATCH("Yes",INDEX(Attendance!$CP$5:$FY$24,0,('Match Day Reports'!$J15-1)*4+4),0)),"")&amp;""",""matchNotes"":"""&amp;SUBSTITUTE(SUBSTITUTE('Match Day Reports'!$AC15,"""","'"),CHAR(10)," ")&amp;""",""keyNotes"":"""&amp;SUBSTITUTE(SUBSTITUTE('Match Day Reports'!$AD15,"""","'"),CHAR(10)," ")&amp;"""}")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Kilalee","rank":11,"sessionsAttended":7,"sessionsHeld":11,"attendancePct":0.6364,"avgWorkRate":3,"gradePct":0.56,"readinessBand":"Nearly Ready"}</v>
      </c>
      <c r="AJ26" t="str">
        <f>IF(Workings!$BO12="","","{""band"":"""&amp;Workings!$BO12&amp;""",""count"":"&amp;N(Workings!$BP12)&amp;",""players"":["&amp;IF(Workings!$BQ12="","",""""&amp;SUBSTITUTE(Workings!$BQ12,", ",""",""")&amp;"""")&amp;"]}")</f>
        <v>{"band":"Insufficient data","count":3,"players":["Zara Power","Heidi Cerubini Dunne","Zara Freeman"]}</v>
      </c>
    </row>
    <row r="27" spans="1:36" x14ac:dyDescent="0.45">
      <c r="A27" s="332" t="str">
        <f>Workings!$S8</f>
        <v>Improving</v>
      </c>
      <c r="B27" s="333">
        <f>Workings!$V8</f>
        <v>0</v>
      </c>
      <c r="C27" s="138" t="str">
        <f t="shared" si="0"/>
        <v/>
      </c>
      <c r="D27" s="138" t="str">
        <f t="shared" si="1"/>
        <v>-</v>
      </c>
      <c r="E27" s="329">
        <f t="shared" si="2"/>
        <v>0</v>
      </c>
      <c r="F27" s="329" t="str">
        <f t="shared" si="3"/>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{"slot":8,"position":"CM","player":"Semilore Adesanya","fitScore":13.84,"seasonScore":0.7667,"overallGrade":12.76}</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f t="array" ref="X27">IF(Attendance!$D12="","",_xlfn.TEXTJOIN(",",TRUE(),IF(Attendance!$E$4:$CN$4="Att","["&amp;IF(Attendance!$E12:$CN12="Yes",1,0)&amp;","&amp;IF(Attendance!$F12:$CO12="",0,Attendance!$F12:$CO12)&amp;"]","")))</f>
        <v>[1,2],[0,0],[0,0],[0,0],[0,0],[0,0],[0,0],[0,0],[0,0],[0,0],[0,0],[0,0],[0,0],[0,0],[0,0],[0,0],[0,0],[0,0],[0,0],[0,0],[0,0],[0,0],[0,0],[0,0],[0,0],[0,0],[0,0],[0,0],[0,0],[0,0],[0,0],[0,0],[0,0],[0,0],[0,0],[0,0],[0,0],[0,0],[0,0],[0,0],[0,0],[0,0],[0,0],[0,0]</v>
      </c>
      <c r="Z27" t="str">
        <f t="array" ref="Z27">IF(Attendance!$D12="","",_xlfn.TEXTJOIN(",",TRUE(),IF(Attendance!$CP$4:$FY$4="Att","["&amp;IF(Attendance!$CP12:$FY12="Yes",1,IF(Attendance!$CP12:$FY12="No",0,-1))&amp;","&amp;IF(Attendance!$CQ12:$FZ12="",0,Attendance!$CQ12:$FZ12)&amp;","&amp;IF(Attendance!$CR12:$GA12="",0,Attendance!$CR12:$GA12)&amp;","&amp;IF(Attendance!$CS12:$GB12="Yes",1,0)&amp;"]","")))</f>
        <v>[-1,0,0,0],[-1,0,0,0],[-1,0,0,0],[-1,0,0,0],[-1,0,0,0],[-1,0,0,0],[-1,0,0,0],[-1,0,0,0],[-1,0,0,0],[-1,0,0,0],[-1,0,0,0],[-1,0,0,0],[-1,0,0,0],[-1,0,0,0],[-1,0,0,0],[-1,0,0,0],[-1,0,0,0],[-1,0,0,0],[-1,0,0,0],[-1,0,0,0],[-1,0,0,0],[-1,0,0,0]</v>
      </c>
      <c r="AB27" t="str">
        <f t="array" ref="AB27">IF(AND('Match Day Reports'!$L52="",COUNTIF('Match Day Reports'!$K16:$AD16,"?*")=0),"","{""gw"":"&amp;'Match Day Reports'!$J16&amp;",""xi"":["&amp;_xlfn.TEXTJOIN(",",TRUE(),IF('Match Day Reports'!$K16:$U16="","",""""&amp;'Match Day Reports'!$K16:$U16&amp;""""))&amp;"],""subs"":["&amp;_xlfn.TEXTJOIN(",",TRUE(),IF('Match Day Reports'!$V16:$AB16="","",""""&amp;'Match Day Reports'!$V16:$AB16&amp;""""))&amp;"],""motm"":"""&amp;IFERROR(INDEX(Attendance!$D$5:$D$24,MATCH("Yes",INDEX(Attendance!$CP$5:$FY$24,0,('Match Day Reports'!$J16-1)*4+4),0)),"")&amp;""",""matchNotes"":"""&amp;SUBSTITUTE(SUBSTITUTE('Match Day Reports'!$AC16,"""","'"),CHAR(10)," ")&amp;""",""keyNotes"":"""&amp;SUBSTITUTE(SUBSTITUTE('Match Day Reports'!$AD16,"""","'"),CHAR(10)," ")&amp;"""}")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Kavanagh","rank":8,"sessionsAttended":9,"sessionsHeld":11,"attendancePct":0.8182,"avgWorkRate":2.22,"gradePct":0.5939,"readinessBand":"Improving"}</v>
      </c>
    </row>
    <row r="28" spans="1:36" x14ac:dyDescent="0.45">
      <c r="A28" s="332" t="str">
        <f>Workings!$S9</f>
        <v>Nearly Ready</v>
      </c>
      <c r="B28" s="333">
        <f>Workings!$V9</f>
        <v>12</v>
      </c>
      <c r="C28" s="138" t="str">
        <f t="shared" si="0"/>
        <v/>
      </c>
      <c r="D28" s="138" t="str">
        <f t="shared" si="1"/>
        <v>-</v>
      </c>
      <c r="E28" s="329">
        <f t="shared" si="2"/>
        <v>0</v>
      </c>
      <c r="F28" s="329" t="str">
        <f t="shared" si="3"/>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Brannigan","fitScore":12.68,"seasonScore":0.7667,"overallGrade":11.73}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f t="array" ref="X28">IF(Attendance!$D13="","",_xlfn.TEXTJOIN(",",TRUE(),IF(Attendance!$E$4:$CN$4="Att","["&amp;IF(Attendance!$E13:$CN13="Yes",1,0)&amp;","&amp;IF(Attendance!$F13:$CO13="",0,Attendance!$F13:$CO13)&amp;"]","")))</f>
        <v>[1,3],[0,0],[0,0],[0,0],[0,0],[0,0],[0,0],[0,0],[0,0],[0,0],[0,0],[0,0],[0,0],[0,0],[0,0],[0,0],[0,0],[0,0],[0,0],[0,0],[0,0],[0,0],[0,0],[0,0],[0,0],[0,0],[0,0],[0,0],[0,0],[0,0],[0,0],[0,0],[0,0],[0,0],[0,0],[0,0],[0,0],[0,0],[0,0],[0,0],[0,0],[0,0],[0,0],[0,0]</v>
      </c>
      <c r="Z28" t="str">
        <f t="array" ref="Z28">IF(Attendance!$D13="","",_xlfn.TEXTJOIN(",",TRUE(),IF(Attendance!$CP$4:$FY$4="Att","["&amp;IF(Attendance!$CP13:$FY13="Yes",1,IF(Attendance!$CP13:$FY13="No",0,-1))&amp;","&amp;IF(Attendance!$CQ13:$FZ13="",0,Attendance!$CQ13:$FZ13)&amp;","&amp;IF(Attendance!$CR13:$GA13="",0,Attendance!$CR13:$GA13)&amp;","&amp;IF(Attendance!$CS13:$GB13="Yes",1,0)&amp;"]","")))</f>
        <v>[-1,0,0,0],[-1,0,0,0],[-1,0,0,0],[-1,0,0,0],[-1,0,0,0],[-1,0,0,0],[-1,0,0,0],[-1,0,0,0],[-1,0,0,0],[-1,0,0,0],[-1,0,0,0],[-1,0,0,0],[-1,0,0,0],[-1,0,0,0],[-1,0,0,0],[-1,0,0,0],[-1,0,0,0],[-1,0,0,0],[-1,0,0,0],[-1,0,0,0],[-1,0,0,0],[-1,0,0,0]</v>
      </c>
      <c r="AB28" t="str">
        <f t="array" ref="AB28">IF(AND('Match Day Reports'!$L53="",COUNTIF('Match Day Reports'!$K17:$AD17,"?*")=0),"","{""gw"":"&amp;'Match Day Reports'!$J17&amp;",""xi"":["&amp;_xlfn.TEXTJOIN(",",TRUE(),IF('Match Day Reports'!$K17:$U17="","",""""&amp;'Match Day Reports'!$K17:$U17&amp;""""))&amp;"],""subs"":["&amp;_xlfn.TEXTJOIN(",",TRUE(),IF('Match Day Reports'!$V17:$AB17="","",""""&amp;'Match Day Reports'!$V17:$AB17&amp;""""))&amp;"],""motm"":"""&amp;IFERROR(INDEX(Attendance!$D$5:$D$24,MATCH("Yes",INDEX(Attendance!$CP$5:$FY$24,0,('Match Day Reports'!$J17-1)*4+4),0)),"")&amp;""",""matchNotes"":"""&amp;SUBSTITUTE(SUBSTITUTE('Match Day Reports'!$AC17,"""","'"),CHAR(10)," ")&amp;""",""keyNotes"":"""&amp;SUBSTITUTE(SUBSTITUTE('Match Day Reports'!$AD17,"""","'"),CHAR(10)," ")&amp;"""}")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row>
    <row r="29" spans="1:36" x14ac:dyDescent="0.45">
      <c r="A29" s="332" t="str">
        <f>Workings!$S10</f>
        <v>Not Ready for 90 min</v>
      </c>
      <c r="B29" s="333">
        <f>Workings!$V10</f>
        <v>1</v>
      </c>
      <c r="C29" s="138" t="str">
        <f t="shared" si="0"/>
        <v/>
      </c>
      <c r="D29" s="138" t="str">
        <f t="shared" si="1"/>
        <v>-</v>
      </c>
      <c r="E29" s="329">
        <f t="shared" si="2"/>
        <v>0</v>
      </c>
      <c r="F29" s="329" t="str">
        <f t="shared" si="3"/>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{"slot":10,"position":"ST","player":"Zara Freeman","fitScore":11.6,"seasonScore":0,"overallGrade":11.86}</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f t="array" ref="X29">IF(Attendance!$D14="","",_xlfn.TEXTJOIN(",",TRUE(),IF(Attendance!$E$4:$CN$4="Att","["&amp;IF(Attendance!$E14:$CN14="Yes",1,0)&amp;","&amp;IF(Attendance!$F14:$CO14="",0,Attendance!$F14:$CO14)&amp;"]","")))</f>
        <v>[1,3],[0,0],[0,0],[0,0],[0,0],[0,0],[0,0],[0,0],[0,0],[0,0],[0,0],[0,0],[0,0],[0,0],[0,0],[0,0],[0,0],[0,0],[0,0],[0,0],[0,0],[0,0],[0,0],[0,0],[0,0],[0,0],[0,0],[0,0],[0,0],[0,0],[0,0],[0,0],[0,0],[0,0],[0,0],[0,0],[0,0],[0,0],[0,0],[0,0],[0,0],[0,0],[0,0],[0,0]</v>
      </c>
      <c r="Z29" t="str">
        <f t="array" ref="Z29">IF(Attendance!$D14="","",_xlfn.TEXTJOIN(",",TRUE(),IF(Attendance!$CP$4:$FY$4="Att","["&amp;IF(Attendance!$CP14:$FY14="Yes",1,IF(Attendance!$CP14:$FY14="No",0,-1))&amp;","&amp;IF(Attendance!$CQ14:$FZ14="",0,Attendance!$CQ14:$FZ14)&amp;","&amp;IF(Attendance!$CR14:$GA14="",0,Attendance!$CR14:$GA14)&amp;","&amp;IF(Attendance!$CS14:$GB14="Yes",1,0)&amp;"]","")))</f>
        <v>[-1,0,0,0],[-1,0,0,0],[-1,0,0,0],[-1,0,0,0],[-1,0,0,0],[-1,0,0,0],[-1,0,0,0],[-1,0,0,0],[-1,0,0,0],[-1,0,0,0],[-1,0,0,0],[-1,0,0,0],[-1,0,0,0],[-1,0,0,0],[-1,0,0,0],[-1,0,0,0],[-1,0,0,0],[-1,0,0,0],[-1,0,0,0],[-1,0,0,0],[-1,0,0,0],[-1,0,0,0]</v>
      </c>
      <c r="AB29" t="str">
        <f t="array" ref="AB29">IF(AND('Match Day Reports'!$L54="",COUNTIF('Match Day Reports'!$K18:$AD18,"?*")=0),"","{""gw"":"&amp;'Match Day Reports'!$J18&amp;",""xi"":["&amp;_xlfn.TEXTJOIN(",",TRUE(),IF('Match Day Reports'!$K18:$U18="","",""""&amp;'Match Day Reports'!$K18:$U18&amp;""""))&amp;"],""subs"":["&amp;_xlfn.TEXTJOIN(",",TRUE(),IF('Match Day Reports'!$V18:$AB18="","",""""&amp;'Match Day Reports'!$V18:$AB18&amp;""""))&amp;"],""motm"":"""&amp;IFERROR(INDEX(Attendance!$D$5:$D$24,MATCH("Yes",INDEX(Attendance!$CP$5:$FY$24,0,('Match Day Reports'!$J18-1)*4+4),0)),"")&amp;""",""matchNotes"":"""&amp;SUBSTITUTE(SUBSTITUTE('Match Day Reports'!$AC18,"""","'"),CHAR(10)," ")&amp;""",""keyNotes"":"""&amp;SUBSTITUTE(SUBSTITUTE('Match Day Reports'!$AD18,"""","'"),CHAR(10)," ")&amp;"""}")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row>
    <row r="30" spans="1:36" x14ac:dyDescent="0.45">
      <c r="A30" s="334" t="str">
        <f>Workings!$S11</f>
        <v>Match Ready</v>
      </c>
      <c r="B30" s="335">
        <f>Workings!$V11</f>
        <v>0</v>
      </c>
      <c r="C30" s="141" t="str">
        <f t="shared" si="0"/>
        <v/>
      </c>
      <c r="D30" s="141" t="str">
        <f t="shared" si="1"/>
        <v>-</v>
      </c>
      <c r="E30" s="329">
        <f t="shared" si="2"/>
        <v>0</v>
      </c>
      <c r="F30" s="329" t="str">
        <f t="shared" si="3"/>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{"slot":11,"position":"ST","player":"Amber Kilalee","fitScore":9.57,"seasonScore":0.7667,"overallGrade":9.01}</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f t="array" ref="X30">IF(Attendance!$D15="","",_xlfn.TEXTJOIN(",",TRUE(),IF(Attendance!$E$4:$CN$4="Att","["&amp;IF(Attendance!$E15:$CN15="Yes",1,0)&amp;","&amp;IF(Attendance!$F15:$CO15="",0,Attendance!$F15:$CO15)&amp;"]","")))</f>
        <v>[1,3],[0,0],[0,0],[0,0],[0,0],[0,0],[0,0],[0,0],[0,0],[0,0],[0,0],[0,0],[0,0],[0,0],[0,0],[0,0],[0,0],[0,0],[0,0],[0,0],[0,0],[0,0],[0,0],[0,0],[0,0],[0,0],[0,0],[0,0],[0,0],[0,0],[0,0],[0,0],[0,0],[0,0],[0,0],[0,0],[0,0],[0,0],[0,0],[0,0],[0,0],[0,0],[0,0],[0,0]</v>
      </c>
      <c r="Z30" t="str">
        <f t="array" ref="Z30">IF(Attendance!$D15="","",_xlfn.TEXTJOIN(",",TRUE(),IF(Attendance!$CP$4:$FY$4="Att","["&amp;IF(Attendance!$CP15:$FY15="Yes",1,IF(Attendance!$CP15:$FY15="No",0,-1))&amp;","&amp;IF(Attendance!$CQ15:$FZ15="",0,Attendance!$CQ15:$FZ15)&amp;","&amp;IF(Attendance!$CR15:$GA15="",0,Attendance!$CR15:$GA15)&amp;","&amp;IF(Attendance!$CS15:$GB15="Yes",1,0)&amp;"]","")))</f>
        <v>[-1,0,0,0],[-1,0,0,0],[-1,0,0,0],[-1,0,0,0],[-1,0,0,0],[-1,0,0,0],[-1,0,0,0],[-1,0,0,0],[-1,0,0,0],[-1,0,0,0],[-1,0,0,0],[-1,0,0,0],[-1,0,0,0],[-1,0,0,0],[-1,0,0,0],[-1,0,0,0],[-1,0,0,0],[-1,0,0,0],[-1,0,0,0],[-1,0,0,0],[-1,0,0,0],[-1,0,0,0]</v>
      </c>
      <c r="AB30" t="str">
        <f t="array" ref="AB30">IF(AND('Match Day Reports'!$L55="",COUNTIF('Match Day Reports'!$K19:$AD19,"?*")=0),"","{""gw"":"&amp;'Match Day Reports'!$J19&amp;",""xi"":["&amp;_xlfn.TEXTJOIN(",",TRUE(),IF('Match Day Reports'!$K19:$U19="","",""""&amp;'Match Day Reports'!$K19:$U19&amp;""""))&amp;"],""subs"":["&amp;_xlfn.TEXTJOIN(",",TRUE(),IF('Match Day Reports'!$V19:$AB19="","",""""&amp;'Match Day Reports'!$V19:$AB19&amp;""""))&amp;"],""motm"":"""&amp;IFERROR(INDEX(Attendance!$D$5:$D$24,MATCH("Yes",INDEX(Attendance!$CP$5:$FY$24,0,('Match Day Reports'!$J19-1)*4+4),0)),"")&amp;""",""matchNotes"":"""&amp;SUBSTITUTE(SUBSTITUTE('Match Day Reports'!$AC19,"""","'"),CHAR(10)," ")&amp;""",""keyNotes"":"""&amp;SUBSTITUTE(SUBSTITUTE('Match Day Reports'!$AD19,"""","'"),CHAR(10)," ")&amp;"""}")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Fleming","rank":4,"sessionsAttended":8,"sessionsHeld":11,"attendancePct":0.7273,"avgWorkRate":3.25,"gradePct":0.6691,"readinessBand":"Not Ready for 90 min"}</v>
      </c>
    </row>
    <row r="31" spans="1:36"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f t="array" ref="X31">IF(Attendance!$D16="","",_xlfn.TEXTJOIN(",",TRUE(),IF(Attendance!$E$4:$CN$4="Att","["&amp;IF(Attendance!$E16:$CN16="Yes",1,0)&amp;","&amp;IF(Attendance!$F16:$CO16="",0,Attendance!$F16:$CO16)&amp;"]","")))</f>
        <v>[0,0],[0,0],[0,0],[0,0],[0,0],[0,0],[0,0],[0,0],[0,0],[0,0],[0,0],[0,0],[0,0],[0,0],[0,0],[0,0],[0,0],[0,0],[0,0],[0,0],[0,0],[0,0],[0,0],[0,0],[0,0],[0,0],[0,0],[0,0],[0,0],[0,0],[0,0],[0,0],[0,0],[0,0],[0,0],[0,0],[0,0],[0,0],[0,0],[0,0],[0,0],[0,0],[0,0],[0,0]</v>
      </c>
      <c r="Z31" t="str">
        <f t="array" ref="Z31">IF(Attendance!$D16="","",_xlfn.TEXTJOIN(",",TRUE(),IF(Attendance!$CP$4:$FY$4="Att","["&amp;IF(Attendance!$CP16:$FY16="Yes",1,IF(Attendance!$CP16:$FY16="No",0,-1))&amp;","&amp;IF(Attendance!$CQ16:$FZ16="",0,Attendance!$CQ16:$FZ16)&amp;","&amp;IF(Attendance!$CR16:$GA16="",0,Attendance!$CR16:$GA16)&amp;","&amp;IF(Attendance!$CS16:$GB16="Yes",1,0)&amp;"]","")))</f>
        <v>[-1,0,0,0],[-1,0,0,0],[-1,0,0,0],[-1,0,0,0],[-1,0,0,0],[-1,0,0,0],[-1,0,0,0],[-1,0,0,0],[-1,0,0,0],[-1,0,0,0],[-1,0,0,0],[-1,0,0,0],[-1,0,0,0],[-1,0,0,0],[-1,0,0,0],[-1,0,0,0],[-1,0,0,0],[-1,0,0,0],[-1,0,0,0],[-1,0,0,0],[-1,0,0,0],[-1,0,0,0]</v>
      </c>
      <c r="AB31" t="str">
        <f t="array" ref="AB31">IF(AND('Match Day Reports'!$L56="",COUNTIF('Match Day Reports'!$K20:$AD20,"?*")=0),"","{""gw"":"&amp;'Match Day Reports'!$J20&amp;",""xi"":["&amp;_xlfn.TEXTJOIN(",",TRUE(),IF('Match Day Reports'!$K20:$U20="","",""""&amp;'Match Day Reports'!$K20:$U20&amp;""""))&amp;"],""subs"":["&amp;_xlfn.TEXTJOIN(",",TRUE(),IF('Match Day Reports'!$V20:$AB20="","",""""&amp;'Match Day Reports'!$V20:$AB20&amp;""""))&amp;"],""motm"":"""&amp;IFERROR(INDEX(Attendance!$D$5:$D$24,MATCH("Yes",INDEX(Attendance!$CP$5:$FY$24,0,('Match Day Reports'!$J20-1)*4+4),0)),"")&amp;""",""matchNotes"":"""&amp;SUBSTITUTE(SUBSTITUTE('Match Day Reports'!$AC20,"""","'"),CHAR(10)," ")&amp;""",""keyNotes"":"""&amp;SUBSTITUTE(SUBSTITUTE('Match Day Reports'!$AD20,"""","'"),CHAR(10)," ")&amp;"""}")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Kelly","rank":9,"sessionsAttended":7,"sessionsHeld":11,"attendancePct":0.6364,"avgWorkRate":3.29,"gradePct":0.5891,"readinessBand":"Not Ready for 90 min"}</v>
      </c>
    </row>
    <row r="32" spans="1:36" x14ac:dyDescent="0.45">
      <c r="A32" s="304" t="s">
        <v>457</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f t="array" ref="X32">IF(Attendance!$D17="","",_xlfn.TEXTJOIN(",",TRUE(),IF(Attendance!$E$4:$CN$4="Att","["&amp;IF(Attendance!$E17:$CN17="Yes",1,0)&amp;","&amp;IF(Attendance!$F17:$CO17="",0,Attendance!$F17:$CO17)&amp;"]","")))</f>
        <v>[1,3],[0,0],[0,0],[0,0],[0,0],[0,0],[0,0],[0,0],[0,0],[0,0],[0,0],[0,0],[0,0],[0,0],[0,0],[0,0],[0,0],[0,0],[0,0],[0,0],[0,0],[0,0],[0,0],[0,0],[0,0],[0,0],[0,0],[0,0],[0,0],[0,0],[0,0],[0,0],[0,0],[0,0],[0,0],[0,0],[0,0],[0,0],[0,0],[0,0],[0,0],[0,0],[0,0],[0,0]</v>
      </c>
      <c r="Z32" t="str">
        <f t="array" ref="Z32">IF(Attendance!$D17="","",_xlfn.TEXTJOIN(",",TRUE(),IF(Attendance!$CP$4:$FY$4="Att","["&amp;IF(Attendance!$CP17:$FY17="Yes",1,IF(Attendance!$CP17:$FY17="No",0,-1))&amp;","&amp;IF(Attendance!$CQ17:$FZ17="",0,Attendance!$CQ17:$FZ17)&amp;","&amp;IF(Attendance!$CR17:$GA17="",0,Attendance!$CR17:$GA17)&amp;","&amp;IF(Attendance!$CS17:$GB17="Yes",1,0)&amp;"]","")))</f>
        <v>[-1,0,0,0],[-1,0,0,0],[-1,0,0,0],[-1,0,0,0],[-1,0,0,0],[-1,0,0,0],[-1,0,0,0],[-1,0,0,0],[-1,0,0,0],[-1,0,0,0],[-1,0,0,0],[-1,0,0,0],[-1,0,0,0],[-1,0,0,0],[-1,0,0,0],[-1,0,0,0],[-1,0,0,0],[-1,0,0,0],[-1,0,0,0],[-1,0,0,0],[-1,0,0,0],[-1,0,0,0]</v>
      </c>
      <c r="AB32" t="str">
        <f t="array" ref="AB32">IF(AND('Match Day Reports'!$L57="",COUNTIF('Match Day Reports'!$K21:$AD21,"?*")=0),"","{""gw"":"&amp;'Match Day Reports'!$J21&amp;",""xi"":["&amp;_xlfn.TEXTJOIN(",",TRUE(),IF('Match Day Reports'!$K21:$U21="","",""""&amp;'Match Day Reports'!$K21:$U21&amp;""""))&amp;"],""subs"":["&amp;_xlfn.TEXTJOIN(",",TRUE(),IF('Match Day Reports'!$V21:$AB21="","",""""&amp;'Match Day Reports'!$V21:$AB21&amp;""""))&amp;"],""motm"":"""&amp;IFERROR(INDEX(Attendance!$D$5:$D$24,MATCH("Yes",INDEX(Attendance!$CP$5:$FY$24,0,('Match Day Reports'!$J21-1)*4+4),0)),"")&amp;""",""matchNotes"":"""&amp;SUBSTITUTE(SUBSTITUTE('Match Day Reports'!$AC21,"""","'"),CHAR(10)," ")&amp;""",""keyNotes"":"""&amp;SUBSTITUTE(SUBSTITUTE('Match Day Reports'!$AD21,"""","'"),CHAR(10)," ")&amp;"""}")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Memon","rank":10,"sessionsAttended":7,"sessionsHeld":11,"attendancePct":0.6364,"avgWorkRate":3.29,"gradePct":0.5891,"readinessBand":"Not Ready for 90 min"}</v>
      </c>
    </row>
    <row r="33" spans="1:30" x14ac:dyDescent="0.45">
      <c r="A33" s="304" t="s">
        <v>458</v>
      </c>
      <c r="B33" s="328" t="str">
        <f ca="1">IFERROR(MID($A$4,FIND("""generated"":""",$A$4)+13,16),"not found")</f>
        <v>2026-08-27 14:27</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ST","availability":"No","unavailableReason":"Injured - Knee injury  (back 28 Aug)","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{"player":"Emma Dromgoole","reason":"Injured - Knee injury  (back 28 Aug)"}</v>
      </c>
      <c r="X33" t="str">
        <f t="array" ref="X33">IF(Attendance!$D18="","",_xlfn.TEXTJOIN(",",TRUE(),IF(Attendance!$E$4:$CN$4="Att","["&amp;IF(Attendance!$E18:$CN18="Yes",1,0)&amp;","&amp;IF(Attendance!$F18:$CO18="",0,Attendance!$F18:$CO18)&amp;"]","")))</f>
        <v>[1,3],[0,0],[0,0],[0,0],[0,0],[0,0],[0,0],[0,0],[0,0],[0,0],[0,0],[0,0],[0,0],[0,0],[0,0],[0,0],[0,0],[0,0],[0,0],[0,0],[0,0],[0,0],[0,0],[0,0],[0,0],[0,0],[0,0],[0,0],[0,0],[0,0],[0,0],[0,0],[0,0],[0,0],[0,0],[0,0],[0,0],[0,0],[0,0],[0,0],[0,0],[0,0],[0,0],[0,0]</v>
      </c>
      <c r="Z33" t="str">
        <f t="array" ref="Z33">IF(Attendance!$D18="","",_xlfn.TEXTJOIN(",",TRUE(),IF(Attendance!$CP$4:$FY$4="Att","["&amp;IF(Attendance!$CP18:$FY18="Yes",1,IF(Attendance!$CP18:$FY18="No",0,-1))&amp;","&amp;IF(Attendance!$CQ18:$FZ18="",0,Attendance!$CQ18:$FZ18)&amp;","&amp;IF(Attendance!$CR18:$GA18="",0,Attendance!$CR18:$GA18)&amp;","&amp;IF(Attendance!$CS18:$GB18="Yes",1,0)&amp;"]","")))</f>
        <v>[-1,0,0,0],[-1,0,0,0],[-1,0,0,0],[-1,0,0,0],[-1,0,0,0],[-1,0,0,0],[-1,0,0,0],[-1,0,0,0],[-1,0,0,0],[-1,0,0,0],[-1,0,0,0],[-1,0,0,0],[-1,0,0,0],[-1,0,0,0],[-1,0,0,0],[-1,0,0,0],[-1,0,0,0],[-1,0,0,0],[-1,0,0,0],[-1,0,0,0],[-1,0,0,0],[-1,0,0,0]</v>
      </c>
      <c r="AB33" t="str">
        <f t="array" ref="AB33">IF(AND('Match Day Reports'!$L58="",COUNTIF('Match Day Reports'!$K22:$AD22,"?*")=0),"","{""gw"":"&amp;'Match Day Reports'!$J22&amp;",""xi"":["&amp;_xlfn.TEXTJOIN(",",TRUE(),IF('Match Day Reports'!$K22:$U22="","",""""&amp;'Match Day Reports'!$K22:$U22&amp;""""))&amp;"],""subs"":["&amp;_xlfn.TEXTJOIN(",",TRUE(),IF('Match Day Reports'!$V22:$AB22="","",""""&amp;'Match Day Reports'!$V22:$AB22&amp;""""))&amp;"],""motm"":"""&amp;IFERROR(INDEX(Attendance!$D$5:$D$24,MATCH("Yes",INDEX(Attendance!$CP$5:$FY$24,0,('Match Day Reports'!$J22-1)*4+4),0)),"")&amp;""",""matchNotes"":"""&amp;SUBSTITUTE(SUBSTITUTE('Match Day Reports'!$AC22,"""","'"),CHAR(10)," ")&amp;""",""keyNotes"":"""&amp;SUBSTITUTE(SUBSTITUTE('Match Day Reports'!$AD22,"""","'"),CHAR(10)," ")&amp;"""}")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row>
    <row r="34" spans="1:30"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1,"avgWorkRate":2,"matchdayAttendancePct":0,"minutes":0,"avgMinutes":0,"avgRating":0,"motm":0,"seasonScore":0.65,"comment":"","toWorkOn":"","sessions":[[1,2],[0,0],[0,0],[0,0],[0,0],[0,0],[0,0],[0,0],[0,0],[0,0],[0,0],[0,0],[0,0],[0,0],[0,0],[0,0],[0,0],[0,0],[0,0],[0,0],[0,0],[0,0],[0,0],[0,0],[0,0],[0,0],[0,0],[0,0],[0,0],[0,0],[0,0],[0,0],[0,0],[0,0],[0,0],[0,0],[0,0],[0,0],[0,0],[0,0],[0,0],[0,0],[0,0],[0,0]],"matches":[[-1,0,0,0],[-1,0,0,0],[-1,0,0,0],[-1,0,0,0],[-1,0,0,0],[-1,0,0,0],[-1,0,0,0],[-1,0,0,0],[-1,0,0,0],[-1,0,0,0],[-1,0,0,0],[-1,0,0,0],[-1,0,0,0],[-1,0,0,0],[-1,0,0,0],[-1,0,0,0],[-1,0,0,0],[-1,0,0,0],[-1,0,0,0],[-1,0,0,0],[-1,0,0,0]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f t="array" ref="X34">IF(Attendance!$D19="","",_xlfn.TEXTJOIN(",",TRUE(),IF(Attendance!$E$4:$CN$4="Att","["&amp;IF(Attendance!$E19:$CN19="Yes",1,0)&amp;","&amp;IF(Attendance!$F19:$CO19="",0,Attendance!$F19:$CO19)&amp;"]","")))</f>
        <v>[1,2],[0,0],[0,0],[0,0],[0,0],[0,0],[0,0],[0,0],[0,0],[0,0],[0,0],[0,0],[0,0],[0,0],[0,0],[0,0],[0,0],[0,0],[0,0],[0,0],[0,0],[0,0],[0,0],[0,0],[0,0],[0,0],[0,0],[0,0],[0,0],[0,0],[0,0],[0,0],[0,0],[0,0],[0,0],[0,0],[0,0],[0,0],[0,0],[0,0],[0,0],[0,0],[0,0],[0,0]</v>
      </c>
      <c r="Z34" t="str">
        <f t="array" ref="Z34">IF(Attendance!$D19="","",_xlfn.TEXTJOIN(",",TRUE(),IF(Attendance!$CP$4:$FY$4="Att","["&amp;IF(Attendance!$CP19:$FY19="Yes",1,IF(Attendance!$CP19:$FY19="No",0,-1))&amp;","&amp;IF(Attendance!$CQ19:$FZ19="",0,Attendance!$CQ19:$FZ19)&amp;","&amp;IF(Attendance!$CR19:$GA19="",0,Attendance!$CR19:$GA19)&amp;","&amp;IF(Attendance!$CS19:$GB19="Yes",1,0)&amp;"]","")))</f>
        <v>[-1,0,0,0],[-1,0,0,0],[-1,0,0,0],[-1,0,0,0],[-1,0,0,0],[-1,0,0,0],[-1,0,0,0],[-1,0,0,0],[-1,0,0,0],[-1,0,0,0],[-1,0,0,0],[-1,0,0,0],[-1,0,0,0],[-1,0,0,0],[-1,0,0,0],[-1,0,0,0],[-1,0,0,0],[-1,0,0,0],[-1,0,0,0],[-1,0,0,0],[-1,0,0,0],[-1,0,0,0]</v>
      </c>
      <c r="AB34" t="str">
        <f t="array" ref="AB34">IF(AND('Match Day Reports'!$L59="",COUNTIF('Match Day Reports'!$K23:$AD23,"?*")=0),"","{""gw"":"&amp;'Match Day Reports'!$J23&amp;",""xi"":["&amp;_xlfn.TEXTJOIN(",",TRUE(),IF('Match Day Reports'!$K23:$U23="","",""""&amp;'Match Day Reports'!$K23:$U23&amp;""""))&amp;"],""subs"":["&amp;_xlfn.TEXTJOIN(",",TRUE(),IF('Match Day Reports'!$V23:$AB23="","",""""&amp;'Match Day Reports'!$V23:$AB23&amp;""""))&amp;"],""motm"":"""&amp;IFERROR(INDEX(Attendance!$D$5:$D$24,MATCH("Yes",INDEX(Attendance!$CP$5:$FY$24,0,('Match Day Reports'!$J23-1)*4+4),0)),"")&amp;""",""matchNotes"":"""&amp;SUBSTITUTE(SUBSTITUTE('Match Day Reports'!$AC23,"""","'"),CHAR(10)," ")&amp;""",""keyNotes"":"""&amp;SUBSTITUTE(SUBSTITUTE('Match Day Reports'!$AD23,"""","'"),CHAR(10)," ")&amp;"""}")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Morrison","rank":3,"sessionsAttended":9,"sessionsHeld":11,"attendancePct":0.8182,"avgWorkRate":3.22,"gradePct":0.7139,"readinessBand":"Not Ready for 90 min"}</v>
      </c>
    </row>
    <row r="35" spans="1:30" ht="15.75" x14ac:dyDescent="0.5">
      <c r="A35" s="45" t="s">
        <v>459</v>
      </c>
      <c r="B35" s="304"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f t="array" ref="X35">IF(Attendance!$D20="","",_xlfn.TEXTJOIN(",",TRUE(),IF(Attendance!$E$4:$CN$4="Att","["&amp;IF(Attendance!$E20:$CN20="Yes",1,0)&amp;","&amp;IF(Attendance!$F20:$CO20="",0,Attendance!$F20:$CO20)&amp;"]","")))</f>
        <v>[0,0],[0,0],[0,0],[0,0],[0,0],[0,0],[0,0],[0,0],[0,0],[0,0],[0,0],[0,0],[0,0],[0,0],[0,0],[0,0],[0,0],[0,0],[0,0],[0,0],[0,0],[0,0],[0,0],[0,0],[0,0],[0,0],[0,0],[0,0],[0,0],[0,0],[0,0],[0,0],[0,0],[0,0],[0,0],[0,0],[0,0],[0,0],[0,0],[0,0],[0,0],[0,0],[0,0],[0,0]</v>
      </c>
      <c r="Z35" t="str">
        <f t="array" ref="Z35">IF(Attendance!$D20="","",_xlfn.TEXTJOIN(",",TRUE(),IF(Attendance!$CP$4:$FY$4="Att","["&amp;IF(Attendance!$CP20:$FY20="Yes",1,IF(Attendance!$CP20:$FY20="No",0,-1))&amp;","&amp;IF(Attendance!$CQ20:$FZ20="",0,Attendance!$CQ20:$FZ20)&amp;","&amp;IF(Attendance!$CR20:$GA20="",0,Attendance!$CR20:$GA20)&amp;","&amp;IF(Attendance!$CS20:$GB20="Yes",1,0)&amp;"]","")))</f>
        <v>[-1,0,0,0],[-1,0,0,0],[-1,0,0,0],[-1,0,0,0],[-1,0,0,0],[-1,0,0,0],[-1,0,0,0],[-1,0,0,0],[-1,0,0,0],[-1,0,0,0],[-1,0,0,0],[-1,0,0,0],[-1,0,0,0],[-1,0,0,0],[-1,0,0,0],[-1,0,0,0],[-1,0,0,0],[-1,0,0,0],[-1,0,0,0],[-1,0,0,0],[-1,0,0,0],[-1,0,0,0]</v>
      </c>
      <c r="AB35" t="str">
        <f t="array" ref="AB35">IF(AND('Match Day Reports'!$L60="",COUNTIF('Match Day Reports'!$K24:$AD24,"?*")=0),"","{""gw"":"&amp;'Match Day Reports'!$J24&amp;",""xi"":["&amp;_xlfn.TEXTJOIN(",",TRUE(),IF('Match Day Reports'!$K24:$U24="","",""""&amp;'Match Day Reports'!$K24:$U24&amp;""""))&amp;"],""subs"":["&amp;_xlfn.TEXTJOIN(",",TRUE(),IF('Match Day Reports'!$V24:$AB24="","",""""&amp;'Match Day Reports'!$V24:$AB24&amp;""""))&amp;"],""motm"":"""&amp;IFERROR(INDEX(Attendance!$D$5:$D$24,MATCH("Yes",INDEX(Attendance!$CP$5:$FY$24,0,('Match Day Reports'!$J24-1)*4+4),0)),"")&amp;""",""matchNotes"":"""&amp;SUBSTITUTE(SUBSTITUTE('Match Day Reports'!$AC24,"""","'"),CHAR(10)," ")&amp;""",""keyNotes"":"""&amp;SUBSTITUTE(SUBSTITUTE('Match Day Reports'!$AD24,"""","'"),CHAR(10)," ")&amp;"""}")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row>
    <row r="36" spans="1:30"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{"number":17,"name":"Mariana","position":"RB / CB","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f t="array" ref="X36">IF(Attendance!$D21="","",_xlfn.TEXTJOIN(",",TRUE(),IF(Attendance!$E$4:$CN$4="Att","["&amp;IF(Attendance!$E21:$CN21="Yes",1,0)&amp;","&amp;IF(Attendance!$F21:$CO21="",0,Attendance!$F21:$CO21)&amp;"]","")))</f>
        <v>[1,3],[0,0],[0,0],[0,0],[0,0],[0,0],[0,0],[0,0],[0,0],[0,0],[0,0],[0,0],[0,0],[0,0],[0,0],[0,0],[0,0],[0,0],[0,0],[0,0],[0,0],[0,0],[0,0],[0,0],[0,0],[0,0],[0,0],[0,0],[0,0],[0,0],[0,0],[0,0],[0,0],[0,0],[0,0],[0,0],[0,0],[0,0],[0,0],[0,0],[0,0],[0,0],[0,0],[0,0]</v>
      </c>
      <c r="Z36" t="str">
        <f t="array" ref="Z36">IF(Attendance!$D21="","",_xlfn.TEXTJOIN(",",TRUE(),IF(Attendance!$CP$4:$FY$4="Att","["&amp;IF(Attendance!$CP21:$FY21="Yes",1,IF(Attendance!$CP21:$FY21="No",0,-1))&amp;","&amp;IF(Attendance!$CQ21:$FZ21="",0,Attendance!$CQ21:$FZ21)&amp;","&amp;IF(Attendance!$CR21:$GA21="",0,Attendance!$CR21:$GA21)&amp;","&amp;IF(Attendance!$CS21:$GB21="Yes",1,0)&amp;"]","")))</f>
        <v>[-1,0,0,0],[-1,0,0,0],[-1,0,0,0],[-1,0,0,0],[-1,0,0,0],[-1,0,0,0],[-1,0,0,0],[-1,0,0,0],[-1,0,0,0],[-1,0,0,0],[-1,0,0,0],[-1,0,0,0],[-1,0,0,0],[-1,0,0,0],[-1,0,0,0],[-1,0,0,0],[-1,0,0,0],[-1,0,0,0],[-1,0,0,0],[-1,0,0,0],[-1,0,0,0],[-1,0,0,0]</v>
      </c>
      <c r="AB36" t="str">
        <f t="array" ref="AB36">IF(AND('Match Day Reports'!$L61="",COUNTIF('Match Day Reports'!$K25:$AD25,"?*")=0),"","{""gw"":"&amp;'Match Day Reports'!$J25&amp;",""xi"":["&amp;_xlfn.TEXTJOIN(",",TRUE(),IF('Match Day Reports'!$K25:$U25="","",""""&amp;'Match Day Reports'!$K25:$U25&amp;""""))&amp;"],""subs"":["&amp;_xlfn.TEXTJOIN(",",TRUE(),IF('Match Day Reports'!$V25:$AB25="","",""""&amp;'Match Day Reports'!$V25:$AB25&amp;""""))&amp;"],""motm"":"""&amp;IFERROR(INDEX(Attendance!$D$5:$D$24,MATCH("Yes",INDEX(Attendance!$CP$5:$FY$24,0,('Match Day Reports'!$J25-1)*4+4),0)),"")&amp;""",""matchNotes"":"""&amp;SUBSTITUTE(SUBSTITUTE('Match Day Reports'!$AC25,"""","'"),CHAR(10)," ")&amp;""",""keyNotes"":"""&amp;SUBSTITUTE(SUBSTITUTE('Match Day Reports'!$AD25,"""","'"),CHAR(10)," ")&amp;"""}")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{"name":"Mariana","rank":0,"sessionsAttended":0,"sessionsHeld":0,"attendancePct":0,"avgWorkRate":0,"gradePct":0,"readinessBand":"No pre-season data"}</v>
      </c>
    </row>
    <row r="37" spans="1:30" x14ac:dyDescent="0.45">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{"number":18,"name":"Rama","position":"RW / ST / LW","availability":"Yes","unavailableReason":"","trainingAttendancePct":1,"avgWorkRate":3,"matchdayAttendancePct":0,"minutes":0,"avgMinutes":0,"avgRating":0,"motm":0,"seasonScore":0.7667,"comment":"","toWorkOn":"","sessions":[[1,3],[0,0],[0,0],[0,0],[0,0],[0,0],[0,0],[0,0],[0,0],[0,0],[0,0],[0,0],[0,0],[0,0],[0,0],[0,0],[0,0],[0,0],[0,0],[0,0],[0,0],[0,0],[0,0],[0,0],[0,0],[0,0],[0,0],[0,0],[0,0],[0,0],[0,0],[0,0],[0,0],[0,0],[0,0],[0,0],[0,0],[0,0],[0,0],[0,0],[0,0],[0,0],[0,0],[0,0]],"matches":[[-1,0,0,0],[-1,0,0,0],[-1,0,0,0],[-1,0,0,0],[-1,0,0,0],[-1,0,0,0],[-1,0,0,0],[-1,0,0,0],[-1,0,0,0],[-1,0,0,0],[-1,0,0,0],[-1,0,0,0],[-1,0,0,0],[-1,0,0,0],[-1,0,0,0],[-1,0,0,0],[-1,0,0,0],[-1,0,0,0],[-1,0,0,0],[-1,0,0,0],[-1,0,0,0]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f t="array" ref="X37">IF(Attendance!$D22="","",_xlfn.TEXTJOIN(",",TRUE(),IF(Attendance!$E$4:$CN$4="Att","["&amp;IF(Attendance!$E22:$CN22="Yes",1,0)&amp;","&amp;IF(Attendance!$F22:$CO22="",0,Attendance!$F22:$CO22)&amp;"]","")))</f>
        <v>[1,3],[0,0],[0,0],[0,0],[0,0],[0,0],[0,0],[0,0],[0,0],[0,0],[0,0],[0,0],[0,0],[0,0],[0,0],[0,0],[0,0],[0,0],[0,0],[0,0],[0,0],[0,0],[0,0],[0,0],[0,0],[0,0],[0,0],[0,0],[0,0],[0,0],[0,0],[0,0],[0,0],[0,0],[0,0],[0,0],[0,0],[0,0],[0,0],[0,0],[0,0],[0,0],[0,0],[0,0]</v>
      </c>
      <c r="Z37" t="str">
        <f t="array" ref="Z37">IF(Attendance!$D22="","",_xlfn.TEXTJOIN(",",TRUE(),IF(Attendance!$CP$4:$FY$4="Att","["&amp;IF(Attendance!$CP22:$FY22="Yes",1,IF(Attendance!$CP22:$FY22="No",0,-1))&amp;","&amp;IF(Attendance!$CQ22:$FZ22="",0,Attendance!$CQ22:$FZ22)&amp;","&amp;IF(Attendance!$CR22:$GA22="",0,Attendance!$CR22:$GA22)&amp;","&amp;IF(Attendance!$CS22:$GB22="Yes",1,0)&amp;"]","")))</f>
        <v>[-1,0,0,0],[-1,0,0,0],[-1,0,0,0],[-1,0,0,0],[-1,0,0,0],[-1,0,0,0],[-1,0,0,0],[-1,0,0,0],[-1,0,0,0],[-1,0,0,0],[-1,0,0,0],[-1,0,0,0],[-1,0,0,0],[-1,0,0,0],[-1,0,0,0],[-1,0,0,0],[-1,0,0,0],[-1,0,0,0],[-1,0,0,0],[-1,0,0,0],[-1,0,0,0],[-1,0,0,0]</v>
      </c>
      <c r="AB37" t="str">
        <f t="array" ref="AB37">IF(AND('Match Day Reports'!$L62="",COUNTIF('Match Day Reports'!$K26:$AD26,"?*")=0),"","{""gw"":"&amp;'Match Day Reports'!$J26&amp;",""xi"":["&amp;_xlfn.TEXTJOIN(",",TRUE(),IF('Match Day Reports'!$K26:$U26="","",""""&amp;'Match Day Reports'!$K26:$U26&amp;""""))&amp;"],""subs"":["&amp;_xlfn.TEXTJOIN(",",TRUE(),IF('Match Day Reports'!$V26:$AB26="","",""""&amp;'Match Day Reports'!$V26:$AB26&amp;""""))&amp;"],""motm"":"""&amp;IFERROR(INDEX(Attendance!$D$5:$D$24,MATCH("Yes",INDEX(Attendance!$CP$5:$FY$24,0,('Match Day Reports'!$J26-1)*4+4),0)),"")&amp;""",""matchNotes"":"""&amp;SUBSTITUTE(SUBSTITUTE('Match Day Reports'!$AC26,"""","'"),CHAR(10)," ")&amp;""",""keyNotes"":"""&amp;SUBSTITUTE(SUBSTITUTE('Match Day Reports'!$AD26,"""","'"),CHAR(10)," ")&amp;"""}")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{"name":"Rama","rank":0,"sessionsAttended":0,"sessionsHeld":0,"attendancePct":0,"avgWorkRate":0,"gradePct":0,"readinessBand":"No pre-season data"}</v>
      </c>
    </row>
    <row r="38" spans="1:30" x14ac:dyDescent="0.45">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f t="array" ref="X38">IF(Attendance!$D23="","",_xlfn.TEXTJOIN(",",TRUE(),IF(Attendance!$E$4:$CN$4="Att","["&amp;IF(Attendance!$E23:$CN23="Yes",1,0)&amp;","&amp;IF(Attendance!$F23:$CO23="",0,Attendance!$F23:$CO23)&amp;"]","")))</f>
        <v/>
      </c>
      <c r="Z38" t="str">
        <f t="array" ref="Z38">IF(Attendance!$D23="","",_xlfn.TEXTJOIN(",",TRUE(),IF(Attendance!$CP$4:$FY$4="Att","["&amp;IF(Attendance!$CP23:$FY23="Yes",1,IF(Attendance!$CP23:$FY23="No",0,-1))&amp;","&amp;IF(Attendance!$CQ23:$FZ23="",0,Attendance!$CQ23:$FZ23)&amp;","&amp;IF(Attendance!$CR23:$GA23="",0,Attendance!$CR23:$GA23)&amp;","&amp;IF(Attendance!$CS23:$GB23="Yes",1,0)&amp;"]","")))</f>
        <v/>
      </c>
      <c r="AB38" t="str">
        <f t="array" ref="AB38">IF(AND('Match Day Reports'!$L63="",COUNTIF('Match Day Reports'!$K27:$AD27,"?*")=0),"","{""gw"":"&amp;'Match Day Reports'!$J27&amp;",""xi"":["&amp;_xlfn.TEXTJOIN(",",TRUE(),IF('Match Day Reports'!$K27:$U27="","",""""&amp;'Match Day Reports'!$K27:$U27&amp;""""))&amp;"],""subs"":["&amp;_xlfn.TEXTJOIN(",",TRUE(),IF('Match Day Reports'!$V27:$AB27="","",""""&amp;'Match Day Reports'!$V27:$AB27&amp;""""))&amp;"],""motm"":"""&amp;IFERROR(INDEX(Attendance!$D$5:$D$24,MATCH("Yes",INDEX(Attendance!$CP$5:$FY$24,0,('Match Day Reports'!$J27-1)*4+4),0)),"")&amp;""",""matchNotes"":"""&amp;SUBSTITUTE(SUBSTITUTE('Match Day Reports'!$AC27,"""","'"),CHAR(10)," ")&amp;""",""keyNotes"":"""&amp;SUBSTITUTE(SUBSTITUTE('Match Day Reports'!$AD27,"""","'"),CHAR(10)," ")&amp;"""}")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row>
    <row r="39" spans="1:30" x14ac:dyDescent="0.45">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f t="array" ref="X39">IF(Attendance!$D24="","",_xlfn.TEXTJOIN(",",TRUE(),IF(Attendance!$E$4:$CN$4="Att","["&amp;IF(Attendance!$E24:$CN24="Yes",1,0)&amp;","&amp;IF(Attendance!$F24:$CO24="",0,Attendance!$F24:$CO24)&amp;"]","")))</f>
        <v/>
      </c>
      <c r="Z39" t="str">
        <f t="array" ref="Z39">IF(Attendance!$D24="","",_xlfn.TEXTJOIN(",",TRUE(),IF(Attendance!$CP$4:$FY$4="Att","["&amp;IF(Attendance!$CP24:$FY24="Yes",1,IF(Attendance!$CP24:$FY24="No",0,-1))&amp;","&amp;IF(Attendance!$CQ24:$FZ24="",0,Attendance!$CQ24:$FZ24)&amp;","&amp;IF(Attendance!$CR24:$GA24="",0,Attendance!$CR24:$GA24)&amp;","&amp;IF(Attendance!$CS24:$GB24="Yes",1,0)&amp;"]","")))</f>
        <v/>
      </c>
      <c r="AB39" t="str">
        <f t="array" ref="AB39">IF(AND('Match Day Reports'!$L64="",COUNTIF('Match Day Reports'!$K28:$AD28,"?*")=0),"","{""gw"":"&amp;'Match Day Reports'!$J28&amp;",""xi"":["&amp;_xlfn.TEXTJOIN(",",TRUE(),IF('Match Day Reports'!$K28:$U28="","",""""&amp;'Match Day Reports'!$K28:$U28&amp;""""))&amp;"],""subs"":["&amp;_xlfn.TEXTJOIN(",",TRUE(),IF('Match Day Reports'!$V28:$AB28="","",""""&amp;'Match Day Reports'!$V28:$AB28&amp;""""))&amp;"],""motm"":"""&amp;IFERROR(INDEX(Attendance!$D$5:$D$24,MATCH("Yes",INDEX(Attendance!$CP$5:$FY$24,0,('Match Day Reports'!$J28-1)*4+4),0)),"")&amp;""",""matchNotes"":"""&amp;SUBSTITUTE(SUBSTITUTE('Match Day Reports'!$AC28,"""","'"),CHAR(10)," ")&amp;""",""keyNotes"":"""&amp;SUBSTITUTE(SUBSTITUTE('Match Day Reports'!$AD28,"""","'"),CHAR(10)," ")&amp;"""}")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row>
    <row r="40" spans="1:30" x14ac:dyDescent="0.45">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f t="array" ref="AB40">IF(AND('Match Day Reports'!$L65="",COUNTIF('Match Day Reports'!$K29:$AD29,"?*")=0),"","{""gw"":"&amp;'Match Day Reports'!$J29&amp;",""xi"":["&amp;_xlfn.TEXTJOIN(",",TRUE(),IF('Match Day Reports'!$K29:$U29="","",""""&amp;'Match Day Reports'!$K29:$U29&amp;""""))&amp;"],""subs"":["&amp;_xlfn.TEXTJOIN(",",TRUE(),IF('Match Day Reports'!$V29:$AB29="","",""""&amp;'Match Day Reports'!$V29:$AB29&amp;""""))&amp;"],""motm"":"""&amp;IFERROR(INDEX(Attendance!$D$5:$D$24,MATCH("Yes",INDEX(Attendance!$CP$5:$FY$24,0,('Match Day Reports'!$J29-1)*4+4),0)),"")&amp;""",""matchNotes"":"""&amp;SUBSTITUTE(SUBSTITUTE('Match Day Reports'!$AC29,"""","'"),CHAR(10)," ")&amp;""",""keyNotes"":"""&amp;SUBSTITUTE(SUBSTITUTE('Match Day Reports'!$AD29,"""","'"),CHAR(10)," ")&amp;"""}")</f>
        <v/>
      </c>
    </row>
    <row r="41" spans="1:30" x14ac:dyDescent="0.45">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f t="array" ref="AB41">IF(AND('Match Day Reports'!$L66="",COUNTIF('Match Day Reports'!$K30:$AD30,"?*")=0),"","{""gw"":"&amp;'Match Day Reports'!$J30&amp;",""xi"":["&amp;_xlfn.TEXTJOIN(",",TRUE(),IF('Match Day Reports'!$K30:$U30="","",""""&amp;'Match Day Reports'!$K30:$U30&amp;""""))&amp;"],""subs"":["&amp;_xlfn.TEXTJOIN(",",TRUE(),IF('Match Day Reports'!$V30:$AB30="","",""""&amp;'Match Day Reports'!$V30:$AB30&amp;""""))&amp;"],""motm"":"""&amp;IFERROR(INDEX(Attendance!$D$5:$D$24,MATCH("Yes",INDEX(Attendance!$CP$5:$FY$24,0,('Match Day Reports'!$J30-1)*4+4),0)),"")&amp;""",""matchNotes"":"""&amp;SUBSTITUTE(SUBSTITUTE('Match Day Reports'!$AC30,"""","'"),CHAR(10)," ")&amp;""",""keyNotes"":"""&amp;SUBSTITUTE(SUBSTITUTE('Match Day Reports'!$AD30,"""","'"),CHAR(10)," ")&amp;"""}")</f>
        <v/>
      </c>
    </row>
    <row r="42" spans="1:30" x14ac:dyDescent="0.45">
      <c r="N42" t="str">
        <f t="array" ref="N42">IF(LEN(INDEX(Attendance!$E$3:$CN$3,1,(23-1)*2+1))=0,"","{""index"":23,""gw"":12,""date"":"""&amp;TEXT(INDEX(Attendance!$E$3:$CN$3,1,(23-1)*2+1),"yyyy-mm-dd")&amp;"""}")</f>
        <v/>
      </c>
    </row>
    <row r="43" spans="1:30" x14ac:dyDescent="0.45">
      <c r="N43" t="str">
        <f t="array" ref="N43">IF(LEN(INDEX(Attendance!$E$3:$CN$3,1,(24-1)*2+1))=0,"","{""index"":24,""gw"":12,""date"":"""&amp;TEXT(INDEX(Attendance!$E$3:$CN$3,1,(24-1)*2+1),"yyyy-mm-dd")&amp;"""}")</f>
        <v/>
      </c>
    </row>
    <row r="44" spans="1:30" x14ac:dyDescent="0.45">
      <c r="N44" t="str">
        <f t="array" ref="N44">IF(LEN(INDEX(Attendance!$E$3:$CN$3,1,(25-1)*2+1))=0,"","{""index"":25,""gw"":13,""date"":"""&amp;TEXT(INDEX(Attendance!$E$3:$CN$3,1,(25-1)*2+1),"yyyy-mm-dd")&amp;"""}")</f>
        <v/>
      </c>
    </row>
    <row r="45" spans="1:30" x14ac:dyDescent="0.45">
      <c r="N45" t="str">
        <f t="array" ref="N45">IF(LEN(INDEX(Attendance!$E$3:$CN$3,1,(26-1)*2+1))=0,"","{""index"":26,""gw"":13,""date"":"""&amp;TEXT(INDEX(Attendance!$E$3:$CN$3,1,(26-1)*2+1),"yyyy-mm-dd")&amp;"""}")</f>
        <v/>
      </c>
    </row>
    <row r="46" spans="1:30" x14ac:dyDescent="0.45">
      <c r="N46" t="str">
        <f t="array" ref="N46">IF(LEN(INDEX(Attendance!$E$3:$CN$3,1,(27-1)*2+1))=0,"","{""index"":27,""gw"":14,""date"":"""&amp;TEXT(INDEX(Attendance!$E$3:$CN$3,1,(27-1)*2+1),"yyyy-mm-dd")&amp;"""}")</f>
        <v/>
      </c>
    </row>
    <row r="47" spans="1:30" x14ac:dyDescent="0.45">
      <c r="N47" t="str">
        <f t="array" ref="N47">IF(LEN(INDEX(Attendance!$E$3:$CN$3,1,(28-1)*2+1))=0,"","{""index"":28,""gw"":14,""date"":"""&amp;TEXT(INDEX(Attendance!$E$3:$CN$3,1,(28-1)*2+1),"yyyy-mm-dd")&amp;"""}")</f>
        <v/>
      </c>
    </row>
    <row r="48" spans="1:30" x14ac:dyDescent="0.45">
      <c r="N48" t="str">
        <f t="array" ref="N48">IF(LEN(INDEX(Attendance!$E$3:$CN$3,1,(29-1)*2+1))=0,"","{""index"":29,""gw"":15,""date"":"""&amp;TEXT(INDEX(Attendance!$E$3:$CN$3,1,(29-1)*2+1),"yyyy-mm-dd")&amp;"""}")</f>
        <v/>
      </c>
    </row>
    <row r="49" spans="14:14" x14ac:dyDescent="0.45">
      <c r="N49" t="str">
        <f t="array" ref="N49">IF(LEN(INDEX(Attendance!$E$3:$CN$3,1,(30-1)*2+1))=0,"","{""index"":30,""gw"":15,""date"":"""&amp;TEXT(INDEX(Attendance!$E$3:$CN$3,1,(30-1)*2+1),"yyyy-mm-dd")&amp;"""}")</f>
        <v/>
      </c>
    </row>
    <row r="50" spans="14:14" x14ac:dyDescent="0.45">
      <c r="N50" t="str">
        <f t="array" ref="N50">IF(LEN(INDEX(Attendance!$E$3:$CN$3,1,(31-1)*2+1))=0,"","{""index"":31,""gw"":16,""date"":"""&amp;TEXT(INDEX(Attendance!$E$3:$CN$3,1,(31-1)*2+1),"yyyy-mm-dd")&amp;"""}")</f>
        <v/>
      </c>
    </row>
    <row r="51" spans="14:14" x14ac:dyDescent="0.45">
      <c r="N51" t="str">
        <f t="array" ref="N51">IF(LEN(INDEX(Attendance!$E$3:$CN$3,1,(32-1)*2+1))=0,"","{""index"":32,""gw"":16,""date"":"""&amp;TEXT(INDEX(Attendance!$E$3:$CN$3,1,(32-1)*2+1),"yyyy-mm-dd")&amp;"""}")</f>
        <v/>
      </c>
    </row>
    <row r="52" spans="14:14" x14ac:dyDescent="0.45">
      <c r="N52" t="str">
        <f t="array" ref="N52">IF(LEN(INDEX(Attendance!$E$3:$CN$3,1,(33-1)*2+1))=0,"","{""index"":33,""gw"":17,""date"":"""&amp;TEXT(INDEX(Attendance!$E$3:$CN$3,1,(33-1)*2+1),"yyyy-mm-dd")&amp;"""}")</f>
        <v/>
      </c>
    </row>
    <row r="53" spans="14:14" x14ac:dyDescent="0.45">
      <c r="N53" t="str">
        <f t="array" ref="N53">IF(LEN(INDEX(Attendance!$E$3:$CN$3,1,(34-1)*2+1))=0,"","{""index"":34,""gw"":17,""date"":"""&amp;TEXT(INDEX(Attendance!$E$3:$CN$3,1,(34-1)*2+1),"yyyy-mm-dd")&amp;"""}")</f>
        <v/>
      </c>
    </row>
    <row r="54" spans="14:14" x14ac:dyDescent="0.45">
      <c r="N54" t="str">
        <f t="array" ref="N54">IF(LEN(INDEX(Attendance!$E$3:$CN$3,1,(35-1)*2+1))=0,"","{""index"":35,""gw"":18,""date"":"""&amp;TEXT(INDEX(Attendance!$E$3:$CN$3,1,(35-1)*2+1),"yyyy-mm-dd")&amp;"""}")</f>
        <v/>
      </c>
    </row>
    <row r="55" spans="14:14" x14ac:dyDescent="0.45">
      <c r="N55" t="str">
        <f t="array" ref="N55">IF(LEN(INDEX(Attendance!$E$3:$CN$3,1,(36-1)*2+1))=0,"","{""index"":36,""gw"":18,""date"":"""&amp;TEXT(INDEX(Attendance!$E$3:$CN$3,1,(36-1)*2+1),"yyyy-mm-dd")&amp;"""}")</f>
        <v/>
      </c>
    </row>
    <row r="56" spans="14:14" x14ac:dyDescent="0.45">
      <c r="N56" t="str">
        <f t="array" ref="N56">IF(LEN(INDEX(Attendance!$E$3:$CN$3,1,(37-1)*2+1))=0,"","{""index"":37,""gw"":19,""date"":"""&amp;TEXT(INDEX(Attendance!$E$3:$CN$3,1,(37-1)*2+1),"yyyy-mm-dd")&amp;"""}")</f>
        <v/>
      </c>
    </row>
    <row r="57" spans="14:14" x14ac:dyDescent="0.45">
      <c r="N57" t="str">
        <f t="array" ref="N57">IF(LEN(INDEX(Attendance!$E$3:$CN$3,1,(38-1)*2+1))=0,"","{""index"":38,""gw"":19,""date"":"""&amp;TEXT(INDEX(Attendance!$E$3:$CN$3,1,(38-1)*2+1),"yyyy-mm-dd")&amp;"""}")</f>
        <v/>
      </c>
    </row>
    <row r="58" spans="14:14" x14ac:dyDescent="0.45">
      <c r="N58" t="str">
        <f t="array" ref="N58">IF(LEN(INDEX(Attendance!$E$3:$CN$3,1,(39-1)*2+1))=0,"","{""index"":39,""gw"":20,""date"":"""&amp;TEXT(INDEX(Attendance!$E$3:$CN$3,1,(39-1)*2+1),"yyyy-mm-dd")&amp;"""}")</f>
        <v/>
      </c>
    </row>
    <row r="59" spans="14:14" x14ac:dyDescent="0.45">
      <c r="N59" t="str">
        <f t="array" ref="N59">IF(LEN(INDEX(Attendance!$E$3:$CN$3,1,(40-1)*2+1))=0,"","{""index"":40,""gw"":20,""date"":"""&amp;TEXT(INDEX(Attendance!$E$3:$CN$3,1,(40-1)*2+1),"yyyy-mm-dd")&amp;"""}")</f>
        <v/>
      </c>
    </row>
    <row r="60" spans="14:14" x14ac:dyDescent="0.45">
      <c r="N60" t="str">
        <f t="array" ref="N60">IF(LEN(INDEX(Attendance!$E$3:$CN$3,1,(41-1)*2+1))=0,"","{""index"":41,""gw"":21,""date"":"""&amp;TEXT(INDEX(Attendance!$E$3:$CN$3,1,(41-1)*2+1),"yyyy-mm-dd")&amp;"""}")</f>
        <v/>
      </c>
    </row>
    <row r="61" spans="14:14" x14ac:dyDescent="0.45">
      <c r="N61" t="str">
        <f t="array" ref="N61">IF(LEN(INDEX(Attendance!$E$3:$CN$3,1,(42-1)*2+1))=0,"","{""index"":42,""gw"":21,""date"":"""&amp;TEXT(INDEX(Attendance!$E$3:$CN$3,1,(42-1)*2+1),"yyyy-mm-dd")&amp;"""}")</f>
        <v/>
      </c>
    </row>
    <row r="62" spans="14:14" x14ac:dyDescent="0.45">
      <c r="N62" t="str">
        <f t="array" ref="N62">IF(LEN(INDEX(Attendance!$E$3:$CN$3,1,(43-1)*2+1))=0,"","{""index"":43,""gw"":22,""date"":"""&amp;TEXT(INDEX(Attendance!$E$3:$CN$3,1,(43-1)*2+1),"yyyy-mm-dd")&amp;"""}")</f>
        <v/>
      </c>
    </row>
    <row r="63" spans="14:14" x14ac:dyDescent="0.45">
      <c r="N63" t="str">
        <f t="array" ref="N63">IF(LEN(INDEX(Attendance!$E$3:$CN$3,1,(44-1)*2+1))=0,"","{""index"":44,""gw"":22,""date"":"""&amp;TEXT(INDEX(Attendance!$E$3:$CN$3,1,(44-1)*2+1),"yyyy-mm-dd")&amp;"""}")</f>
        <v/>
      </c>
    </row>
  </sheetData>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43"/>
  <sheetViews>
    <sheetView workbookViewId="0"/>
  </sheetViews>
  <sheetFormatPr defaultRowHeight="14.25" x14ac:dyDescent="0.45"/>
  <cols>
    <col min="1" max="1" width="5.33203125" style="339" customWidth="1"/>
    <col min="2" max="2" width="37.33203125" style="339" customWidth="1"/>
    <col min="3" max="3" width="74.6640625" style="339" customWidth="1"/>
    <col min="4" max="5" width="16" style="339" customWidth="1"/>
  </cols>
  <sheetData>
    <row r="2" spans="2:3" ht="21" x14ac:dyDescent="0.45">
      <c r="B2" s="340" t="s">
        <v>460</v>
      </c>
    </row>
    <row r="3" spans="2:3" x14ac:dyDescent="0.45">
      <c r="B3" s="341" t="s">
        <v>461</v>
      </c>
    </row>
    <row r="5" spans="2:3" ht="15.75" x14ac:dyDescent="0.45">
      <c r="B5" s="356" t="s">
        <v>462</v>
      </c>
      <c r="C5" s="357"/>
    </row>
    <row r="6" spans="2:3" ht="28.5" x14ac:dyDescent="0.45">
      <c r="B6" s="357" t="s">
        <v>463</v>
      </c>
      <c r="C6" s="361" t="s">
        <v>464</v>
      </c>
    </row>
    <row r="7" spans="2:3" ht="28.5" x14ac:dyDescent="0.45">
      <c r="B7" s="357" t="s">
        <v>465</v>
      </c>
      <c r="C7" s="361" t="s">
        <v>466</v>
      </c>
    </row>
    <row r="8" spans="2:3" ht="42.75" x14ac:dyDescent="0.45">
      <c r="B8" s="357" t="s">
        <v>467</v>
      </c>
      <c r="C8" s="361" t="s">
        <v>468</v>
      </c>
    </row>
    <row r="10" spans="2:3" ht="15.75" x14ac:dyDescent="0.45">
      <c r="B10" s="358" t="s">
        <v>469</v>
      </c>
      <c r="C10" s="359"/>
    </row>
    <row r="11" spans="2:3" ht="28.5" x14ac:dyDescent="0.45">
      <c r="B11" s="360" t="s">
        <v>470</v>
      </c>
      <c r="C11" s="362" t="s">
        <v>471</v>
      </c>
    </row>
    <row r="12" spans="2:3" ht="28.5" x14ac:dyDescent="0.45">
      <c r="B12" s="359" t="s">
        <v>472</v>
      </c>
      <c r="C12" s="362" t="s">
        <v>473</v>
      </c>
    </row>
    <row r="13" spans="2:3" ht="28.5" x14ac:dyDescent="0.45">
      <c r="B13" s="359" t="s">
        <v>474</v>
      </c>
      <c r="C13" s="362" t="s">
        <v>475</v>
      </c>
    </row>
    <row r="14" spans="2:3" ht="28.5" x14ac:dyDescent="0.45">
      <c r="B14" s="359" t="s">
        <v>476</v>
      </c>
      <c r="C14" s="362" t="s">
        <v>477</v>
      </c>
    </row>
    <row r="15" spans="2:3" ht="28.5" x14ac:dyDescent="0.45">
      <c r="B15" s="359" t="s">
        <v>478</v>
      </c>
      <c r="C15" s="362" t="s">
        <v>479</v>
      </c>
    </row>
    <row r="16" spans="2:3" ht="42.75" x14ac:dyDescent="0.45">
      <c r="B16" s="359" t="s">
        <v>480</v>
      </c>
      <c r="C16" s="362" t="s">
        <v>481</v>
      </c>
    </row>
    <row r="18" spans="2:4" ht="15.75" x14ac:dyDescent="0.45">
      <c r="B18" s="343" t="s">
        <v>482</v>
      </c>
    </row>
    <row r="19" spans="2:4" ht="28.5" x14ac:dyDescent="0.45">
      <c r="B19" s="339" t="s">
        <v>483</v>
      </c>
      <c r="C19" s="363" t="s">
        <v>484</v>
      </c>
    </row>
    <row r="20" spans="2:4" ht="28.5" x14ac:dyDescent="0.45">
      <c r="B20" s="339" t="s">
        <v>485</v>
      </c>
      <c r="C20" s="364"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42" t="s">
        <v>486</v>
      </c>
      <c r="C21" s="364"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0.00-1.50  |  Not Ready 1.51-2.00  |  Improving 2.01-2.50  |  Nearly Ready 2.51-3.00  |  Not Ready for 90 min 3.01-3.49  |  Match Ready 3.50-5.00</v>
      </c>
    </row>
    <row r="23" spans="2:4" ht="15.75" x14ac:dyDescent="0.45">
      <c r="B23" s="343" t="s">
        <v>487</v>
      </c>
    </row>
    <row r="24" spans="2:4" x14ac:dyDescent="0.45">
      <c r="B24" s="341" t="s">
        <v>488</v>
      </c>
    </row>
    <row r="26" spans="2:4" x14ac:dyDescent="0.45">
      <c r="B26" s="345" t="s">
        <v>489</v>
      </c>
      <c r="C26" s="345" t="s">
        <v>490</v>
      </c>
      <c r="D26" s="346" t="s">
        <v>491</v>
      </c>
    </row>
    <row r="27" spans="2:4" x14ac:dyDescent="0.45">
      <c r="B27" s="347" t="str">
        <f>Workings!$S6</f>
        <v>Critical</v>
      </c>
      <c r="C27" s="347" t="str">
        <f>TEXT(Workings!$T6,"0.00")&amp;" - "&amp;TEXT(Workings!$U6,"0.00")</f>
        <v>0.00 - 1.50</v>
      </c>
      <c r="D27" s="348">
        <f>Workings!$V6</f>
        <v>0</v>
      </c>
    </row>
    <row r="28" spans="2:4" x14ac:dyDescent="0.45">
      <c r="B28" s="347" t="str">
        <f>Workings!$S7</f>
        <v>Not Ready</v>
      </c>
      <c r="C28" s="347" t="str">
        <f>TEXT(Workings!$T7,"0.00")&amp;" - "&amp;TEXT(Workings!$U7,"0.00")</f>
        <v>1.51 - 2.00</v>
      </c>
      <c r="D28" s="348">
        <f>Workings!$V7</f>
        <v>2</v>
      </c>
    </row>
    <row r="29" spans="2:4" x14ac:dyDescent="0.45">
      <c r="B29" s="347" t="str">
        <f>Workings!$S8</f>
        <v>Improving</v>
      </c>
      <c r="C29" s="347" t="str">
        <f>TEXT(Workings!$T8,"0.00")&amp;" - "&amp;TEXT(Workings!$U8,"0.00")</f>
        <v>2.01 - 2.50</v>
      </c>
      <c r="D29" s="348">
        <f>Workings!$V8</f>
        <v>0</v>
      </c>
    </row>
    <row r="30" spans="2:4" x14ac:dyDescent="0.45">
      <c r="B30" s="347" t="str">
        <f>Workings!$S9</f>
        <v>Nearly Ready</v>
      </c>
      <c r="C30" s="347" t="str">
        <f>TEXT(Workings!$T9,"0.00")&amp;" - "&amp;TEXT(Workings!$U9,"0.00")</f>
        <v>2.51 - 3.00</v>
      </c>
      <c r="D30" s="348">
        <f>Workings!$V9</f>
        <v>12</v>
      </c>
    </row>
    <row r="31" spans="2:4" x14ac:dyDescent="0.45">
      <c r="B31" s="347" t="str">
        <f>Workings!$S10</f>
        <v>Not Ready for 90 min</v>
      </c>
      <c r="C31" s="347" t="str">
        <f>TEXT(Workings!$T10,"0.00")&amp;" - "&amp;TEXT(Workings!$U10,"0.00")</f>
        <v>3.01 - 3.49</v>
      </c>
      <c r="D31" s="348">
        <f>Workings!$V10</f>
        <v>1</v>
      </c>
    </row>
    <row r="32" spans="2:4" x14ac:dyDescent="0.45">
      <c r="B32" s="347" t="str">
        <f>Workings!$S11</f>
        <v>Match Ready</v>
      </c>
      <c r="C32" s="347" t="str">
        <f>TEXT(Workings!$T11,"0.00")&amp;" - "&amp;TEXT(Workings!$U11,"0.00")</f>
        <v>3.50 - 5.00</v>
      </c>
      <c r="D32" s="348">
        <f>Workings!$V11</f>
        <v>0</v>
      </c>
    </row>
    <row r="33" spans="2:4" ht="14.65" thickBot="1" x14ac:dyDescent="0.5">
      <c r="B33" s="349" t="s">
        <v>427</v>
      </c>
      <c r="C33" s="350" t="str">
        <f>"no band - fewer than "&amp;'Pre season'!$AM$5&amp;" sessions attended"</f>
        <v>no band - fewer than 5 sessions attended</v>
      </c>
      <c r="D33" s="351">
        <f>COUNTIF(Workings!$I$6:$I$25,"Insufficient data")</f>
        <v>3</v>
      </c>
    </row>
    <row r="34" spans="2:4" ht="14.65" thickTop="1" x14ac:dyDescent="0.45">
      <c r="B34" s="352" t="s">
        <v>492</v>
      </c>
      <c r="C34" s="353" t="s">
        <v>493</v>
      </c>
      <c r="D34" s="354">
        <f>SUM($D$27:$D$33)</f>
        <v>18</v>
      </c>
    </row>
    <row r="36" spans="2:4" ht="28.5" x14ac:dyDescent="0.45">
      <c r="B36" s="355" t="s">
        <v>494</v>
      </c>
      <c r="C36" s="365"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must appear in the "Nearly Ready" card, not Match Ready. Her work rate is 3.00 from 1 of 1 sessions - below the 3.50 Match Ready floor even before the sessions rule is applied.</v>
      </c>
    </row>
    <row r="38" spans="2:4" ht="15.75" x14ac:dyDescent="0.45">
      <c r="B38" s="343" t="s">
        <v>495</v>
      </c>
    </row>
    <row r="39" spans="2:4" x14ac:dyDescent="0.45">
      <c r="B39" s="339" t="s">
        <v>496</v>
      </c>
      <c r="C39" s="344"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39" t="s">
        <v>514</v>
      </c>
    </row>
    <row r="41" spans="2:4" ht="15.75" x14ac:dyDescent="0.45">
      <c r="B41" s="343" t="s">
        <v>515</v>
      </c>
      <c r="C41" s="339" t="s">
        <v>516</v>
      </c>
    </row>
    <row r="42" spans="2:4" ht="15.75" x14ac:dyDescent="0.45">
      <c r="B42" s="343" t="s">
        <v>517</v>
      </c>
      <c r="C42" s="339" t="s">
        <v>518</v>
      </c>
    </row>
    <row r="43" spans="2:4" ht="15.75" x14ac:dyDescent="0.45">
      <c r="B43" s="343" t="s">
        <v>519</v>
      </c>
      <c r="C43" s="339" t="s">
        <v>520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2026-08-27T13:28:50Z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