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ennesisconsulting-my.sharepoint.com/personal/johnhennessy_hennesisconsulting_com/Documents/Lucan Utd/Girls Yths/"/>
    </mc:Choice>
  </mc:AlternateContent>
  <xr:revisionPtr revIDLastSave="6007" documentId="8_{A69D519E-EF05-472F-8F51-A9C60EF59E18}" xr6:coauthVersionLast="47" xr6:coauthVersionMax="47" xr10:uidLastSave="{C2CB74EC-2EF4-42E2-BB8B-6B5B272B711A}"/>
  <bookViews>
    <workbookView minimized="1" xWindow="675" yWindow="0" windowWidth="16718" windowHeight="12780" tabRatio="971" activeTab="4" xr2:uid="{00000000-000D-0000-FFFF-FFFF00000000}"/>
  </bookViews>
  <sheets>
    <sheet name="Dashboard" sheetId="1" r:id="rId1"/>
    <sheet name="Pre season" sheetId="2" r:id="rId2"/>
    <sheet name="Attendance" sheetId="3" r:id="rId3"/>
    <sheet name="Player Grading" sheetId="4" r:id="rId4"/>
    <sheet name="Team Selection" sheetId="5" r:id="rId5"/>
    <sheet name="Match Day Reports" sheetId="6" r:id="rId6"/>
    <sheet name="Workings" sheetId="7" r:id="rId7"/>
    <sheet name="Web Output" sheetId="8" r:id="rId8"/>
    <sheet name="Web Spec" sheetId="9" r:id="rId9"/>
  </sheets>
  <definedNames>
    <definedName name="ActiveSrc">Workings!$BD$2</definedName>
    <definedName name="ATAtt">Attendance!$E$4:$CN$4</definedName>
    <definedName name="ATDates">Attendance!$E$3:$CN$3</definedName>
    <definedName name="ATWR">Attendance!$F$4:$CO$4</definedName>
    <definedName name="Opponents">Attendance!$D$46:$D$56</definedName>
    <definedName name="PlayerList">Attendance!$D$5:$D$24</definedName>
    <definedName name="PSAtt">'Pre season'!$E$4:$AB$4</definedName>
    <definedName name="PSDates">'Pre season'!$E$3:$AB$3</definedName>
    <definedName name="PSWR">'Pre season'!$F$4:$AC$4</definedName>
    <definedName name="WinDays">Workings!$BB$1</definedName>
    <definedName name="WinEnd">Workings!$BD$1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 i="8" l="1"/>
  <c r="D7" i="8"/>
  <c r="E7" i="8" s="1"/>
  <c r="D6" i="8"/>
  <c r="E6" i="8" s="1"/>
  <c r="D5" i="8"/>
  <c r="E5" i="8" s="1"/>
  <c r="C7" i="8"/>
  <c r="C6" i="8"/>
  <c r="C5" i="8"/>
  <c r="Z39" i="8" a="1"/>
  <c r="Z39" i="8" s="1"/>
  <c r="X39" i="8" a="1"/>
  <c r="X39" i="8" s="1"/>
  <c r="Z38" i="8" a="1"/>
  <c r="Z38" i="8" s="1"/>
  <c r="X38" i="8" a="1"/>
  <c r="X38" i="8" s="1"/>
  <c r="Z37" i="8" a="1"/>
  <c r="Z37" i="8" s="1"/>
  <c r="X37" i="8" a="1"/>
  <c r="X37" i="8" s="1"/>
  <c r="Z36" i="8" a="1"/>
  <c r="Z36" i="8" s="1"/>
  <c r="X36" i="8" a="1"/>
  <c r="X36" i="8" s="1"/>
  <c r="Z35" i="8" a="1"/>
  <c r="Z35" i="8" s="1"/>
  <c r="X35" i="8" a="1"/>
  <c r="X35" i="8" s="1"/>
  <c r="Z34" i="8" a="1"/>
  <c r="Z34" i="8" s="1"/>
  <c r="X34" i="8" a="1"/>
  <c r="X34" i="8" s="1"/>
  <c r="Z33" i="8" a="1"/>
  <c r="Z33" i="8" s="1"/>
  <c r="X33" i="8" a="1"/>
  <c r="X33" i="8" s="1"/>
  <c r="Z32" i="8" a="1"/>
  <c r="Z32" i="8" s="1"/>
  <c r="X32" i="8" a="1"/>
  <c r="X32" i="8" s="1"/>
  <c r="Z31" i="8" a="1"/>
  <c r="Z31" i="8" s="1"/>
  <c r="X31" i="8" a="1"/>
  <c r="X31" i="8" s="1"/>
  <c r="Z30" i="8" a="1"/>
  <c r="Z30" i="8" s="1"/>
  <c r="X30" i="8" a="1"/>
  <c r="X30" i="8" s="1"/>
  <c r="Z29" i="8" a="1"/>
  <c r="Z29" i="8" s="1"/>
  <c r="X29" i="8" a="1"/>
  <c r="X29" i="8" s="1"/>
  <c r="Z28" i="8" a="1"/>
  <c r="Z28" i="8" s="1"/>
  <c r="X28" i="8" a="1"/>
  <c r="X28" i="8" s="1"/>
  <c r="Z27" i="8" a="1"/>
  <c r="Z27" i="8" s="1"/>
  <c r="X27" i="8" a="1"/>
  <c r="X27" i="8" s="1"/>
  <c r="Z26" i="8" a="1"/>
  <c r="Z26" i="8" s="1"/>
  <c r="X26" i="8" a="1"/>
  <c r="X26" i="8" s="1"/>
  <c r="Z25" i="8" a="1"/>
  <c r="Z25" i="8" s="1"/>
  <c r="X25" i="8" a="1"/>
  <c r="X25" i="8" s="1"/>
  <c r="Z24" i="8" a="1"/>
  <c r="Z24" i="8" s="1"/>
  <c r="X24" i="8" a="1"/>
  <c r="X24" i="8" s="1"/>
  <c r="Z23" i="8" a="1"/>
  <c r="Z23" i="8" s="1"/>
  <c r="X23" i="8" a="1"/>
  <c r="X23" i="8" s="1"/>
  <c r="Z22" i="8" a="1"/>
  <c r="Z22" i="8" s="1"/>
  <c r="X22" i="8" a="1"/>
  <c r="X22" i="8" s="1"/>
  <c r="Z21" i="8" a="1"/>
  <c r="Z21" i="8" s="1"/>
  <c r="X21" i="8" a="1"/>
  <c r="X21" i="8" s="1"/>
  <c r="Z20" i="8" a="1"/>
  <c r="Z20" i="8" s="1"/>
  <c r="X20" i="8" a="1"/>
  <c r="X20" i="8" s="1"/>
  <c r="BZ42" i="8"/>
  <c r="BZ41" i="8"/>
  <c r="CA39" i="8" a="1"/>
  <c r="CA39" i="8" s="1"/>
  <c r="BZ39" i="8" a="1"/>
  <c r="BZ39" i="8" s="1"/>
  <c r="CA38" i="8"/>
  <c r="CA38" i="8" a="1"/>
  <c r="BZ38" i="8" a="1"/>
  <c r="BZ38" i="8" s="1"/>
  <c r="CA37" i="8" a="1"/>
  <c r="CA37" i="8" s="1"/>
  <c r="BZ37" i="8"/>
  <c r="BZ37" i="8" a="1"/>
  <c r="CA36" i="8" a="1"/>
  <c r="CA36" i="8" s="1"/>
  <c r="BZ36" i="8" a="1"/>
  <c r="BZ36" i="8" s="1"/>
  <c r="CA35" i="8" a="1"/>
  <c r="CA35" i="8" s="1"/>
  <c r="BZ35" i="8" a="1"/>
  <c r="BZ35" i="8" s="1"/>
  <c r="CA34" i="8" a="1"/>
  <c r="CA34" i="8" s="1"/>
  <c r="BZ34" i="8"/>
  <c r="BZ34" i="8" a="1"/>
  <c r="CA33" i="8"/>
  <c r="CA33" i="8" a="1"/>
  <c r="BZ33" i="8" a="1"/>
  <c r="BZ33" i="8" s="1"/>
  <c r="CA32" i="8" a="1"/>
  <c r="CA32" i="8" s="1"/>
  <c r="BZ32" i="8"/>
  <c r="BZ32" i="8" a="1"/>
  <c r="CA31" i="8" a="1"/>
  <c r="CA31" i="8" s="1"/>
  <c r="BZ31" i="8" a="1"/>
  <c r="BZ31" i="8" s="1"/>
  <c r="CA30" i="8" a="1"/>
  <c r="CA30" i="8" s="1"/>
  <c r="BZ30" i="8" a="1"/>
  <c r="BZ30" i="8" s="1"/>
  <c r="CA29" i="8" a="1"/>
  <c r="CA29" i="8" s="1"/>
  <c r="BZ29" i="8" a="1"/>
  <c r="BZ29" i="8" s="1"/>
  <c r="CA28" i="8"/>
  <c r="CA28" i="8" a="1"/>
  <c r="BZ28" i="8" a="1"/>
  <c r="BZ28" i="8" s="1"/>
  <c r="CA27" i="8" a="1"/>
  <c r="CA27" i="8" s="1"/>
  <c r="BZ27" i="8"/>
  <c r="BZ27" i="8" a="1"/>
  <c r="CA26" i="8" a="1"/>
  <c r="CA26" i="8" s="1"/>
  <c r="BZ26" i="8" a="1"/>
  <c r="BZ26" i="8" s="1"/>
  <c r="CA25" i="8" a="1"/>
  <c r="CA25" i="8" s="1"/>
  <c r="BZ25" i="8" a="1"/>
  <c r="BZ25" i="8" s="1"/>
  <c r="CA24" i="8" a="1"/>
  <c r="CA24" i="8" s="1"/>
  <c r="BZ24" i="8" a="1"/>
  <c r="BZ24" i="8" s="1"/>
  <c r="CA23" i="8" a="1"/>
  <c r="CA23" i="8" s="1"/>
  <c r="BZ23" i="8" a="1"/>
  <c r="BZ23" i="8" s="1"/>
  <c r="CA22" i="8" a="1"/>
  <c r="CA22" i="8" s="1"/>
  <c r="BZ22" i="8"/>
  <c r="BZ22" i="8" a="1"/>
  <c r="CA21" i="8" a="1"/>
  <c r="CA21" i="8" s="1"/>
  <c r="BZ21" i="8" a="1"/>
  <c r="BZ21" i="8" s="1"/>
  <c r="CA20" i="8" a="1"/>
  <c r="CA20" i="8"/>
  <c r="BZ20" i="8" a="1"/>
  <c r="BZ20" i="8" s="1"/>
  <c r="BW39" i="8"/>
  <c r="BU39" i="8"/>
  <c r="BW38" i="8"/>
  <c r="BU38" i="8"/>
  <c r="BW37" i="8"/>
  <c r="BU37" i="8"/>
  <c r="BW36" i="8"/>
  <c r="BU36" i="8"/>
  <c r="BW35" i="8"/>
  <c r="BU35" i="8"/>
  <c r="BW34" i="8"/>
  <c r="BU34" i="8"/>
  <c r="BW33" i="8"/>
  <c r="BU33" i="8"/>
  <c r="BW32" i="8"/>
  <c r="BU32" i="8"/>
  <c r="BW31" i="8"/>
  <c r="BU31" i="8"/>
  <c r="BW30" i="8"/>
  <c r="BU30" i="8"/>
  <c r="BW29" i="8"/>
  <c r="BU29" i="8"/>
  <c r="BW28" i="8"/>
  <c r="BU28" i="8"/>
  <c r="BW27" i="8"/>
  <c r="BU27" i="8"/>
  <c r="BW26" i="8"/>
  <c r="BU26" i="8"/>
  <c r="BW25" i="8"/>
  <c r="BU25" i="8"/>
  <c r="BW24" i="8"/>
  <c r="BU24" i="8"/>
  <c r="BW23" i="8"/>
  <c r="BU23" i="8"/>
  <c r="BW22" i="8"/>
  <c r="BU22" i="8"/>
  <c r="BW21" i="8"/>
  <c r="BU21" i="8"/>
  <c r="BS30" i="8"/>
  <c r="BQ30" i="8"/>
  <c r="BS29" i="8"/>
  <c r="BQ29" i="8"/>
  <c r="BS28" i="8"/>
  <c r="BQ28" i="8"/>
  <c r="BS27" i="8"/>
  <c r="BQ27" i="8"/>
  <c r="BS26" i="8"/>
  <c r="BQ26" i="8"/>
  <c r="BS25" i="8"/>
  <c r="BQ25" i="8"/>
  <c r="BS24" i="8"/>
  <c r="BQ24" i="8"/>
  <c r="BS23" i="8"/>
  <c r="BQ23" i="8"/>
  <c r="BS22" i="8"/>
  <c r="BQ22" i="8"/>
  <c r="BS21" i="8"/>
  <c r="BQ21" i="8"/>
  <c r="BW20" i="8"/>
  <c r="BU20" i="8"/>
  <c r="BS20" i="8"/>
  <c r="BQ20" i="8"/>
  <c r="D35" i="5" a="1"/>
  <c r="D35" i="5" s="1"/>
  <c r="D34" i="5" a="1"/>
  <c r="D34" i="5" s="1"/>
  <c r="D33" i="5" a="1"/>
  <c r="D33" i="5" s="1"/>
  <c r="D32" i="5" a="1"/>
  <c r="D32" i="5" s="1"/>
  <c r="D31" i="5" a="1"/>
  <c r="D31" i="5" s="1"/>
  <c r="D30" i="5" a="1"/>
  <c r="D30" i="5" s="1"/>
  <c r="D29" i="5" a="1"/>
  <c r="D29" i="5" s="1"/>
  <c r="D28" i="5" a="1"/>
  <c r="D28" i="5" s="1"/>
  <c r="D27" i="5" a="1"/>
  <c r="D27" i="5" s="1"/>
  <c r="D26" i="5" a="1"/>
  <c r="D26" i="5" s="1"/>
  <c r="D25" i="5" a="1"/>
  <c r="D25" i="5" s="1"/>
  <c r="C216" i="5" a="1"/>
  <c r="C216" i="5" s="1"/>
  <c r="C215" i="5"/>
  <c r="G215" i="5" s="1"/>
  <c r="C215" i="5" a="1"/>
  <c r="C214" i="5" a="1"/>
  <c r="C214" i="5" s="1"/>
  <c r="C213" i="5" a="1"/>
  <c r="C213" i="5" s="1"/>
  <c r="C212" i="5" a="1"/>
  <c r="C212" i="5" s="1"/>
  <c r="C211" i="5"/>
  <c r="B211" i="5" s="1"/>
  <c r="C211" i="5" a="1"/>
  <c r="C210" i="5"/>
  <c r="G210" i="5" s="1"/>
  <c r="C210" i="5" a="1"/>
  <c r="C209" i="5" a="1"/>
  <c r="C209" i="5" s="1"/>
  <c r="C208" i="5" a="1"/>
  <c r="C208" i="5" s="1"/>
  <c r="C207" i="5" a="1"/>
  <c r="C207" i="5" s="1"/>
  <c r="C206" i="5" a="1"/>
  <c r="C206" i="5" s="1"/>
  <c r="C205" i="5" a="1"/>
  <c r="C205" i="5" s="1"/>
  <c r="G204" i="5"/>
  <c r="F204" i="5"/>
  <c r="E204" i="5"/>
  <c r="C204" i="5"/>
  <c r="D204" i="5" s="1"/>
  <c r="C204" i="5" a="1"/>
  <c r="C203" i="5" a="1"/>
  <c r="C203" i="5" s="1"/>
  <c r="G202" i="5"/>
  <c r="F202" i="5"/>
  <c r="C202" i="5"/>
  <c r="E202" i="5" s="1"/>
  <c r="C202" i="5" a="1"/>
  <c r="G201" i="5"/>
  <c r="F201" i="5"/>
  <c r="E201" i="5"/>
  <c r="D201" i="5"/>
  <c r="C201" i="5"/>
  <c r="C201" i="5" a="1"/>
  <c r="B201" i="5"/>
  <c r="C200" i="5" a="1"/>
  <c r="C200" i="5" s="1"/>
  <c r="C199" i="5" a="1"/>
  <c r="C199" i="5" s="1"/>
  <c r="C198" i="5" a="1"/>
  <c r="C198" i="5" s="1"/>
  <c r="G197" i="5"/>
  <c r="F197" i="5"/>
  <c r="E197" i="5"/>
  <c r="D197" i="5"/>
  <c r="B197" i="5"/>
  <c r="C197" i="5" a="1"/>
  <c r="C197" i="5" s="1"/>
  <c r="C193" i="5" a="1"/>
  <c r="C193" i="5" s="1"/>
  <c r="C192" i="5"/>
  <c r="G192" i="5" s="1"/>
  <c r="C192" i="5" a="1"/>
  <c r="C191" i="5" a="1"/>
  <c r="C191" i="5" s="1"/>
  <c r="C190" i="5" a="1"/>
  <c r="C190" i="5" s="1"/>
  <c r="C189" i="5" a="1"/>
  <c r="C189" i="5" s="1"/>
  <c r="G188" i="5"/>
  <c r="F188" i="5"/>
  <c r="E188" i="5"/>
  <c r="C188" i="5"/>
  <c r="B188" i="5" s="1"/>
  <c r="C188" i="5" a="1"/>
  <c r="C187" i="5" a="1"/>
  <c r="C187" i="5" s="1"/>
  <c r="C186" i="5" a="1"/>
  <c r="C186" i="5" s="1"/>
  <c r="C185" i="5" a="1"/>
  <c r="C185" i="5" s="1"/>
  <c r="C184" i="5" a="1"/>
  <c r="C184" i="5" s="1"/>
  <c r="C183" i="5" a="1"/>
  <c r="C183" i="5" s="1"/>
  <c r="G182" i="5"/>
  <c r="C182" i="5"/>
  <c r="D182" i="5" s="1"/>
  <c r="C182" i="5" a="1"/>
  <c r="C181" i="5"/>
  <c r="G181" i="5" s="1"/>
  <c r="C181" i="5" a="1"/>
  <c r="C180" i="5" a="1"/>
  <c r="C180" i="5" s="1"/>
  <c r="G179" i="5"/>
  <c r="F179" i="5"/>
  <c r="E179" i="5"/>
  <c r="D179" i="5"/>
  <c r="C179" i="5"/>
  <c r="C179" i="5" a="1"/>
  <c r="B179" i="5"/>
  <c r="D178" i="5"/>
  <c r="C178" i="5"/>
  <c r="G178" i="5" s="1"/>
  <c r="C178" i="5" a="1"/>
  <c r="B178" i="5"/>
  <c r="C177" i="5" a="1"/>
  <c r="C177" i="5" s="1"/>
  <c r="C176" i="5" a="1"/>
  <c r="C176" i="5" s="1"/>
  <c r="C175" i="5" a="1"/>
  <c r="C175" i="5" s="1"/>
  <c r="G174" i="5"/>
  <c r="F174" i="5"/>
  <c r="E174" i="5"/>
  <c r="D174" i="5"/>
  <c r="C174" i="5" a="1"/>
  <c r="C174" i="5" s="1"/>
  <c r="B174" i="5" s="1"/>
  <c r="E170" i="5" a="1"/>
  <c r="E170" i="5" s="1"/>
  <c r="C170" i="5" a="1"/>
  <c r="C170" i="5" s="1"/>
  <c r="D170" i="5" s="1"/>
  <c r="B170" i="5"/>
  <c r="E169" i="5" a="1"/>
  <c r="E169" i="5" s="1"/>
  <c r="C169" i="5" a="1"/>
  <c r="C169" i="5" s="1"/>
  <c r="D169" i="5" s="1"/>
  <c r="B169" i="5"/>
  <c r="E168" i="5" a="1"/>
  <c r="E168" i="5" s="1"/>
  <c r="C168" i="5" a="1"/>
  <c r="C168" i="5" s="1"/>
  <c r="D168" i="5" s="1"/>
  <c r="B168" i="5"/>
  <c r="E167" i="5" a="1"/>
  <c r="E167" i="5" s="1"/>
  <c r="C167" i="5" a="1"/>
  <c r="C167" i="5" s="1"/>
  <c r="D167" i="5" s="1"/>
  <c r="B167" i="5"/>
  <c r="E166" i="5" a="1"/>
  <c r="E166" i="5" s="1"/>
  <c r="C166" i="5" a="1"/>
  <c r="C166" i="5" s="1"/>
  <c r="D166" i="5" s="1"/>
  <c r="B166" i="5"/>
  <c r="E165" i="5" a="1"/>
  <c r="E165" i="5" s="1"/>
  <c r="C165" i="5"/>
  <c r="D165" i="5" s="1"/>
  <c r="C165" i="5" a="1"/>
  <c r="B165" i="5"/>
  <c r="E164" i="5" a="1"/>
  <c r="E164" i="5" s="1"/>
  <c r="C164" i="5" a="1"/>
  <c r="C164" i="5" s="1"/>
  <c r="D164" i="5" s="1"/>
  <c r="B164" i="5"/>
  <c r="E163" i="5" a="1"/>
  <c r="E163" i="5" s="1"/>
  <c r="C163" i="5" a="1"/>
  <c r="C163" i="5" s="1"/>
  <c r="D163" i="5" s="1"/>
  <c r="B163" i="5"/>
  <c r="E162" i="5" a="1"/>
  <c r="E162" i="5" s="1"/>
  <c r="C162" i="5" a="1"/>
  <c r="C162" i="5" s="1"/>
  <c r="D162" i="5" s="1"/>
  <c r="B162" i="5"/>
  <c r="E161" i="5" a="1"/>
  <c r="E161" i="5" s="1"/>
  <c r="C161" i="5"/>
  <c r="D161" i="5" s="1"/>
  <c r="C161" i="5" a="1"/>
  <c r="B161" i="5"/>
  <c r="I160" i="5"/>
  <c r="H160" i="5"/>
  <c r="G160" i="5"/>
  <c r="F160" i="5"/>
  <c r="E160" i="5" a="1"/>
  <c r="E160" i="5"/>
  <c r="D160" i="5"/>
  <c r="C160" i="5" a="1"/>
  <c r="C160" i="5"/>
  <c r="B160" i="5"/>
  <c r="B156" i="5"/>
  <c r="E156" i="5" s="1" a="1"/>
  <c r="E156" i="5" s="1"/>
  <c r="E155" i="5" a="1"/>
  <c r="E155" i="5" s="1"/>
  <c r="C155" i="5" a="1"/>
  <c r="C155" i="5" s="1"/>
  <c r="D155" i="5" s="1"/>
  <c r="B155" i="5"/>
  <c r="B154" i="5"/>
  <c r="E154" i="5" s="1" a="1"/>
  <c r="E154" i="5" s="1"/>
  <c r="E153" i="5" a="1"/>
  <c r="E153" i="5" s="1"/>
  <c r="F153" i="5" s="1"/>
  <c r="C153" i="5" a="1"/>
  <c r="C153" i="5" s="1"/>
  <c r="D153" i="5" s="1"/>
  <c r="B153" i="5"/>
  <c r="B152" i="5"/>
  <c r="E152" i="5" s="1" a="1"/>
  <c r="E152" i="5" s="1"/>
  <c r="E151" i="5" a="1"/>
  <c r="E151" i="5" s="1"/>
  <c r="C151" i="5" a="1"/>
  <c r="C151" i="5" s="1"/>
  <c r="D151" i="5" s="1"/>
  <c r="B151" i="5"/>
  <c r="B150" i="5"/>
  <c r="E150" i="5" s="1" a="1"/>
  <c r="E150" i="5" s="1"/>
  <c r="F150" i="5" s="1"/>
  <c r="E149" i="5" a="1"/>
  <c r="E149" i="5" s="1"/>
  <c r="F149" i="5" s="1"/>
  <c r="C149" i="5" a="1"/>
  <c r="C149" i="5" s="1"/>
  <c r="D149" i="5" s="1"/>
  <c r="B149" i="5"/>
  <c r="B148" i="5"/>
  <c r="E148" i="5" s="1" a="1"/>
  <c r="E148" i="5" s="1"/>
  <c r="F148" i="5" s="1"/>
  <c r="E147" i="5" a="1"/>
  <c r="E147" i="5" s="1"/>
  <c r="F147" i="5" s="1"/>
  <c r="C147" i="5" a="1"/>
  <c r="C147" i="5" s="1"/>
  <c r="D147" i="5" s="1"/>
  <c r="B147" i="5"/>
  <c r="G146" i="5"/>
  <c r="F146" i="5"/>
  <c r="E146" i="5" a="1"/>
  <c r="E146" i="5" s="1"/>
  <c r="D146" i="5"/>
  <c r="C146" i="5" a="1"/>
  <c r="C146" i="5"/>
  <c r="B146" i="5"/>
  <c r="AS83" i="5"/>
  <c r="AR83" i="5"/>
  <c r="AG83" i="5"/>
  <c r="AF83" i="5"/>
  <c r="AS82" i="5"/>
  <c r="AR82" i="5"/>
  <c r="AG82" i="5"/>
  <c r="AF82" i="5"/>
  <c r="AS81" i="5"/>
  <c r="AR81" i="5"/>
  <c r="AG81" i="5"/>
  <c r="AF81" i="5"/>
  <c r="AS80" i="5"/>
  <c r="AR80" i="5"/>
  <c r="AF80" i="5"/>
  <c r="AS79" i="5"/>
  <c r="AR79" i="5"/>
  <c r="AG79" i="5"/>
  <c r="AF79" i="5"/>
  <c r="AR78" i="5"/>
  <c r="AG78" i="5"/>
  <c r="AF78" i="5"/>
  <c r="AS77" i="5"/>
  <c r="AR77" i="5"/>
  <c r="AG77" i="5"/>
  <c r="AF77" i="5"/>
  <c r="AS76" i="5"/>
  <c r="AR76" i="5"/>
  <c r="AG76" i="5"/>
  <c r="AF76" i="5"/>
  <c r="AS75" i="5"/>
  <c r="AR75" i="5"/>
  <c r="AG75" i="5"/>
  <c r="AF75" i="5"/>
  <c r="AS74" i="5"/>
  <c r="AR74" i="5"/>
  <c r="AG74" i="5"/>
  <c r="AF74" i="5"/>
  <c r="AS73" i="5"/>
  <c r="AR73" i="5"/>
  <c r="AG73" i="5"/>
  <c r="AF73" i="5"/>
  <c r="AS72" i="5"/>
  <c r="AR72" i="5"/>
  <c r="AG72" i="5"/>
  <c r="AF72" i="5"/>
  <c r="AS71" i="5"/>
  <c r="AR71" i="5"/>
  <c r="AG71" i="5"/>
  <c r="AF71" i="5"/>
  <c r="AS70" i="5"/>
  <c r="AR70" i="5"/>
  <c r="AG70" i="5"/>
  <c r="AF70" i="5"/>
  <c r="AS69" i="5"/>
  <c r="AR69" i="5"/>
  <c r="AG69" i="5"/>
  <c r="AF69" i="5"/>
  <c r="AS68" i="5"/>
  <c r="AR68" i="5"/>
  <c r="AG68" i="5"/>
  <c r="AF68" i="5"/>
  <c r="AS67" i="5"/>
  <c r="AR67" i="5"/>
  <c r="AG67" i="5"/>
  <c r="AF67" i="5"/>
  <c r="AS66" i="5"/>
  <c r="AR66" i="5"/>
  <c r="AG66" i="5"/>
  <c r="AF66" i="5"/>
  <c r="AS65" i="5"/>
  <c r="AR65" i="5"/>
  <c r="AG65" i="5"/>
  <c r="AF65" i="5"/>
  <c r="AS64" i="5"/>
  <c r="AR64" i="5"/>
  <c r="AG64" i="5"/>
  <c r="AF64" i="5"/>
  <c r="BB62" i="5" a="1"/>
  <c r="BB62" i="5" s="1"/>
  <c r="BB63" i="5" s="1"/>
  <c r="BA62" i="5" a="1"/>
  <c r="BA62" i="5" s="1"/>
  <c r="BA63" i="5" s="1"/>
  <c r="AZ62" i="5" a="1"/>
  <c r="AZ62" i="5" s="1"/>
  <c r="AZ63" i="5" s="1"/>
  <c r="AY62" i="5" a="1"/>
  <c r="AY62" i="5" s="1"/>
  <c r="AY63" i="5" s="1"/>
  <c r="AX62" i="5"/>
  <c r="AX63" i="5" s="1"/>
  <c r="AX62" i="5" a="1"/>
  <c r="AW62" i="5" a="1"/>
  <c r="AW62" i="5" s="1"/>
  <c r="AW63" i="5" s="1"/>
  <c r="AV62" i="5" a="1"/>
  <c r="AV62" i="5" s="1"/>
  <c r="AV63" i="5" s="1"/>
  <c r="AU62" i="5" a="1"/>
  <c r="AU62" i="5" s="1"/>
  <c r="AU63" i="5" s="1"/>
  <c r="AT62" i="5" a="1"/>
  <c r="AT62" i="5" s="1"/>
  <c r="AT63" i="5" s="1"/>
  <c r="AS62" i="5"/>
  <c r="AS63" i="5" s="1"/>
  <c r="AS62" i="5" a="1"/>
  <c r="AR63" i="5"/>
  <c r="AR62" i="5" a="1"/>
  <c r="AR62" i="5"/>
  <c r="AK63" i="5"/>
  <c r="AH63" i="5"/>
  <c r="AP62" i="5" a="1"/>
  <c r="AP62" i="5" s="1"/>
  <c r="AP63" i="5" s="1"/>
  <c r="AO62" i="5" a="1"/>
  <c r="AO62" i="5" s="1"/>
  <c r="AO63" i="5" s="1"/>
  <c r="AN62" i="5" a="1"/>
  <c r="AN62" i="5" s="1"/>
  <c r="AN63" i="5" s="1"/>
  <c r="AM62" i="5" a="1"/>
  <c r="AM62" i="5" s="1"/>
  <c r="AM63" i="5" s="1"/>
  <c r="AL62" i="5" a="1"/>
  <c r="AL62" i="5" s="1"/>
  <c r="AL63" i="5" s="1"/>
  <c r="AK62" i="5"/>
  <c r="AK62" i="5" a="1"/>
  <c r="AJ62" i="5" a="1"/>
  <c r="AJ62" i="5" s="1"/>
  <c r="AJ63" i="5" s="1"/>
  <c r="AI62" i="5" a="1"/>
  <c r="AI62" i="5" s="1"/>
  <c r="AI63" i="5" s="1"/>
  <c r="AH62" i="5"/>
  <c r="AH62" i="5" a="1"/>
  <c r="AG62" i="5"/>
  <c r="AG63" i="5" s="1"/>
  <c r="AG62" i="5" a="1"/>
  <c r="AF63" i="5"/>
  <c r="AF62" i="5" a="1"/>
  <c r="AF62" i="5" s="1"/>
  <c r="GL24" i="3"/>
  <c r="GL23" i="3"/>
  <c r="GL22" i="3"/>
  <c r="GL21" i="3"/>
  <c r="GL20" i="3"/>
  <c r="GL19" i="3"/>
  <c r="GL18" i="3"/>
  <c r="GL17" i="3"/>
  <c r="GL16" i="3"/>
  <c r="GL15" i="3"/>
  <c r="GL14" i="3"/>
  <c r="GL13" i="3"/>
  <c r="GL12" i="3"/>
  <c r="GL11" i="3"/>
  <c r="GL10" i="3"/>
  <c r="GL9" i="3"/>
  <c r="GL8" i="3"/>
  <c r="GL7" i="3"/>
  <c r="GL6" i="3"/>
  <c r="GH24" i="3"/>
  <c r="GH23" i="3"/>
  <c r="GH22" i="3"/>
  <c r="GH21" i="3"/>
  <c r="GH20" i="3"/>
  <c r="GH19" i="3"/>
  <c r="GH18" i="3"/>
  <c r="GH17" i="3"/>
  <c r="GH16" i="3"/>
  <c r="GH15" i="3"/>
  <c r="GH14" i="3"/>
  <c r="GH13" i="3"/>
  <c r="GH12" i="3"/>
  <c r="GH11" i="3"/>
  <c r="GH10" i="3"/>
  <c r="GH9" i="3"/>
  <c r="GH8" i="3"/>
  <c r="GH7" i="3"/>
  <c r="GH6" i="3"/>
  <c r="GE24" i="3"/>
  <c r="GE23" i="3"/>
  <c r="GE22" i="3"/>
  <c r="GE21" i="3"/>
  <c r="GE20" i="3"/>
  <c r="GE19" i="3"/>
  <c r="GE18" i="3"/>
  <c r="GE17" i="3"/>
  <c r="GE16" i="3"/>
  <c r="GE15" i="3"/>
  <c r="GE14" i="3"/>
  <c r="GE13" i="3"/>
  <c r="GE12" i="3"/>
  <c r="GE11" i="3"/>
  <c r="GE10" i="3"/>
  <c r="GE9" i="3"/>
  <c r="GE8" i="3"/>
  <c r="GE7" i="3"/>
  <c r="GE6" i="3"/>
  <c r="GC24" i="3"/>
  <c r="GC23" i="3"/>
  <c r="GC22" i="3"/>
  <c r="GC21" i="3"/>
  <c r="GC20" i="3"/>
  <c r="GC19" i="3"/>
  <c r="GC18" i="3"/>
  <c r="GC17" i="3"/>
  <c r="GC16" i="3"/>
  <c r="GC15" i="3"/>
  <c r="GC14" i="3"/>
  <c r="GC13" i="3"/>
  <c r="GC12" i="3"/>
  <c r="GC11" i="3"/>
  <c r="GC10" i="3"/>
  <c r="GC9" i="3"/>
  <c r="GC8" i="3"/>
  <c r="GC7" i="3"/>
  <c r="GC6" i="3"/>
  <c r="GB24" i="3" a="1"/>
  <c r="GB24" i="3" s="1"/>
  <c r="GB23" i="3" a="1"/>
  <c r="GB23" i="3" s="1"/>
  <c r="GB22" i="3" a="1"/>
  <c r="GB22" i="3" s="1"/>
  <c r="GB21" i="3" a="1"/>
  <c r="GB21" i="3" s="1"/>
  <c r="GB20" i="3"/>
  <c r="GB20" i="3" a="1"/>
  <c r="GB19" i="3" a="1"/>
  <c r="GB19" i="3" s="1"/>
  <c r="GB18" i="3" a="1"/>
  <c r="GB18" i="3" s="1"/>
  <c r="GB17" i="3" a="1"/>
  <c r="GB17" i="3" s="1"/>
  <c r="GB16" i="3" a="1"/>
  <c r="GB16" i="3" s="1"/>
  <c r="GB15" i="3" a="1"/>
  <c r="GB15" i="3" s="1"/>
  <c r="GB14" i="3" a="1"/>
  <c r="GB14" i="3" s="1"/>
  <c r="GB13" i="3" a="1"/>
  <c r="GB13" i="3" s="1"/>
  <c r="GB12" i="3" a="1"/>
  <c r="GB12" i="3" s="1"/>
  <c r="GB11" i="3" a="1"/>
  <c r="GB11" i="3" s="1"/>
  <c r="GB10" i="3"/>
  <c r="GB10" i="3" a="1"/>
  <c r="GB9" i="3" a="1"/>
  <c r="GB9" i="3" s="1"/>
  <c r="GB8" i="3" a="1"/>
  <c r="GB8" i="3" s="1"/>
  <c r="GB7" i="3" a="1"/>
  <c r="GB7" i="3" s="1"/>
  <c r="GB6" i="3" a="1"/>
  <c r="GB6" i="3" s="1"/>
  <c r="GL5" i="3"/>
  <c r="GH5" i="3"/>
  <c r="GE5" i="3"/>
  <c r="GC5" i="3"/>
  <c r="GB5" i="3" a="1"/>
  <c r="GB5" i="3"/>
  <c r="AR38" i="8"/>
  <c r="AR39" i="8"/>
  <c r="AP38" i="8"/>
  <c r="AP39" i="8"/>
  <c r="BO41" i="8" a="1"/>
  <c r="BO41" i="8" s="1"/>
  <c r="BN41" i="8" a="1"/>
  <c r="BN41" i="8" s="1"/>
  <c r="BM41" i="8" a="1"/>
  <c r="BM41" i="8" s="1"/>
  <c r="BL41" i="8" a="1"/>
  <c r="BL41" i="8" s="1"/>
  <c r="BK41" i="8" a="1"/>
  <c r="BK41" i="8" s="1"/>
  <c r="BJ41" i="8" a="1"/>
  <c r="BJ41" i="8" s="1"/>
  <c r="BI41" i="8" a="1"/>
  <c r="BI41" i="8" s="1"/>
  <c r="BH41" i="8" a="1"/>
  <c r="BH41" i="8" s="1"/>
  <c r="BG41" i="8" a="1"/>
  <c r="BG41" i="8" s="1"/>
  <c r="BF41" i="8" a="1"/>
  <c r="BF41" i="8" s="1"/>
  <c r="BE41" i="8" a="1"/>
  <c r="BE41" i="8" s="1"/>
  <c r="BD41" i="8" a="1"/>
  <c r="BD41" i="8" s="1"/>
  <c r="BC41" i="8" a="1"/>
  <c r="BC41" i="8" s="1"/>
  <c r="BB41" i="8" a="1"/>
  <c r="BB41" i="8" s="1"/>
  <c r="BA41" i="8" a="1"/>
  <c r="BA41" i="8" s="1"/>
  <c r="AZ41" i="8" a="1"/>
  <c r="AZ41" i="8" s="1"/>
  <c r="AY41" i="8" a="1"/>
  <c r="AY41" i="8" s="1"/>
  <c r="AX41" i="8" a="1"/>
  <c r="AX41" i="8" s="1"/>
  <c r="BO40" i="8" a="1"/>
  <c r="BO40" i="8" s="1"/>
  <c r="BN40" i="8" a="1"/>
  <c r="BN40" i="8" s="1"/>
  <c r="BM40" i="8" a="1"/>
  <c r="BM40" i="8" s="1"/>
  <c r="BL40" i="8" a="1"/>
  <c r="BL40" i="8" s="1"/>
  <c r="BK40" i="8" a="1"/>
  <c r="BK40" i="8" s="1"/>
  <c r="BJ40" i="8" a="1"/>
  <c r="BJ40" i="8" s="1"/>
  <c r="BI40" i="8" a="1"/>
  <c r="BI40" i="8" s="1"/>
  <c r="BH40" i="8" a="1"/>
  <c r="BH40" i="8" s="1"/>
  <c r="BG40" i="8" a="1"/>
  <c r="BG40" i="8" s="1"/>
  <c r="BF40" i="8" a="1"/>
  <c r="BF40" i="8" s="1"/>
  <c r="BE40" i="8" a="1"/>
  <c r="BE40" i="8" s="1"/>
  <c r="BD40" i="8" a="1"/>
  <c r="BD40" i="8" s="1"/>
  <c r="BC40" i="8" a="1"/>
  <c r="BC40" i="8" s="1"/>
  <c r="BB40" i="8" a="1"/>
  <c r="BB40" i="8" s="1"/>
  <c r="BA40" i="8" a="1"/>
  <c r="BA40" i="8" s="1"/>
  <c r="AZ40" i="8" a="1"/>
  <c r="AZ40" i="8" s="1"/>
  <c r="AY40" i="8" a="1"/>
  <c r="AY40" i="8" s="1"/>
  <c r="AX40" i="8" a="1"/>
  <c r="AX40" i="8" s="1"/>
  <c r="BO39" i="8" a="1"/>
  <c r="BO39" i="8" s="1"/>
  <c r="BN39" i="8" a="1"/>
  <c r="BN39" i="8" s="1"/>
  <c r="BM39" i="8" a="1"/>
  <c r="BM39" i="8" s="1"/>
  <c r="BL39" i="8" a="1"/>
  <c r="BL39" i="8" s="1"/>
  <c r="BK39" i="8" a="1"/>
  <c r="BK39" i="8" s="1"/>
  <c r="BJ39" i="8" a="1"/>
  <c r="BJ39" i="8" s="1"/>
  <c r="BI39" i="8" a="1"/>
  <c r="BI39" i="8" s="1"/>
  <c r="BH39" i="8" a="1"/>
  <c r="BH39" i="8" s="1"/>
  <c r="BG39" i="8" a="1"/>
  <c r="BG39" i="8" s="1"/>
  <c r="BF39" i="8" a="1"/>
  <c r="BF39" i="8" s="1"/>
  <c r="BE39" i="8" a="1"/>
  <c r="BE39" i="8" s="1"/>
  <c r="BD39" i="8" a="1"/>
  <c r="BD39" i="8" s="1"/>
  <c r="BC39" i="8" a="1"/>
  <c r="BC39" i="8" s="1"/>
  <c r="BB39" i="8" a="1"/>
  <c r="BB39" i="8" s="1"/>
  <c r="BA39" i="8" a="1"/>
  <c r="BA39" i="8" s="1"/>
  <c r="AZ39" i="8" a="1"/>
  <c r="AZ39" i="8" s="1"/>
  <c r="AY39" i="8" a="1"/>
  <c r="AY39" i="8" s="1"/>
  <c r="AX39" i="8" a="1"/>
  <c r="AX39" i="8" s="1"/>
  <c r="BO38" i="8" a="1"/>
  <c r="BO38" i="8" s="1"/>
  <c r="BN38" i="8" a="1"/>
  <c r="BN38" i="8" s="1"/>
  <c r="BM38" i="8" a="1"/>
  <c r="BM38" i="8" s="1"/>
  <c r="BL38" i="8" a="1"/>
  <c r="BL38" i="8" s="1"/>
  <c r="BK38" i="8" a="1"/>
  <c r="BK38" i="8" s="1"/>
  <c r="BJ38" i="8" a="1"/>
  <c r="BJ38" i="8" s="1"/>
  <c r="BI38" i="8" a="1"/>
  <c r="BI38" i="8" s="1"/>
  <c r="BH38" i="8" a="1"/>
  <c r="BH38" i="8" s="1"/>
  <c r="BG38" i="8" a="1"/>
  <c r="BG38" i="8" s="1"/>
  <c r="BF38" i="8" a="1"/>
  <c r="BF38" i="8" s="1"/>
  <c r="BE38" i="8" a="1"/>
  <c r="BE38" i="8" s="1"/>
  <c r="BD38" i="8" a="1"/>
  <c r="BD38" i="8" s="1"/>
  <c r="BC38" i="8" a="1"/>
  <c r="BC38" i="8" s="1"/>
  <c r="BB38" i="8" a="1"/>
  <c r="BB38" i="8" s="1"/>
  <c r="BA38" i="8" a="1"/>
  <c r="BA38" i="8" s="1"/>
  <c r="AZ38" i="8" a="1"/>
  <c r="AZ38" i="8" s="1"/>
  <c r="AY38" i="8" a="1"/>
  <c r="AY38" i="8" s="1"/>
  <c r="AX38" i="8" a="1"/>
  <c r="AX38" i="8" s="1"/>
  <c r="BO37" i="8" a="1"/>
  <c r="BO37" i="8" s="1"/>
  <c r="BN37" i="8" a="1"/>
  <c r="BN37" i="8" s="1"/>
  <c r="BM37" i="8" a="1"/>
  <c r="BM37" i="8" s="1"/>
  <c r="BL37" i="8" a="1"/>
  <c r="BL37" i="8" s="1"/>
  <c r="BK37" i="8" a="1"/>
  <c r="BK37" i="8" s="1"/>
  <c r="BJ37" i="8" a="1"/>
  <c r="BJ37" i="8" s="1"/>
  <c r="BI37" i="8" a="1"/>
  <c r="BI37" i="8" s="1"/>
  <c r="BH37" i="8" a="1"/>
  <c r="BH37" i="8" s="1"/>
  <c r="BG37" i="8" a="1"/>
  <c r="BG37" i="8" s="1"/>
  <c r="BF37" i="8" a="1"/>
  <c r="BF37" i="8" s="1"/>
  <c r="BE37" i="8" a="1"/>
  <c r="BE37" i="8" s="1"/>
  <c r="BD37" i="8" a="1"/>
  <c r="BD37" i="8" s="1"/>
  <c r="BC37" i="8" a="1"/>
  <c r="BC37" i="8" s="1"/>
  <c r="BB37" i="8" a="1"/>
  <c r="BB37" i="8" s="1"/>
  <c r="BA37" i="8" a="1"/>
  <c r="BA37" i="8" s="1"/>
  <c r="AZ37" i="8" a="1"/>
  <c r="AZ37" i="8" s="1"/>
  <c r="AY37" i="8" a="1"/>
  <c r="AY37" i="8" s="1"/>
  <c r="AX37" i="8" a="1"/>
  <c r="AX37" i="8" s="1"/>
  <c r="BO36" i="8" a="1"/>
  <c r="BO36" i="8" s="1"/>
  <c r="BN36" i="8" a="1"/>
  <c r="BN36" i="8" s="1"/>
  <c r="BM36" i="8" a="1"/>
  <c r="BM36" i="8" s="1"/>
  <c r="BL36" i="8" a="1"/>
  <c r="BL36" i="8" s="1"/>
  <c r="BK36" i="8" a="1"/>
  <c r="BK36" i="8" s="1"/>
  <c r="BJ36" i="8" a="1"/>
  <c r="BJ36" i="8" s="1"/>
  <c r="BI36" i="8" a="1"/>
  <c r="BI36" i="8" s="1"/>
  <c r="BH36" i="8" a="1"/>
  <c r="BH36" i="8" s="1"/>
  <c r="BG36" i="8" a="1"/>
  <c r="BG36" i="8" s="1"/>
  <c r="BF36" i="8" a="1"/>
  <c r="BF36" i="8" s="1"/>
  <c r="BE36" i="8" a="1"/>
  <c r="BE36" i="8" s="1"/>
  <c r="BD36" i="8" a="1"/>
  <c r="BD36" i="8" s="1"/>
  <c r="BC36" i="8" a="1"/>
  <c r="BC36" i="8" s="1"/>
  <c r="BB36" i="8" a="1"/>
  <c r="BB36" i="8" s="1"/>
  <c r="BA36" i="8" a="1"/>
  <c r="BA36" i="8" s="1"/>
  <c r="AZ36" i="8" a="1"/>
  <c r="AZ36" i="8" s="1"/>
  <c r="AY36" i="8" a="1"/>
  <c r="AY36" i="8" s="1"/>
  <c r="AX36" i="8" a="1"/>
  <c r="AX36" i="8" s="1"/>
  <c r="BO35" i="8" a="1"/>
  <c r="BO35" i="8" s="1"/>
  <c r="BN35" i="8" a="1"/>
  <c r="BN35" i="8" s="1"/>
  <c r="BM35" i="8" a="1"/>
  <c r="BM35" i="8" s="1"/>
  <c r="BL35" i="8" a="1"/>
  <c r="BL35" i="8" s="1"/>
  <c r="BK35" i="8" a="1"/>
  <c r="BK35" i="8" s="1"/>
  <c r="BJ35" i="8" a="1"/>
  <c r="BJ35" i="8" s="1"/>
  <c r="BI35" i="8" a="1"/>
  <c r="BI35" i="8" s="1"/>
  <c r="BH35" i="8" a="1"/>
  <c r="BH35" i="8" s="1"/>
  <c r="BG35" i="8" a="1"/>
  <c r="BG35" i="8" s="1"/>
  <c r="BF35" i="8" a="1"/>
  <c r="BF35" i="8" s="1"/>
  <c r="BE35" i="8" a="1"/>
  <c r="BE35" i="8" s="1"/>
  <c r="BD35" i="8" a="1"/>
  <c r="BD35" i="8" s="1"/>
  <c r="BC35" i="8" a="1"/>
  <c r="BC35" i="8" s="1"/>
  <c r="BB35" i="8" a="1"/>
  <c r="BB35" i="8" s="1"/>
  <c r="BA35" i="8" a="1"/>
  <c r="BA35" i="8" s="1"/>
  <c r="AZ35" i="8" a="1"/>
  <c r="AZ35" i="8" s="1"/>
  <c r="AY35" i="8" a="1"/>
  <c r="AY35" i="8" s="1"/>
  <c r="AX35" i="8" a="1"/>
  <c r="AX35" i="8" s="1"/>
  <c r="BO34" i="8" a="1"/>
  <c r="BO34" i="8" s="1"/>
  <c r="BN34" i="8" a="1"/>
  <c r="BN34" i="8" s="1"/>
  <c r="BM34" i="8" a="1"/>
  <c r="BM34" i="8" s="1"/>
  <c r="BL34" i="8" a="1"/>
  <c r="BL34" i="8" s="1"/>
  <c r="BK34" i="8" a="1"/>
  <c r="BK34" i="8" s="1"/>
  <c r="BJ34" i="8" a="1"/>
  <c r="BJ34" i="8" s="1"/>
  <c r="BI34" i="8" a="1"/>
  <c r="BI34" i="8" s="1"/>
  <c r="BH34" i="8" a="1"/>
  <c r="BH34" i="8" s="1"/>
  <c r="BG34" i="8" a="1"/>
  <c r="BG34" i="8" s="1"/>
  <c r="BF34" i="8" a="1"/>
  <c r="BF34" i="8" s="1"/>
  <c r="BE34" i="8" a="1"/>
  <c r="BE34" i="8" s="1"/>
  <c r="BD34" i="8" a="1"/>
  <c r="BD34" i="8" s="1"/>
  <c r="BC34" i="8" a="1"/>
  <c r="BC34" i="8" s="1"/>
  <c r="BB34" i="8" a="1"/>
  <c r="BB34" i="8" s="1"/>
  <c r="BA34" i="8" a="1"/>
  <c r="BA34" i="8" s="1"/>
  <c r="AZ34" i="8" a="1"/>
  <c r="AZ34" i="8" s="1"/>
  <c r="AY34" i="8" a="1"/>
  <c r="AY34" i="8" s="1"/>
  <c r="AX34" i="8" a="1"/>
  <c r="AX34" i="8" s="1"/>
  <c r="BO33" i="8" a="1"/>
  <c r="BO33" i="8" s="1"/>
  <c r="BN33" i="8" a="1"/>
  <c r="BN33" i="8" s="1"/>
  <c r="BM33" i="8" a="1"/>
  <c r="BM33" i="8" s="1"/>
  <c r="BL33" i="8" a="1"/>
  <c r="BL33" i="8" s="1"/>
  <c r="BK33" i="8" a="1"/>
  <c r="BK33" i="8" s="1"/>
  <c r="BJ33" i="8" a="1"/>
  <c r="BJ33" i="8" s="1"/>
  <c r="BI33" i="8" a="1"/>
  <c r="BI33" i="8" s="1"/>
  <c r="BH33" i="8" a="1"/>
  <c r="BH33" i="8" s="1"/>
  <c r="BG33" i="8" a="1"/>
  <c r="BG33" i="8" s="1"/>
  <c r="BF33" i="8" a="1"/>
  <c r="BF33" i="8" s="1"/>
  <c r="BE33" i="8" a="1"/>
  <c r="BE33" i="8" s="1"/>
  <c r="BD33" i="8" a="1"/>
  <c r="BD33" i="8" s="1"/>
  <c r="BC33" i="8" a="1"/>
  <c r="BC33" i="8" s="1"/>
  <c r="BB33" i="8" a="1"/>
  <c r="BB33" i="8" s="1"/>
  <c r="BA33" i="8" a="1"/>
  <c r="BA33" i="8" s="1"/>
  <c r="AZ33" i="8" a="1"/>
  <c r="AZ33" i="8" s="1"/>
  <c r="AY33" i="8" a="1"/>
  <c r="AY33" i="8" s="1"/>
  <c r="AX33" i="8" a="1"/>
  <c r="AX33" i="8" s="1"/>
  <c r="BO32" i="8" a="1"/>
  <c r="BO32" i="8" s="1"/>
  <c r="BN32" i="8" a="1"/>
  <c r="BN32" i="8" s="1"/>
  <c r="BM32" i="8" a="1"/>
  <c r="BM32" i="8" s="1"/>
  <c r="BL32" i="8" a="1"/>
  <c r="BL32" i="8" s="1"/>
  <c r="BK32" i="8" a="1"/>
  <c r="BK32" i="8" s="1"/>
  <c r="BJ32" i="8" a="1"/>
  <c r="BJ32" i="8" s="1"/>
  <c r="BI32" i="8" a="1"/>
  <c r="BI32" i="8" s="1"/>
  <c r="BH32" i="8" a="1"/>
  <c r="BH32" i="8" s="1"/>
  <c r="BG32" i="8" a="1"/>
  <c r="BG32" i="8" s="1"/>
  <c r="BF32" i="8" a="1"/>
  <c r="BF32" i="8" s="1"/>
  <c r="BE32" i="8" a="1"/>
  <c r="BE32" i="8" s="1"/>
  <c r="BD32" i="8" a="1"/>
  <c r="BD32" i="8" s="1"/>
  <c r="BC32" i="8" a="1"/>
  <c r="BC32" i="8" s="1"/>
  <c r="BB32" i="8" a="1"/>
  <c r="BB32" i="8" s="1"/>
  <c r="BA32" i="8" a="1"/>
  <c r="BA32" i="8" s="1"/>
  <c r="AZ32" i="8" a="1"/>
  <c r="AZ32" i="8" s="1"/>
  <c r="AY32" i="8" a="1"/>
  <c r="AY32" i="8" s="1"/>
  <c r="AX32" i="8" a="1"/>
  <c r="AX32" i="8" s="1"/>
  <c r="BO31" i="8" a="1"/>
  <c r="BO31" i="8" s="1"/>
  <c r="BN31" i="8" a="1"/>
  <c r="BN31" i="8" s="1"/>
  <c r="BM31" i="8" a="1"/>
  <c r="BM31" i="8" s="1"/>
  <c r="BL31" i="8" a="1"/>
  <c r="BL31" i="8" s="1"/>
  <c r="BK31" i="8" a="1"/>
  <c r="BK31" i="8" s="1"/>
  <c r="BJ31" i="8" a="1"/>
  <c r="BJ31" i="8" s="1"/>
  <c r="BI31" i="8" a="1"/>
  <c r="BI31" i="8" s="1"/>
  <c r="BH31" i="8" a="1"/>
  <c r="BH31" i="8" s="1"/>
  <c r="BG31" i="8" a="1"/>
  <c r="BG31" i="8" s="1"/>
  <c r="BF31" i="8" a="1"/>
  <c r="BF31" i="8" s="1"/>
  <c r="BE31" i="8" a="1"/>
  <c r="BE31" i="8" s="1"/>
  <c r="BD31" i="8" a="1"/>
  <c r="BD31" i="8" s="1"/>
  <c r="BC31" i="8" a="1"/>
  <c r="BC31" i="8" s="1"/>
  <c r="BB31" i="8" a="1"/>
  <c r="BB31" i="8" s="1"/>
  <c r="BA31" i="8" a="1"/>
  <c r="BA31" i="8" s="1"/>
  <c r="AZ31" i="8" a="1"/>
  <c r="AZ31" i="8" s="1"/>
  <c r="AY31" i="8" a="1"/>
  <c r="AY31" i="8" s="1"/>
  <c r="AX31" i="8" a="1"/>
  <c r="AX31" i="8" s="1"/>
  <c r="BO30" i="8" a="1"/>
  <c r="BO30" i="8" s="1"/>
  <c r="BN30" i="8" a="1"/>
  <c r="BN30" i="8" s="1"/>
  <c r="BM30" i="8" a="1"/>
  <c r="BM30" i="8" s="1"/>
  <c r="BL30" i="8" a="1"/>
  <c r="BL30" i="8" s="1"/>
  <c r="BK30" i="8" a="1"/>
  <c r="BK30" i="8" s="1"/>
  <c r="BJ30" i="8" a="1"/>
  <c r="BJ30" i="8" s="1"/>
  <c r="BI30" i="8" a="1"/>
  <c r="BI30" i="8" s="1"/>
  <c r="BH30" i="8" a="1"/>
  <c r="BH30" i="8" s="1"/>
  <c r="BG30" i="8" a="1"/>
  <c r="BG30" i="8" s="1"/>
  <c r="BF30" i="8" a="1"/>
  <c r="BF30" i="8" s="1"/>
  <c r="BE30" i="8" a="1"/>
  <c r="BE30" i="8" s="1"/>
  <c r="BD30" i="8" a="1"/>
  <c r="BD30" i="8" s="1"/>
  <c r="BC30" i="8" a="1"/>
  <c r="BC30" i="8" s="1"/>
  <c r="BB30" i="8" a="1"/>
  <c r="BB30" i="8" s="1"/>
  <c r="BA30" i="8" a="1"/>
  <c r="BA30" i="8" s="1"/>
  <c r="AZ30" i="8" a="1"/>
  <c r="AZ30" i="8" s="1"/>
  <c r="AY30" i="8" a="1"/>
  <c r="AY30" i="8" s="1"/>
  <c r="AX30" i="8" a="1"/>
  <c r="AX30" i="8" s="1"/>
  <c r="BO29" i="8" a="1"/>
  <c r="BO29" i="8" s="1"/>
  <c r="BN29" i="8" a="1"/>
  <c r="BN29" i="8" s="1"/>
  <c r="BM29" i="8" a="1"/>
  <c r="BM29" i="8" s="1"/>
  <c r="BL29" i="8" a="1"/>
  <c r="BL29" i="8" s="1"/>
  <c r="BK29" i="8" a="1"/>
  <c r="BK29" i="8" s="1"/>
  <c r="BJ29" i="8" a="1"/>
  <c r="BJ29" i="8" s="1"/>
  <c r="BI29" i="8" a="1"/>
  <c r="BI29" i="8" s="1"/>
  <c r="BH29" i="8" a="1"/>
  <c r="BH29" i="8" s="1"/>
  <c r="BG29" i="8" a="1"/>
  <c r="BG29" i="8" s="1"/>
  <c r="BF29" i="8" a="1"/>
  <c r="BF29" i="8" s="1"/>
  <c r="BE29" i="8" a="1"/>
  <c r="BE29" i="8" s="1"/>
  <c r="BD29" i="8" a="1"/>
  <c r="BD29" i="8" s="1"/>
  <c r="BC29" i="8" a="1"/>
  <c r="BC29" i="8" s="1"/>
  <c r="BB29" i="8" a="1"/>
  <c r="BB29" i="8" s="1"/>
  <c r="BA29" i="8" a="1"/>
  <c r="BA29" i="8" s="1"/>
  <c r="AZ29" i="8" a="1"/>
  <c r="AZ29" i="8" s="1"/>
  <c r="AY29" i="8" a="1"/>
  <c r="AY29" i="8" s="1"/>
  <c r="AX29" i="8" a="1"/>
  <c r="AX29" i="8" s="1"/>
  <c r="BO28" i="8" a="1"/>
  <c r="BO28" i="8" s="1"/>
  <c r="BN28" i="8" a="1"/>
  <c r="BN28" i="8" s="1"/>
  <c r="BM28" i="8" a="1"/>
  <c r="BM28" i="8" s="1"/>
  <c r="BL28" i="8" a="1"/>
  <c r="BL28" i="8" s="1"/>
  <c r="BK28" i="8" a="1"/>
  <c r="BK28" i="8" s="1"/>
  <c r="BJ28" i="8" a="1"/>
  <c r="BJ28" i="8" s="1"/>
  <c r="BI28" i="8" a="1"/>
  <c r="BI28" i="8" s="1"/>
  <c r="BH28" i="8" a="1"/>
  <c r="BH28" i="8" s="1"/>
  <c r="BG28" i="8" a="1"/>
  <c r="BG28" i="8" s="1"/>
  <c r="BF28" i="8" a="1"/>
  <c r="BF28" i="8" s="1"/>
  <c r="BE28" i="8" a="1"/>
  <c r="BE28" i="8" s="1"/>
  <c r="BD28" i="8" a="1"/>
  <c r="BD28" i="8" s="1"/>
  <c r="BC28" i="8" a="1"/>
  <c r="BC28" i="8" s="1"/>
  <c r="BB28" i="8" a="1"/>
  <c r="BB28" i="8" s="1"/>
  <c r="BA28" i="8" a="1"/>
  <c r="BA28" i="8" s="1"/>
  <c r="AZ28" i="8" a="1"/>
  <c r="AZ28" i="8" s="1"/>
  <c r="AY28" i="8" a="1"/>
  <c r="AY28" i="8" s="1"/>
  <c r="AX28" i="8" a="1"/>
  <c r="AX28" i="8" s="1"/>
  <c r="BO27" i="8" a="1"/>
  <c r="BO27" i="8" s="1"/>
  <c r="BN27" i="8" a="1"/>
  <c r="BN27" i="8" s="1"/>
  <c r="BM27" i="8" a="1"/>
  <c r="BM27" i="8" s="1"/>
  <c r="BL27" i="8" a="1"/>
  <c r="BL27" i="8" s="1"/>
  <c r="BK27" i="8" a="1"/>
  <c r="BK27" i="8" s="1"/>
  <c r="BJ27" i="8" a="1"/>
  <c r="BJ27" i="8" s="1"/>
  <c r="BI27" i="8" a="1"/>
  <c r="BI27" i="8" s="1"/>
  <c r="BH27" i="8" a="1"/>
  <c r="BH27" i="8" s="1"/>
  <c r="BG27" i="8" a="1"/>
  <c r="BG27" i="8" s="1"/>
  <c r="BF27" i="8" a="1"/>
  <c r="BF27" i="8" s="1"/>
  <c r="BE27" i="8" a="1"/>
  <c r="BE27" i="8" s="1"/>
  <c r="BD27" i="8" a="1"/>
  <c r="BD27" i="8" s="1"/>
  <c r="BC27" i="8" a="1"/>
  <c r="BC27" i="8" s="1"/>
  <c r="BB27" i="8" a="1"/>
  <c r="BB27" i="8" s="1"/>
  <c r="BA27" i="8" a="1"/>
  <c r="BA27" i="8" s="1"/>
  <c r="AZ27" i="8" a="1"/>
  <c r="AZ27" i="8" s="1"/>
  <c r="AY27" i="8" a="1"/>
  <c r="AY27" i="8" s="1"/>
  <c r="AX27" i="8" a="1"/>
  <c r="AX27" i="8" s="1"/>
  <c r="BO26" i="8" a="1"/>
  <c r="BO26" i="8" s="1"/>
  <c r="BN26" i="8" a="1"/>
  <c r="BN26" i="8" s="1"/>
  <c r="BM26" i="8" a="1"/>
  <c r="BM26" i="8" s="1"/>
  <c r="BL26" i="8" a="1"/>
  <c r="BL26" i="8" s="1"/>
  <c r="BK26" i="8" a="1"/>
  <c r="BK26" i="8" s="1"/>
  <c r="BJ26" i="8" a="1"/>
  <c r="BJ26" i="8" s="1"/>
  <c r="BI26" i="8" a="1"/>
  <c r="BI26" i="8" s="1"/>
  <c r="BH26" i="8" a="1"/>
  <c r="BH26" i="8" s="1"/>
  <c r="BG26" i="8" a="1"/>
  <c r="BG26" i="8" s="1"/>
  <c r="BF26" i="8" a="1"/>
  <c r="BF26" i="8" s="1"/>
  <c r="BE26" i="8" a="1"/>
  <c r="BE26" i="8" s="1"/>
  <c r="BD26" i="8" a="1"/>
  <c r="BD26" i="8" s="1"/>
  <c r="BC26" i="8" a="1"/>
  <c r="BC26" i="8" s="1"/>
  <c r="BB26" i="8" a="1"/>
  <c r="BB26" i="8" s="1"/>
  <c r="BA26" i="8" a="1"/>
  <c r="BA26" i="8" s="1"/>
  <c r="AZ26" i="8" a="1"/>
  <c r="AZ26" i="8" s="1"/>
  <c r="AY26" i="8" a="1"/>
  <c r="AY26" i="8" s="1"/>
  <c r="AX26" i="8" a="1"/>
  <c r="AX26" i="8" s="1"/>
  <c r="BO25" i="8" a="1"/>
  <c r="BO25" i="8" s="1"/>
  <c r="BN25" i="8" a="1"/>
  <c r="BN25" i="8" s="1"/>
  <c r="BM25" i="8" a="1"/>
  <c r="BM25" i="8" s="1"/>
  <c r="BL25" i="8" a="1"/>
  <c r="BL25" i="8" s="1"/>
  <c r="BK25" i="8" a="1"/>
  <c r="BK25" i="8" s="1"/>
  <c r="BJ25" i="8" a="1"/>
  <c r="BJ25" i="8" s="1"/>
  <c r="BI25" i="8" a="1"/>
  <c r="BI25" i="8" s="1"/>
  <c r="BH25" i="8" a="1"/>
  <c r="BH25" i="8" s="1"/>
  <c r="BG25" i="8" a="1"/>
  <c r="BG25" i="8" s="1"/>
  <c r="BF25" i="8" a="1"/>
  <c r="BF25" i="8" s="1"/>
  <c r="BE25" i="8" a="1"/>
  <c r="BE25" i="8" s="1"/>
  <c r="BD25" i="8" a="1"/>
  <c r="BD25" i="8" s="1"/>
  <c r="BC25" i="8" a="1"/>
  <c r="BC25" i="8" s="1"/>
  <c r="BB25" i="8" a="1"/>
  <c r="BB25" i="8" s="1"/>
  <c r="BA25" i="8" a="1"/>
  <c r="BA25" i="8" s="1"/>
  <c r="AZ25" i="8" a="1"/>
  <c r="AZ25" i="8" s="1"/>
  <c r="AY25" i="8" a="1"/>
  <c r="AY25" i="8" s="1"/>
  <c r="AX25" i="8" a="1"/>
  <c r="AX25" i="8" s="1"/>
  <c r="BO24" i="8" a="1"/>
  <c r="BO24" i="8" s="1"/>
  <c r="BN24" i="8" a="1"/>
  <c r="BN24" i="8" s="1"/>
  <c r="BM24" i="8" a="1"/>
  <c r="BM24" i="8" s="1"/>
  <c r="BL24" i="8" a="1"/>
  <c r="BL24" i="8" s="1"/>
  <c r="BK24" i="8" a="1"/>
  <c r="BK24" i="8" s="1"/>
  <c r="BJ24" i="8" a="1"/>
  <c r="BJ24" i="8" s="1"/>
  <c r="BI24" i="8" a="1"/>
  <c r="BI24" i="8" s="1"/>
  <c r="BH24" i="8" a="1"/>
  <c r="BH24" i="8" s="1"/>
  <c r="BG24" i="8" a="1"/>
  <c r="BG24" i="8" s="1"/>
  <c r="BF24" i="8" a="1"/>
  <c r="BF24" i="8" s="1"/>
  <c r="BE24" i="8" a="1"/>
  <c r="BE24" i="8" s="1"/>
  <c r="BD24" i="8" a="1"/>
  <c r="BD24" i="8" s="1"/>
  <c r="BC24" i="8" a="1"/>
  <c r="BC24" i="8" s="1"/>
  <c r="BB24" i="8" a="1"/>
  <c r="BB24" i="8" s="1"/>
  <c r="BA24" i="8" a="1"/>
  <c r="BA24" i="8" s="1"/>
  <c r="AZ24" i="8" a="1"/>
  <c r="AZ24" i="8" s="1"/>
  <c r="AY24" i="8" a="1"/>
  <c r="AY24" i="8" s="1"/>
  <c r="AX24" i="8" a="1"/>
  <c r="AX24" i="8" s="1"/>
  <c r="BO23" i="8" a="1"/>
  <c r="BO23" i="8" s="1"/>
  <c r="BN23" i="8" a="1"/>
  <c r="BN23" i="8" s="1"/>
  <c r="BM23" i="8" a="1"/>
  <c r="BM23" i="8" s="1"/>
  <c r="BL23" i="8" a="1"/>
  <c r="BL23" i="8" s="1"/>
  <c r="BK23" i="8" a="1"/>
  <c r="BK23" i="8" s="1"/>
  <c r="BJ23" i="8" a="1"/>
  <c r="BJ23" i="8" s="1"/>
  <c r="BI23" i="8" a="1"/>
  <c r="BI23" i="8" s="1"/>
  <c r="BH23" i="8" a="1"/>
  <c r="BH23" i="8" s="1"/>
  <c r="BG23" i="8" a="1"/>
  <c r="BG23" i="8" s="1"/>
  <c r="BF23" i="8" a="1"/>
  <c r="BF23" i="8" s="1"/>
  <c r="BE23" i="8" a="1"/>
  <c r="BE23" i="8" s="1"/>
  <c r="BD23" i="8" a="1"/>
  <c r="BD23" i="8" s="1"/>
  <c r="BC23" i="8" a="1"/>
  <c r="BC23" i="8" s="1"/>
  <c r="BB23" i="8" a="1"/>
  <c r="BB23" i="8" s="1"/>
  <c r="BA23" i="8" a="1"/>
  <c r="BA23" i="8" s="1"/>
  <c r="AZ23" i="8" a="1"/>
  <c r="AZ23" i="8" s="1"/>
  <c r="AY23" i="8" a="1"/>
  <c r="AY23" i="8" s="1"/>
  <c r="AX23" i="8" a="1"/>
  <c r="AX23" i="8" s="1"/>
  <c r="BO22" i="8" a="1"/>
  <c r="BO22" i="8" s="1"/>
  <c r="BN22" i="8" a="1"/>
  <c r="BN22" i="8" s="1"/>
  <c r="BM22" i="8" a="1"/>
  <c r="BM22" i="8" s="1"/>
  <c r="BL22" i="8" a="1"/>
  <c r="BL22" i="8" s="1"/>
  <c r="BK22" i="8" a="1"/>
  <c r="BK22" i="8" s="1"/>
  <c r="BJ22" i="8" a="1"/>
  <c r="BJ22" i="8" s="1"/>
  <c r="BI22" i="8" a="1"/>
  <c r="BI22" i="8" s="1"/>
  <c r="BH22" i="8" a="1"/>
  <c r="BH22" i="8" s="1"/>
  <c r="BG22" i="8" a="1"/>
  <c r="BG22" i="8" s="1"/>
  <c r="BF22" i="8" a="1"/>
  <c r="BF22" i="8" s="1"/>
  <c r="BE22" i="8" a="1"/>
  <c r="BE22" i="8" s="1"/>
  <c r="BD22" i="8" a="1"/>
  <c r="BD22" i="8" s="1"/>
  <c r="BC22" i="8" a="1"/>
  <c r="BC22" i="8" s="1"/>
  <c r="BB22" i="8" a="1"/>
  <c r="BB22" i="8" s="1"/>
  <c r="BA22" i="8" a="1"/>
  <c r="BA22" i="8" s="1"/>
  <c r="AZ22" i="8" a="1"/>
  <c r="AZ22" i="8" s="1"/>
  <c r="AY22" i="8" a="1"/>
  <c r="AY22" i="8" s="1"/>
  <c r="AX22" i="8" a="1"/>
  <c r="AX22" i="8" s="1"/>
  <c r="BO21" i="8" a="1"/>
  <c r="BO21" i="8" s="1"/>
  <c r="BN21" i="8" a="1"/>
  <c r="BN21" i="8" s="1"/>
  <c r="BM21" i="8" a="1"/>
  <c r="BM21" i="8" s="1"/>
  <c r="BL21" i="8" a="1"/>
  <c r="BL21" i="8" s="1"/>
  <c r="BK21" i="8" a="1"/>
  <c r="BK21" i="8" s="1"/>
  <c r="BJ21" i="8" a="1"/>
  <c r="BJ21" i="8" s="1"/>
  <c r="BI21" i="8" a="1"/>
  <c r="BI21" i="8" s="1"/>
  <c r="BH21" i="8" a="1"/>
  <c r="BH21" i="8" s="1"/>
  <c r="BG21" i="8" a="1"/>
  <c r="BG21" i="8" s="1"/>
  <c r="BF21" i="8" a="1"/>
  <c r="BF21" i="8" s="1"/>
  <c r="BE21" i="8" a="1"/>
  <c r="BE21" i="8" s="1"/>
  <c r="BD21" i="8" a="1"/>
  <c r="BD21" i="8" s="1"/>
  <c r="BC21" i="8" a="1"/>
  <c r="BC21" i="8" s="1"/>
  <c r="BB21" i="8" a="1"/>
  <c r="BB21" i="8" s="1"/>
  <c r="BA21" i="8" a="1"/>
  <c r="BA21" i="8" s="1"/>
  <c r="AZ21" i="8" a="1"/>
  <c r="AZ21" i="8" s="1"/>
  <c r="AY21" i="8" a="1"/>
  <c r="AY21" i="8" s="1"/>
  <c r="AX21" i="8" a="1"/>
  <c r="AX21" i="8" s="1"/>
  <c r="BO20" i="8" a="1"/>
  <c r="BO20" i="8" s="1"/>
  <c r="BN20" i="8" a="1"/>
  <c r="BN20" i="8" s="1"/>
  <c r="BM20" i="8" a="1"/>
  <c r="BM20" i="8" s="1"/>
  <c r="BL20" i="8" a="1"/>
  <c r="BL20" i="8" s="1"/>
  <c r="BK20" i="8" a="1"/>
  <c r="BK20" i="8" s="1"/>
  <c r="BJ20" i="8" a="1"/>
  <c r="BJ20" i="8" s="1"/>
  <c r="BI20" i="8" a="1"/>
  <c r="BI20" i="8" s="1"/>
  <c r="BH20" i="8" a="1"/>
  <c r="BH20" i="8" s="1"/>
  <c r="BG20" i="8" a="1"/>
  <c r="BG20" i="8" s="1"/>
  <c r="BF20" i="8" a="1"/>
  <c r="BF20" i="8" s="1"/>
  <c r="BE20" i="8" a="1"/>
  <c r="BE20" i="8" s="1"/>
  <c r="BD20" i="8" a="1"/>
  <c r="BD20" i="8" s="1"/>
  <c r="BC20" i="8" a="1"/>
  <c r="BC20" i="8" s="1"/>
  <c r="BB20" i="8" a="1"/>
  <c r="BB20" i="8" s="1"/>
  <c r="BA20" i="8" a="1"/>
  <c r="BA20" i="8" s="1"/>
  <c r="AZ20" i="8" a="1"/>
  <c r="AZ20" i="8" s="1"/>
  <c r="AY20" i="8" a="1"/>
  <c r="AY20" i="8" s="1"/>
  <c r="AX20" i="8" a="1"/>
  <c r="AX20" i="8" s="1"/>
  <c r="AW20" i="8"/>
  <c r="AW21" i="8"/>
  <c r="AW22" i="8"/>
  <c r="AW23" i="8"/>
  <c r="AW24" i="8"/>
  <c r="AW25" i="8"/>
  <c r="AW26" i="8"/>
  <c r="AW27" i="8"/>
  <c r="AW28" i="8"/>
  <c r="AW29" i="8"/>
  <c r="AW30" i="8"/>
  <c r="AW31" i="8"/>
  <c r="AW32" i="8"/>
  <c r="AW33" i="8"/>
  <c r="AW34" i="8"/>
  <c r="AW35" i="8"/>
  <c r="AW36" i="8"/>
  <c r="AW37" i="8"/>
  <c r="AW38" i="8"/>
  <c r="AW39" i="8"/>
  <c r="AW40" i="8"/>
  <c r="AW41" i="8"/>
  <c r="W45" i="6"/>
  <c r="X45" i="6"/>
  <c r="Y45" i="6"/>
  <c r="Z45" i="6"/>
  <c r="AA45" i="6"/>
  <c r="AB45" i="6"/>
  <c r="W46" i="6"/>
  <c r="X46" i="6"/>
  <c r="Y46" i="6"/>
  <c r="Z46" i="6"/>
  <c r="AA46" i="6"/>
  <c r="W47" i="6"/>
  <c r="X47" i="6"/>
  <c r="Y47" i="6"/>
  <c r="Z47" i="6"/>
  <c r="AA47" i="6"/>
  <c r="AB47" i="6"/>
  <c r="W48" i="6"/>
  <c r="X48" i="6"/>
  <c r="Y48" i="6"/>
  <c r="Z48" i="6"/>
  <c r="AA48" i="6"/>
  <c r="AB48" i="6"/>
  <c r="W49" i="6"/>
  <c r="X49" i="6"/>
  <c r="Y49" i="6"/>
  <c r="Z49" i="6"/>
  <c r="AA49" i="6"/>
  <c r="AB49" i="6"/>
  <c r="W50" i="6"/>
  <c r="X50" i="6"/>
  <c r="Y50" i="6"/>
  <c r="Z50" i="6"/>
  <c r="AA50" i="6"/>
  <c r="AB50" i="6"/>
  <c r="W51" i="6"/>
  <c r="X51" i="6"/>
  <c r="Y51" i="6"/>
  <c r="Z51" i="6"/>
  <c r="AA51" i="6"/>
  <c r="AB51" i="6"/>
  <c r="W52" i="6"/>
  <c r="X52" i="6"/>
  <c r="Y52" i="6"/>
  <c r="Z52" i="6"/>
  <c r="AA52" i="6"/>
  <c r="AB52" i="6"/>
  <c r="W53" i="6"/>
  <c r="X53" i="6"/>
  <c r="Y53" i="6"/>
  <c r="Z53" i="6"/>
  <c r="AA53" i="6"/>
  <c r="AB53" i="6"/>
  <c r="W54" i="6"/>
  <c r="X54" i="6"/>
  <c r="Y54" i="6"/>
  <c r="Z54" i="6"/>
  <c r="AA54" i="6"/>
  <c r="AB54" i="6"/>
  <c r="W55" i="6"/>
  <c r="X55" i="6"/>
  <c r="Y55" i="6"/>
  <c r="Z55" i="6"/>
  <c r="AA55" i="6"/>
  <c r="AB55" i="6"/>
  <c r="W56" i="6"/>
  <c r="X56" i="6"/>
  <c r="Y56" i="6"/>
  <c r="Z56" i="6"/>
  <c r="AA56" i="6"/>
  <c r="AB56" i="6"/>
  <c r="W57" i="6"/>
  <c r="X57" i="6"/>
  <c r="Y57" i="6"/>
  <c r="Z57" i="6"/>
  <c r="AA57" i="6"/>
  <c r="AB57" i="6"/>
  <c r="W58" i="6"/>
  <c r="X58" i="6"/>
  <c r="Y58" i="6"/>
  <c r="Z58" i="6"/>
  <c r="AA58" i="6"/>
  <c r="AB58" i="6"/>
  <c r="W59" i="6"/>
  <c r="X59" i="6"/>
  <c r="Y59" i="6"/>
  <c r="Z59" i="6"/>
  <c r="AA59" i="6"/>
  <c r="AB59" i="6"/>
  <c r="W60" i="6"/>
  <c r="X60" i="6"/>
  <c r="Y60" i="6"/>
  <c r="Z60" i="6"/>
  <c r="AA60" i="6"/>
  <c r="AB60" i="6"/>
  <c r="W61" i="6"/>
  <c r="X61" i="6"/>
  <c r="Y61" i="6"/>
  <c r="Z61" i="6"/>
  <c r="AA61" i="6"/>
  <c r="AB61" i="6"/>
  <c r="W62" i="6"/>
  <c r="X62" i="6"/>
  <c r="Y62" i="6"/>
  <c r="Z62" i="6"/>
  <c r="AA62" i="6"/>
  <c r="AB62" i="6"/>
  <c r="W63" i="6"/>
  <c r="X63" i="6"/>
  <c r="Y63" i="6"/>
  <c r="Z63" i="6"/>
  <c r="AA63" i="6"/>
  <c r="AB63" i="6"/>
  <c r="W64" i="6"/>
  <c r="X64" i="6"/>
  <c r="Y64" i="6"/>
  <c r="Z64" i="6"/>
  <c r="AA64" i="6"/>
  <c r="AB64" i="6"/>
  <c r="W65" i="6"/>
  <c r="X65" i="6"/>
  <c r="Y65" i="6"/>
  <c r="Z65" i="6"/>
  <c r="AA65" i="6"/>
  <c r="AB65" i="6"/>
  <c r="W66" i="6"/>
  <c r="X66" i="6"/>
  <c r="Y66" i="6"/>
  <c r="Z66" i="6"/>
  <c r="AA66" i="6"/>
  <c r="AB66" i="6"/>
  <c r="FV27" i="3"/>
  <c r="FV26" i="3"/>
  <c r="FY3" i="3"/>
  <c r="FV3" i="3"/>
  <c r="FV2" i="3"/>
  <c r="FR27" i="3"/>
  <c r="FR26" i="3"/>
  <c r="FU3" i="3"/>
  <c r="FR3" i="3"/>
  <c r="FR2" i="3"/>
  <c r="FN27" i="3"/>
  <c r="FN26" i="3"/>
  <c r="FQ3" i="3"/>
  <c r="FN3" i="3"/>
  <c r="FN2" i="3"/>
  <c r="FJ27" i="3"/>
  <c r="FJ26" i="3"/>
  <c r="FM3" i="3"/>
  <c r="FJ3" i="3"/>
  <c r="FJ2" i="3"/>
  <c r="FF27" i="3"/>
  <c r="FF26" i="3"/>
  <c r="FI3" i="3"/>
  <c r="FF3" i="3"/>
  <c r="FF2" i="3"/>
  <c r="FB27" i="3"/>
  <c r="FB26" i="3"/>
  <c r="FE3" i="3"/>
  <c r="FB3" i="3"/>
  <c r="FB2" i="3"/>
  <c r="EX27" i="3"/>
  <c r="EX26" i="3"/>
  <c r="FA3" i="3"/>
  <c r="EX3" i="3"/>
  <c r="EX2" i="3"/>
  <c r="ET27" i="3"/>
  <c r="ET26" i="3"/>
  <c r="EW3" i="3"/>
  <c r="ET3" i="3"/>
  <c r="ET2" i="3"/>
  <c r="EP27" i="3"/>
  <c r="EP26" i="3"/>
  <c r="ES3" i="3"/>
  <c r="EP3" i="3"/>
  <c r="EP2" i="3"/>
  <c r="EL27" i="3"/>
  <c r="EL26" i="3"/>
  <c r="EO3" i="3"/>
  <c r="EL3" i="3"/>
  <c r="EL2" i="3"/>
  <c r="EH27" i="3"/>
  <c r="EH26" i="3"/>
  <c r="EK3" i="3"/>
  <c r="EH3" i="3"/>
  <c r="EH2" i="3"/>
  <c r="ED27" i="3"/>
  <c r="ED26" i="3"/>
  <c r="EG3" i="3"/>
  <c r="ED3" i="3"/>
  <c r="ED2" i="3"/>
  <c r="DZ27" i="3"/>
  <c r="DZ26" i="3"/>
  <c r="EC3" i="3"/>
  <c r="DZ3" i="3"/>
  <c r="DZ2" i="3"/>
  <c r="DV27" i="3"/>
  <c r="DV26" i="3"/>
  <c r="DY3" i="3"/>
  <c r="DV3" i="3"/>
  <c r="DV2" i="3"/>
  <c r="DR27" i="3"/>
  <c r="DR26" i="3"/>
  <c r="DU3" i="3"/>
  <c r="DR3" i="3"/>
  <c r="DR2" i="3"/>
  <c r="DN27" i="3"/>
  <c r="DN26" i="3"/>
  <c r="DQ3" i="3"/>
  <c r="DN3" i="3"/>
  <c r="DN2" i="3"/>
  <c r="DJ27" i="3"/>
  <c r="DJ26" i="3"/>
  <c r="DM3" i="3"/>
  <c r="DJ3" i="3"/>
  <c r="DJ2" i="3"/>
  <c r="DF27" i="3"/>
  <c r="DF26" i="3"/>
  <c r="DI3" i="3"/>
  <c r="DF3" i="3"/>
  <c r="DF2" i="3"/>
  <c r="DB27" i="3"/>
  <c r="DB26" i="3"/>
  <c r="DE3" i="3"/>
  <c r="DB3" i="3"/>
  <c r="DB2" i="3"/>
  <c r="CX27" i="3"/>
  <c r="CX26" i="3"/>
  <c r="DA3" i="3"/>
  <c r="CX3" i="3"/>
  <c r="CX2" i="3"/>
  <c r="CT27" i="3"/>
  <c r="AI7" i="7" s="1" a="1"/>
  <c r="AI7" i="7" s="1"/>
  <c r="CT26" i="3"/>
  <c r="AH7" i="7" s="1" a="1"/>
  <c r="AH7" i="7" s="1"/>
  <c r="CW3" i="3"/>
  <c r="AG7" i="7" s="1" a="1"/>
  <c r="AG7" i="7" s="1"/>
  <c r="CT3" i="3"/>
  <c r="AF7" i="7" s="1" a="1"/>
  <c r="AF7" i="7" s="1"/>
  <c r="CT2" i="3"/>
  <c r="CP27" i="3"/>
  <c r="CP26" i="3"/>
  <c r="CS3" i="3"/>
  <c r="CP3" i="3"/>
  <c r="CP2" i="3"/>
  <c r="B93" i="1"/>
  <c r="C93" i="1"/>
  <c r="C94" i="1"/>
  <c r="C95" i="1"/>
  <c r="B95" i="1" s="1"/>
  <c r="C96" i="1"/>
  <c r="B96" i="1" s="1"/>
  <c r="C97" i="1"/>
  <c r="C98" i="1"/>
  <c r="C99" i="1"/>
  <c r="B99" i="1" s="1"/>
  <c r="B100" i="1"/>
  <c r="C100" i="1"/>
  <c r="C101" i="1"/>
  <c r="C102" i="1"/>
  <c r="B102" i="1" s="1"/>
  <c r="B103" i="1"/>
  <c r="C103" i="1"/>
  <c r="C104" i="1"/>
  <c r="C105" i="1"/>
  <c r="B105" i="1" s="1"/>
  <c r="C106" i="1"/>
  <c r="B106" i="1" s="1"/>
  <c r="C107" i="1"/>
  <c r="B108" i="1"/>
  <c r="C108" i="1"/>
  <c r="C109" i="1"/>
  <c r="B109" i="1" s="1"/>
  <c r="C110" i="1"/>
  <c r="C111" i="1"/>
  <c r="J111" i="1" s="1"/>
  <c r="D111" i="1"/>
  <c r="E111" i="1"/>
  <c r="F111" i="1"/>
  <c r="G111" i="1"/>
  <c r="N111" i="1" s="1"/>
  <c r="H111" i="1"/>
  <c r="O111" i="1" s="1"/>
  <c r="I111" i="1"/>
  <c r="M111" i="1"/>
  <c r="C112" i="1"/>
  <c r="B112" i="1" s="1"/>
  <c r="D112" i="1"/>
  <c r="E112" i="1"/>
  <c r="F112" i="1"/>
  <c r="G112" i="1"/>
  <c r="N112" i="1" s="1"/>
  <c r="J112" i="1"/>
  <c r="K112" i="1"/>
  <c r="L112" i="1"/>
  <c r="M112" i="1"/>
  <c r="G650" i="6"/>
  <c r="G623" i="6"/>
  <c r="G596" i="6"/>
  <c r="G569" i="6"/>
  <c r="G542" i="6"/>
  <c r="G515" i="6"/>
  <c r="G488" i="6"/>
  <c r="G461" i="6"/>
  <c r="G434" i="6"/>
  <c r="G407" i="6"/>
  <c r="G380" i="6"/>
  <c r="G353" i="6"/>
  <c r="G326" i="6"/>
  <c r="G299" i="6"/>
  <c r="G272" i="6"/>
  <c r="G245" i="6"/>
  <c r="G218" i="6"/>
  <c r="G191" i="6"/>
  <c r="G164" i="6"/>
  <c r="G137" i="6"/>
  <c r="FY5" i="3"/>
  <c r="FY6" i="3"/>
  <c r="FY7" i="3"/>
  <c r="FY8" i="3"/>
  <c r="FY9" i="3"/>
  <c r="FY10" i="3"/>
  <c r="FY11" i="3"/>
  <c r="FY12" i="3"/>
  <c r="FY13" i="3"/>
  <c r="FY14" i="3"/>
  <c r="FY15" i="3"/>
  <c r="FY16" i="3"/>
  <c r="FY17" i="3"/>
  <c r="FY18" i="3"/>
  <c r="FY19" i="3"/>
  <c r="FY20" i="3"/>
  <c r="FY21" i="3"/>
  <c r="FY22" i="3"/>
  <c r="FY23" i="3"/>
  <c r="FY24" i="3"/>
  <c r="FX5" i="3"/>
  <c r="FX6" i="3"/>
  <c r="FX7" i="3"/>
  <c r="FX8" i="3"/>
  <c r="FX9" i="3"/>
  <c r="FX10" i="3"/>
  <c r="FX11" i="3"/>
  <c r="FX12" i="3"/>
  <c r="FX13" i="3"/>
  <c r="FX14" i="3"/>
  <c r="FX15" i="3"/>
  <c r="FX16" i="3"/>
  <c r="FX17" i="3"/>
  <c r="FX18" i="3"/>
  <c r="FX19" i="3"/>
  <c r="FX20" i="3"/>
  <c r="FX21" i="3"/>
  <c r="FX22" i="3"/>
  <c r="FX23" i="3"/>
  <c r="FX24" i="3"/>
  <c r="FU5" i="3"/>
  <c r="FU6" i="3"/>
  <c r="FU7" i="3"/>
  <c r="FU8" i="3"/>
  <c r="FU9" i="3"/>
  <c r="FU10" i="3"/>
  <c r="FU11" i="3"/>
  <c r="FU12" i="3"/>
  <c r="FU13" i="3"/>
  <c r="FU14" i="3"/>
  <c r="FU15" i="3"/>
  <c r="FU16" i="3"/>
  <c r="FU17" i="3"/>
  <c r="FU18" i="3"/>
  <c r="FU19" i="3"/>
  <c r="FU20" i="3"/>
  <c r="FU21" i="3"/>
  <c r="FU22" i="3"/>
  <c r="FU23" i="3"/>
  <c r="FU24" i="3"/>
  <c r="FT5" i="3"/>
  <c r="FT6" i="3"/>
  <c r="FT7" i="3"/>
  <c r="FT8" i="3"/>
  <c r="FT9" i="3"/>
  <c r="FT10" i="3"/>
  <c r="FT11" i="3"/>
  <c r="FT12" i="3"/>
  <c r="FT13" i="3"/>
  <c r="FT14" i="3"/>
  <c r="FT15" i="3"/>
  <c r="FT16" i="3"/>
  <c r="FT17" i="3"/>
  <c r="FT18" i="3"/>
  <c r="FT19" i="3"/>
  <c r="FT20" i="3"/>
  <c r="FT21" i="3"/>
  <c r="FT22" i="3"/>
  <c r="FT23" i="3"/>
  <c r="FT24" i="3"/>
  <c r="FQ5" i="3"/>
  <c r="FQ6" i="3"/>
  <c r="FQ7" i="3"/>
  <c r="FQ8" i="3"/>
  <c r="FQ9" i="3"/>
  <c r="FQ10" i="3"/>
  <c r="FQ11" i="3"/>
  <c r="FQ12" i="3"/>
  <c r="FQ13" i="3"/>
  <c r="FQ14" i="3"/>
  <c r="FQ15" i="3"/>
  <c r="FQ16" i="3"/>
  <c r="FQ17" i="3"/>
  <c r="FQ18" i="3"/>
  <c r="FQ19" i="3"/>
  <c r="FQ20" i="3"/>
  <c r="FQ21" i="3"/>
  <c r="FQ22" i="3"/>
  <c r="FQ23" i="3"/>
  <c r="FQ24" i="3"/>
  <c r="FP5" i="3"/>
  <c r="FP6" i="3"/>
  <c r="FP7" i="3"/>
  <c r="FP8" i="3"/>
  <c r="FP9" i="3"/>
  <c r="FP10" i="3"/>
  <c r="FP11" i="3"/>
  <c r="FP12" i="3"/>
  <c r="FP13" i="3"/>
  <c r="FP14" i="3"/>
  <c r="FP15" i="3"/>
  <c r="FP16" i="3"/>
  <c r="FP17" i="3"/>
  <c r="FP18" i="3"/>
  <c r="FP19" i="3"/>
  <c r="FP20" i="3"/>
  <c r="FP21" i="3"/>
  <c r="FP22" i="3"/>
  <c r="FP23" i="3"/>
  <c r="FP24" i="3"/>
  <c r="FM5" i="3"/>
  <c r="FM6" i="3"/>
  <c r="FM7" i="3"/>
  <c r="FM8" i="3"/>
  <c r="FM9" i="3"/>
  <c r="FM10" i="3"/>
  <c r="FM11" i="3"/>
  <c r="FM12" i="3"/>
  <c r="FM13" i="3"/>
  <c r="FM14" i="3"/>
  <c r="FM15" i="3"/>
  <c r="FM16" i="3"/>
  <c r="FM17" i="3"/>
  <c r="FM18" i="3"/>
  <c r="FM19" i="3"/>
  <c r="FM20" i="3"/>
  <c r="FM21" i="3"/>
  <c r="FM22" i="3"/>
  <c r="FM23" i="3"/>
  <c r="FM24" i="3"/>
  <c r="FL5" i="3"/>
  <c r="FL6" i="3"/>
  <c r="FL7" i="3"/>
  <c r="FL8" i="3"/>
  <c r="FL9" i="3"/>
  <c r="FL10" i="3"/>
  <c r="FL11" i="3"/>
  <c r="FL12" i="3"/>
  <c r="FL13" i="3"/>
  <c r="FL14" i="3"/>
  <c r="FL15" i="3"/>
  <c r="FL16" i="3"/>
  <c r="FL17" i="3"/>
  <c r="FL18" i="3"/>
  <c r="FL19" i="3"/>
  <c r="FL20" i="3"/>
  <c r="FL21" i="3"/>
  <c r="FL22" i="3"/>
  <c r="FL23" i="3"/>
  <c r="FL24" i="3"/>
  <c r="FI5" i="3"/>
  <c r="FI6" i="3"/>
  <c r="FI7" i="3"/>
  <c r="FI8" i="3"/>
  <c r="FI9" i="3"/>
  <c r="FI10" i="3"/>
  <c r="FI11" i="3"/>
  <c r="FI12" i="3"/>
  <c r="FI13" i="3"/>
  <c r="FI14" i="3"/>
  <c r="FI15" i="3"/>
  <c r="FI16" i="3"/>
  <c r="FI17" i="3"/>
  <c r="FI18" i="3"/>
  <c r="FI19" i="3"/>
  <c r="FI20" i="3"/>
  <c r="FI21" i="3"/>
  <c r="FI22" i="3"/>
  <c r="FI23" i="3"/>
  <c r="FI24" i="3"/>
  <c r="FH5" i="3"/>
  <c r="FH6" i="3"/>
  <c r="FH7" i="3"/>
  <c r="FH8" i="3"/>
  <c r="FH9" i="3"/>
  <c r="FH10" i="3"/>
  <c r="FH11" i="3"/>
  <c r="FH12" i="3"/>
  <c r="FH13" i="3"/>
  <c r="FH14" i="3"/>
  <c r="FH15" i="3"/>
  <c r="FH16" i="3"/>
  <c r="FH17" i="3"/>
  <c r="FH18" i="3"/>
  <c r="FH19" i="3"/>
  <c r="FH20" i="3"/>
  <c r="FH21" i="3"/>
  <c r="FH22" i="3"/>
  <c r="FH23" i="3"/>
  <c r="FH24" i="3"/>
  <c r="FE5" i="3"/>
  <c r="FE6" i="3"/>
  <c r="FE7" i="3"/>
  <c r="FE8" i="3"/>
  <c r="FE9" i="3"/>
  <c r="FE10" i="3"/>
  <c r="FE11" i="3"/>
  <c r="FE12" i="3"/>
  <c r="FE13" i="3"/>
  <c r="FE14" i="3"/>
  <c r="FE15" i="3"/>
  <c r="FE16" i="3"/>
  <c r="FE17" i="3"/>
  <c r="FE18" i="3"/>
  <c r="FE19" i="3"/>
  <c r="FE20" i="3"/>
  <c r="FE21" i="3"/>
  <c r="FE22" i="3"/>
  <c r="FE23" i="3"/>
  <c r="FE24" i="3"/>
  <c r="FD5" i="3"/>
  <c r="FD6" i="3"/>
  <c r="FD7" i="3"/>
  <c r="FD8" i="3"/>
  <c r="FD9" i="3"/>
  <c r="FD10" i="3"/>
  <c r="FD11" i="3"/>
  <c r="FD12" i="3"/>
  <c r="FD13" i="3"/>
  <c r="FD14" i="3"/>
  <c r="FD15" i="3"/>
  <c r="FD16" i="3"/>
  <c r="FD17" i="3"/>
  <c r="FD18" i="3"/>
  <c r="FD19" i="3"/>
  <c r="FD20" i="3"/>
  <c r="FD21" i="3"/>
  <c r="FD22" i="3"/>
  <c r="FD23" i="3"/>
  <c r="FD24" i="3"/>
  <c r="FA5" i="3"/>
  <c r="FA6" i="3"/>
  <c r="FA7" i="3"/>
  <c r="FA8" i="3"/>
  <c r="FA9" i="3"/>
  <c r="FA10" i="3"/>
  <c r="FA11" i="3"/>
  <c r="FA12" i="3"/>
  <c r="FA13" i="3"/>
  <c r="FA14" i="3"/>
  <c r="FA15" i="3"/>
  <c r="FA16" i="3"/>
  <c r="FA17" i="3"/>
  <c r="FA18" i="3"/>
  <c r="FA19" i="3"/>
  <c r="FA20" i="3"/>
  <c r="FA21" i="3"/>
  <c r="FA22" i="3"/>
  <c r="FA23" i="3"/>
  <c r="FA24" i="3"/>
  <c r="EZ5" i="3"/>
  <c r="EZ6" i="3"/>
  <c r="EZ7" i="3"/>
  <c r="EZ8" i="3"/>
  <c r="EZ9" i="3"/>
  <c r="EZ10" i="3"/>
  <c r="EZ11" i="3"/>
  <c r="EZ12" i="3"/>
  <c r="EZ13" i="3"/>
  <c r="EZ14" i="3"/>
  <c r="EZ15" i="3"/>
  <c r="EZ16" i="3"/>
  <c r="EZ17" i="3"/>
  <c r="EZ18" i="3"/>
  <c r="EZ19" i="3"/>
  <c r="EZ20" i="3"/>
  <c r="EZ21" i="3"/>
  <c r="EZ22" i="3"/>
  <c r="EZ23" i="3"/>
  <c r="EZ24" i="3"/>
  <c r="EW5" i="3"/>
  <c r="EW6" i="3"/>
  <c r="EW7" i="3"/>
  <c r="EW8" i="3"/>
  <c r="EW9" i="3"/>
  <c r="EW10" i="3"/>
  <c r="EW11" i="3"/>
  <c r="EW12" i="3"/>
  <c r="EW13" i="3"/>
  <c r="EW14" i="3"/>
  <c r="EW15" i="3"/>
  <c r="EW16" i="3"/>
  <c r="EW17" i="3"/>
  <c r="EW18" i="3"/>
  <c r="EW19" i="3"/>
  <c r="EW20" i="3"/>
  <c r="EW21" i="3"/>
  <c r="EW22" i="3"/>
  <c r="EW23" i="3"/>
  <c r="EW24" i="3"/>
  <c r="EV5" i="3"/>
  <c r="EV6" i="3"/>
  <c r="EV7" i="3"/>
  <c r="EV8" i="3"/>
  <c r="EV9" i="3"/>
  <c r="EV10" i="3"/>
  <c r="EV11" i="3"/>
  <c r="EV12" i="3"/>
  <c r="EV13" i="3"/>
  <c r="EV14" i="3"/>
  <c r="EV15" i="3"/>
  <c r="EV16" i="3"/>
  <c r="EV17" i="3"/>
  <c r="EV18" i="3"/>
  <c r="EV19" i="3"/>
  <c r="EV20" i="3"/>
  <c r="EV21" i="3"/>
  <c r="EV22" i="3"/>
  <c r="EV23" i="3"/>
  <c r="EV24" i="3"/>
  <c r="ES5" i="3"/>
  <c r="ES6" i="3"/>
  <c r="ES7" i="3"/>
  <c r="ES8" i="3"/>
  <c r="ES9" i="3"/>
  <c r="ES10" i="3"/>
  <c r="ES11" i="3"/>
  <c r="ES12" i="3"/>
  <c r="ES13" i="3"/>
  <c r="ES14" i="3"/>
  <c r="ES15" i="3"/>
  <c r="ES16" i="3"/>
  <c r="ES17" i="3"/>
  <c r="ES18" i="3"/>
  <c r="ES19" i="3"/>
  <c r="ES20" i="3"/>
  <c r="ES21" i="3"/>
  <c r="ES22" i="3"/>
  <c r="ES23" i="3"/>
  <c r="ES24" i="3"/>
  <c r="ER5" i="3"/>
  <c r="ER6" i="3"/>
  <c r="ER7" i="3"/>
  <c r="ER8" i="3"/>
  <c r="ER9" i="3"/>
  <c r="ER10" i="3"/>
  <c r="ER11" i="3"/>
  <c r="ER12" i="3"/>
  <c r="ER13" i="3"/>
  <c r="ER14" i="3"/>
  <c r="ER15" i="3"/>
  <c r="ER16" i="3"/>
  <c r="ER17" i="3"/>
  <c r="ER18" i="3"/>
  <c r="ER19" i="3"/>
  <c r="ER20" i="3"/>
  <c r="ER21" i="3"/>
  <c r="ER22" i="3"/>
  <c r="ER23" i="3"/>
  <c r="ER24" i="3"/>
  <c r="EO5" i="3"/>
  <c r="EO6" i="3"/>
  <c r="EO7" i="3"/>
  <c r="EO8" i="3"/>
  <c r="EO9" i="3"/>
  <c r="EO10" i="3"/>
  <c r="EO11" i="3"/>
  <c r="EO12" i="3"/>
  <c r="EO13" i="3"/>
  <c r="EO14" i="3"/>
  <c r="EO15" i="3"/>
  <c r="EO16" i="3"/>
  <c r="EO17" i="3"/>
  <c r="EO18" i="3"/>
  <c r="EO19" i="3"/>
  <c r="EO20" i="3"/>
  <c r="EO21" i="3"/>
  <c r="EO22" i="3"/>
  <c r="EO23" i="3"/>
  <c r="EO24" i="3"/>
  <c r="EN5" i="3"/>
  <c r="EN6" i="3"/>
  <c r="EN7" i="3"/>
  <c r="EN8" i="3"/>
  <c r="EN9" i="3"/>
  <c r="EN10" i="3"/>
  <c r="EN11" i="3"/>
  <c r="EN12" i="3"/>
  <c r="EN13" i="3"/>
  <c r="EN14" i="3"/>
  <c r="EN15" i="3"/>
  <c r="EN16" i="3"/>
  <c r="EN17" i="3"/>
  <c r="EN18" i="3"/>
  <c r="EN19" i="3"/>
  <c r="EN20" i="3"/>
  <c r="EN21" i="3"/>
  <c r="EN22" i="3"/>
  <c r="EN23" i="3"/>
  <c r="EN24" i="3"/>
  <c r="EK5" i="3"/>
  <c r="EK6" i="3"/>
  <c r="EK7" i="3"/>
  <c r="EK8" i="3"/>
  <c r="EK9" i="3"/>
  <c r="EK10" i="3"/>
  <c r="EK11" i="3"/>
  <c r="EK12" i="3"/>
  <c r="EK13" i="3"/>
  <c r="EK14" i="3"/>
  <c r="EK15" i="3"/>
  <c r="EK16" i="3"/>
  <c r="EK17" i="3"/>
  <c r="EK18" i="3"/>
  <c r="EK19" i="3"/>
  <c r="EK20" i="3"/>
  <c r="EK21" i="3"/>
  <c r="EK22" i="3"/>
  <c r="EK23" i="3"/>
  <c r="EK24" i="3"/>
  <c r="EJ5" i="3"/>
  <c r="EJ6" i="3"/>
  <c r="EJ7" i="3"/>
  <c r="EJ8" i="3"/>
  <c r="EJ9" i="3"/>
  <c r="EJ10" i="3"/>
  <c r="EJ11" i="3"/>
  <c r="EJ12" i="3"/>
  <c r="EJ13" i="3"/>
  <c r="EJ14" i="3"/>
  <c r="EJ15" i="3"/>
  <c r="EJ16" i="3"/>
  <c r="EJ17" i="3"/>
  <c r="EJ18" i="3"/>
  <c r="EJ19" i="3"/>
  <c r="EJ20" i="3"/>
  <c r="EJ21" i="3"/>
  <c r="EJ22" i="3"/>
  <c r="EJ23" i="3"/>
  <c r="EJ24" i="3"/>
  <c r="EG5" i="3"/>
  <c r="EG6" i="3"/>
  <c r="EG7" i="3"/>
  <c r="EG8" i="3"/>
  <c r="EG9" i="3"/>
  <c r="EG10" i="3"/>
  <c r="EG11" i="3"/>
  <c r="EG12" i="3"/>
  <c r="EG13" i="3"/>
  <c r="EG14" i="3"/>
  <c r="EG15" i="3"/>
  <c r="EG16" i="3"/>
  <c r="EG17" i="3"/>
  <c r="EG18" i="3"/>
  <c r="EG19" i="3"/>
  <c r="EG20" i="3"/>
  <c r="EG21" i="3"/>
  <c r="EG22" i="3"/>
  <c r="EG23" i="3"/>
  <c r="EG24" i="3"/>
  <c r="EF5" i="3"/>
  <c r="EF6" i="3"/>
  <c r="EF7" i="3"/>
  <c r="EF8" i="3"/>
  <c r="EF9" i="3"/>
  <c r="EF10" i="3"/>
  <c r="EF11" i="3"/>
  <c r="EF12" i="3"/>
  <c r="EF13" i="3"/>
  <c r="EF14" i="3"/>
  <c r="EF15" i="3"/>
  <c r="EF16" i="3"/>
  <c r="EF17" i="3"/>
  <c r="EF18" i="3"/>
  <c r="EF19" i="3"/>
  <c r="EF20" i="3"/>
  <c r="EF21" i="3"/>
  <c r="EF22" i="3"/>
  <c r="EF23" i="3"/>
  <c r="EF24" i="3"/>
  <c r="EC5" i="3"/>
  <c r="EC6" i="3"/>
  <c r="EC7" i="3"/>
  <c r="EC8" i="3"/>
  <c r="EC9" i="3"/>
  <c r="EC10" i="3"/>
  <c r="EC11" i="3"/>
  <c r="EC12" i="3"/>
  <c r="EC13" i="3"/>
  <c r="EC14" i="3"/>
  <c r="EC15" i="3"/>
  <c r="EC16" i="3"/>
  <c r="EC17" i="3"/>
  <c r="EC18" i="3"/>
  <c r="EC19" i="3"/>
  <c r="EC20" i="3"/>
  <c r="EC21" i="3"/>
  <c r="EC22" i="3"/>
  <c r="EC23" i="3"/>
  <c r="EC24" i="3"/>
  <c r="EB5" i="3"/>
  <c r="EB6" i="3"/>
  <c r="EB7" i="3"/>
  <c r="EB8" i="3"/>
  <c r="EB9" i="3"/>
  <c r="EB10" i="3"/>
  <c r="EB11" i="3"/>
  <c r="EB12" i="3"/>
  <c r="EB13" i="3"/>
  <c r="EB14" i="3"/>
  <c r="EB15" i="3"/>
  <c r="EB16" i="3"/>
  <c r="EB17" i="3"/>
  <c r="EB18" i="3"/>
  <c r="EB19" i="3"/>
  <c r="EB20" i="3"/>
  <c r="EB21" i="3"/>
  <c r="EB22" i="3"/>
  <c r="EB23" i="3"/>
  <c r="EB24" i="3"/>
  <c r="DY5" i="3"/>
  <c r="DY6" i="3"/>
  <c r="DY7" i="3"/>
  <c r="DY8" i="3"/>
  <c r="DY9" i="3"/>
  <c r="DY10" i="3"/>
  <c r="DY11" i="3"/>
  <c r="DY12" i="3"/>
  <c r="DY13" i="3"/>
  <c r="DY14" i="3"/>
  <c r="DY15" i="3"/>
  <c r="DY16" i="3"/>
  <c r="DY17" i="3"/>
  <c r="DY18" i="3"/>
  <c r="DY19" i="3"/>
  <c r="DY20" i="3"/>
  <c r="DY21" i="3"/>
  <c r="DY22" i="3"/>
  <c r="DY23" i="3"/>
  <c r="DY24" i="3"/>
  <c r="DX5" i="3"/>
  <c r="DX6" i="3"/>
  <c r="DX7" i="3"/>
  <c r="DX8" i="3"/>
  <c r="DX9" i="3"/>
  <c r="DX10" i="3"/>
  <c r="DX11" i="3"/>
  <c r="DX12" i="3"/>
  <c r="DX13" i="3"/>
  <c r="DX14" i="3"/>
  <c r="DX15" i="3"/>
  <c r="DX16" i="3"/>
  <c r="DX17" i="3"/>
  <c r="DX18" i="3"/>
  <c r="DX19" i="3"/>
  <c r="DX20" i="3"/>
  <c r="DX21" i="3"/>
  <c r="DX22" i="3"/>
  <c r="DX23" i="3"/>
  <c r="DX24" i="3"/>
  <c r="DU5" i="3"/>
  <c r="DU6" i="3"/>
  <c r="DU7" i="3"/>
  <c r="DU8" i="3"/>
  <c r="DU9" i="3"/>
  <c r="DU10" i="3"/>
  <c r="DU11" i="3"/>
  <c r="DU12" i="3"/>
  <c r="DU13" i="3"/>
  <c r="DU14" i="3"/>
  <c r="DU15" i="3"/>
  <c r="DU16" i="3"/>
  <c r="DU17" i="3"/>
  <c r="DU18" i="3"/>
  <c r="DU19" i="3"/>
  <c r="DU20" i="3"/>
  <c r="DU21" i="3"/>
  <c r="DU22" i="3"/>
  <c r="DU23" i="3"/>
  <c r="DU24" i="3"/>
  <c r="DT5" i="3"/>
  <c r="DT6" i="3"/>
  <c r="DT7" i="3"/>
  <c r="DT8" i="3"/>
  <c r="DT9" i="3"/>
  <c r="DT10" i="3"/>
  <c r="DT11" i="3"/>
  <c r="DT12" i="3"/>
  <c r="DT13" i="3"/>
  <c r="DT14" i="3"/>
  <c r="DT15" i="3"/>
  <c r="DT16" i="3"/>
  <c r="DT17" i="3"/>
  <c r="DT18" i="3"/>
  <c r="DT19" i="3"/>
  <c r="DT20" i="3"/>
  <c r="DT21" i="3"/>
  <c r="DT22" i="3"/>
  <c r="DT23" i="3"/>
  <c r="DT24" i="3"/>
  <c r="DQ5" i="3"/>
  <c r="DQ6" i="3"/>
  <c r="DQ7" i="3"/>
  <c r="DQ8" i="3"/>
  <c r="DQ9" i="3"/>
  <c r="DQ10" i="3"/>
  <c r="DQ11" i="3"/>
  <c r="DQ12" i="3"/>
  <c r="DQ13" i="3"/>
  <c r="DQ14" i="3"/>
  <c r="DQ15" i="3"/>
  <c r="DQ16" i="3"/>
  <c r="DQ17" i="3"/>
  <c r="DQ18" i="3"/>
  <c r="DQ19" i="3"/>
  <c r="DQ20" i="3"/>
  <c r="DQ21" i="3"/>
  <c r="DQ22" i="3"/>
  <c r="DQ23" i="3"/>
  <c r="DQ24" i="3"/>
  <c r="DP5" i="3"/>
  <c r="DP6" i="3"/>
  <c r="DP7" i="3"/>
  <c r="DP8" i="3"/>
  <c r="DP9" i="3"/>
  <c r="DP10" i="3"/>
  <c r="DP11" i="3"/>
  <c r="DP12" i="3"/>
  <c r="DP13" i="3"/>
  <c r="DP14" i="3"/>
  <c r="DP15" i="3"/>
  <c r="DP16" i="3"/>
  <c r="DP17" i="3"/>
  <c r="DP18" i="3"/>
  <c r="DP19" i="3"/>
  <c r="DP20" i="3"/>
  <c r="DP21" i="3"/>
  <c r="DP22" i="3"/>
  <c r="DP23" i="3"/>
  <c r="DP24" i="3"/>
  <c r="DM5" i="3"/>
  <c r="DM6" i="3"/>
  <c r="DM7" i="3"/>
  <c r="DM8" i="3"/>
  <c r="DM9" i="3"/>
  <c r="DM10" i="3"/>
  <c r="DM11" i="3"/>
  <c r="DM12" i="3"/>
  <c r="DM13" i="3"/>
  <c r="DM14" i="3"/>
  <c r="DM15" i="3"/>
  <c r="DM16" i="3"/>
  <c r="DM17" i="3"/>
  <c r="DM18" i="3"/>
  <c r="DM19" i="3"/>
  <c r="DM20" i="3"/>
  <c r="DM21" i="3"/>
  <c r="DM22" i="3"/>
  <c r="DM23" i="3"/>
  <c r="DM24" i="3"/>
  <c r="DL5" i="3"/>
  <c r="DL6" i="3"/>
  <c r="DL7" i="3"/>
  <c r="DL8" i="3"/>
  <c r="DL9" i="3"/>
  <c r="DL10" i="3"/>
  <c r="DL11" i="3"/>
  <c r="DL12" i="3"/>
  <c r="DL13" i="3"/>
  <c r="DL14" i="3"/>
  <c r="DL15" i="3"/>
  <c r="DL16" i="3"/>
  <c r="DL17" i="3"/>
  <c r="DL18" i="3"/>
  <c r="DL19" i="3"/>
  <c r="DL20" i="3"/>
  <c r="DL21" i="3"/>
  <c r="DL22" i="3"/>
  <c r="DL23" i="3"/>
  <c r="DL24" i="3"/>
  <c r="DI5" i="3"/>
  <c r="DI6" i="3"/>
  <c r="DI7" i="3"/>
  <c r="DI8" i="3"/>
  <c r="DI9" i="3"/>
  <c r="DI10" i="3"/>
  <c r="DI11" i="3"/>
  <c r="DI12" i="3"/>
  <c r="DI13" i="3"/>
  <c r="DI14" i="3"/>
  <c r="DI15" i="3"/>
  <c r="DI16" i="3"/>
  <c r="DI17" i="3"/>
  <c r="DI18" i="3"/>
  <c r="DI19" i="3"/>
  <c r="DI20" i="3"/>
  <c r="DI21" i="3"/>
  <c r="DI22" i="3"/>
  <c r="DI23" i="3"/>
  <c r="DI24" i="3"/>
  <c r="DH5" i="3"/>
  <c r="DH6" i="3"/>
  <c r="DH7" i="3"/>
  <c r="DH8" i="3"/>
  <c r="DH9" i="3"/>
  <c r="DH10" i="3"/>
  <c r="DH11" i="3"/>
  <c r="DH12" i="3"/>
  <c r="DH13" i="3"/>
  <c r="DH14" i="3"/>
  <c r="DH15" i="3"/>
  <c r="DH16" i="3"/>
  <c r="DH17" i="3"/>
  <c r="DH18" i="3"/>
  <c r="DH19" i="3"/>
  <c r="DH20" i="3"/>
  <c r="DH21" i="3"/>
  <c r="DH22" i="3"/>
  <c r="DH23" i="3"/>
  <c r="DH24" i="3"/>
  <c r="DE5" i="3"/>
  <c r="DE6" i="3"/>
  <c r="DE7" i="3"/>
  <c r="DE8" i="3"/>
  <c r="DE9" i="3"/>
  <c r="DE10" i="3"/>
  <c r="DE11" i="3"/>
  <c r="DE12" i="3"/>
  <c r="DE13" i="3"/>
  <c r="DE14" i="3"/>
  <c r="DE15" i="3"/>
  <c r="DE16" i="3"/>
  <c r="DE17" i="3"/>
  <c r="DE18" i="3"/>
  <c r="DE19" i="3"/>
  <c r="DE20" i="3"/>
  <c r="DE21" i="3"/>
  <c r="DE22" i="3"/>
  <c r="DE23" i="3"/>
  <c r="DE24" i="3"/>
  <c r="DD5" i="3"/>
  <c r="DD6" i="3"/>
  <c r="DD7" i="3"/>
  <c r="DD8" i="3"/>
  <c r="DD9" i="3"/>
  <c r="DD10" i="3"/>
  <c r="DD11" i="3"/>
  <c r="DD12" i="3"/>
  <c r="DD13" i="3"/>
  <c r="DD14" i="3"/>
  <c r="DD15" i="3"/>
  <c r="DD16" i="3"/>
  <c r="DD17" i="3"/>
  <c r="DD18" i="3"/>
  <c r="DD19" i="3"/>
  <c r="DD20" i="3"/>
  <c r="DD21" i="3"/>
  <c r="DD22" i="3"/>
  <c r="DD23" i="3"/>
  <c r="DD24" i="3"/>
  <c r="DA5" i="3"/>
  <c r="DA6" i="3"/>
  <c r="DA7" i="3"/>
  <c r="DA8" i="3"/>
  <c r="DA9" i="3"/>
  <c r="DA10" i="3"/>
  <c r="DA11" i="3"/>
  <c r="DA12" i="3"/>
  <c r="DA13" i="3"/>
  <c r="DA14" i="3"/>
  <c r="DA15" i="3"/>
  <c r="DA16" i="3"/>
  <c r="DA17" i="3"/>
  <c r="DA18" i="3"/>
  <c r="DA19" i="3"/>
  <c r="DA20" i="3"/>
  <c r="DA21" i="3"/>
  <c r="DA22" i="3"/>
  <c r="DA23" i="3"/>
  <c r="DA24" i="3"/>
  <c r="CZ5" i="3"/>
  <c r="CZ6" i="3"/>
  <c r="CZ7" i="3"/>
  <c r="CZ8" i="3"/>
  <c r="CZ9" i="3"/>
  <c r="CZ10" i="3"/>
  <c r="CZ11" i="3"/>
  <c r="CZ12" i="3"/>
  <c r="CZ13" i="3"/>
  <c r="CZ14" i="3"/>
  <c r="CZ15" i="3"/>
  <c r="CZ16" i="3"/>
  <c r="CZ17" i="3"/>
  <c r="CZ18" i="3"/>
  <c r="CZ19" i="3"/>
  <c r="CZ20" i="3"/>
  <c r="CZ21" i="3"/>
  <c r="CZ22" i="3"/>
  <c r="CZ23" i="3"/>
  <c r="CZ24" i="3"/>
  <c r="CW5" i="3"/>
  <c r="CW6" i="3"/>
  <c r="CW7" i="3"/>
  <c r="CW8" i="3"/>
  <c r="CW9" i="3"/>
  <c r="CW10" i="3"/>
  <c r="CW11" i="3"/>
  <c r="CW12" i="3"/>
  <c r="CW13" i="3"/>
  <c r="GM13" i="3" s="1"/>
  <c r="CW14" i="3"/>
  <c r="CW15" i="3"/>
  <c r="CW16" i="3"/>
  <c r="CW17" i="3"/>
  <c r="CW18" i="3"/>
  <c r="CW19" i="3"/>
  <c r="CW20" i="3"/>
  <c r="CW21" i="3"/>
  <c r="CW22" i="3"/>
  <c r="CW23" i="3"/>
  <c r="CW24" i="3"/>
  <c r="CV5" i="3"/>
  <c r="CV6" i="3"/>
  <c r="CV7" i="3"/>
  <c r="CV8" i="3"/>
  <c r="CV9" i="3"/>
  <c r="CV10" i="3"/>
  <c r="CV11" i="3"/>
  <c r="CV12" i="3"/>
  <c r="CV13" i="3"/>
  <c r="CV14" i="3"/>
  <c r="CV15" i="3"/>
  <c r="CV16" i="3"/>
  <c r="CV17" i="3"/>
  <c r="CV18" i="3"/>
  <c r="CV19" i="3"/>
  <c r="CV20" i="3"/>
  <c r="CV21" i="3"/>
  <c r="CV22" i="3"/>
  <c r="CV23" i="3"/>
  <c r="CV24" i="3"/>
  <c r="CS5" i="3"/>
  <c r="CS6" i="3"/>
  <c r="GM6" i="3" s="1"/>
  <c r="CS7" i="3"/>
  <c r="CS8" i="3"/>
  <c r="CS9" i="3"/>
  <c r="GM9" i="3" s="1"/>
  <c r="CS10" i="3"/>
  <c r="CS11" i="3"/>
  <c r="CS12" i="3"/>
  <c r="CS13" i="3"/>
  <c r="CS14" i="3"/>
  <c r="GM14" i="3" s="1"/>
  <c r="CS15" i="3"/>
  <c r="GM15" i="3" s="1"/>
  <c r="CS16" i="3"/>
  <c r="GM16" i="3" s="1"/>
  <c r="CS17" i="3"/>
  <c r="GM17" i="3" s="1"/>
  <c r="CS18" i="3"/>
  <c r="GM18" i="3" s="1"/>
  <c r="CS19" i="3"/>
  <c r="GM19" i="3" s="1"/>
  <c r="CS20" i="3"/>
  <c r="GM20" i="3" s="1"/>
  <c r="CS21" i="3"/>
  <c r="CS22" i="3"/>
  <c r="GM22" i="3" s="1"/>
  <c r="CS23" i="3"/>
  <c r="CS24" i="3"/>
  <c r="CR5" i="3"/>
  <c r="CR6" i="3"/>
  <c r="CR7" i="3"/>
  <c r="CR8" i="3"/>
  <c r="CR9" i="3"/>
  <c r="CR10" i="3"/>
  <c r="CR11" i="3"/>
  <c r="CR12" i="3"/>
  <c r="CR13" i="3"/>
  <c r="CR14" i="3"/>
  <c r="CR15" i="3"/>
  <c r="CR16" i="3"/>
  <c r="CR17" i="3"/>
  <c r="CR18" i="3"/>
  <c r="CR19" i="3"/>
  <c r="GK19" i="3" s="1"/>
  <c r="CR20" i="3"/>
  <c r="CR21" i="3"/>
  <c r="CR22" i="3"/>
  <c r="CR23" i="3"/>
  <c r="CR24" i="3"/>
  <c r="AI60" i="6"/>
  <c r="G60" i="6" s="1" a="1"/>
  <c r="G60" i="6" s="1"/>
  <c r="H60" i="6" s="1"/>
  <c r="AI61" i="6"/>
  <c r="J61" i="6" s="1" a="1"/>
  <c r="J61" i="6" s="1"/>
  <c r="C37" i="6" a="1"/>
  <c r="C37" i="6" s="1"/>
  <c r="K37" i="6" s="1"/>
  <c r="I36" i="6" a="1"/>
  <c r="I36" i="6" s="1"/>
  <c r="H36" i="6" a="1"/>
  <c r="H36" i="6" s="1"/>
  <c r="G36" i="6" a="1"/>
  <c r="G36" i="6" s="1"/>
  <c r="F36" i="6" a="1"/>
  <c r="F36" i="6" s="1"/>
  <c r="E34" i="6" a="1"/>
  <c r="E34" i="6" s="1"/>
  <c r="D34" i="6" a="1"/>
  <c r="D34" i="6" s="1"/>
  <c r="C34" i="6" a="1"/>
  <c r="C34" i="6" s="1"/>
  <c r="I33" i="6" a="1"/>
  <c r="I33" i="6" s="1"/>
  <c r="H33" i="6" a="1"/>
  <c r="H33" i="6" s="1"/>
  <c r="C28" i="6" a="1"/>
  <c r="C28" i="6" s="1"/>
  <c r="I27" i="6" a="1"/>
  <c r="I27" i="6" s="1"/>
  <c r="H27" i="6" a="1"/>
  <c r="H27" i="6" s="1"/>
  <c r="F25" i="6" a="1"/>
  <c r="F25" i="6" s="1"/>
  <c r="E25" i="6" a="1"/>
  <c r="E25" i="6" s="1"/>
  <c r="D25" i="6" a="1"/>
  <c r="D25" i="6" s="1"/>
  <c r="C25" i="6" a="1"/>
  <c r="C25" i="6" s="1"/>
  <c r="I24" i="6" a="1"/>
  <c r="I24" i="6" s="1"/>
  <c r="G22" i="6" a="1"/>
  <c r="G22" i="6" s="1"/>
  <c r="F22" i="6" a="1"/>
  <c r="F22" i="6" s="1"/>
  <c r="E22" i="6" a="1"/>
  <c r="E22" i="6" s="1"/>
  <c r="D22" i="6" a="1"/>
  <c r="D22" i="6" s="1"/>
  <c r="C22" i="6" a="1"/>
  <c r="C22" i="6" s="1"/>
  <c r="H19" i="6" a="1"/>
  <c r="H19" i="6" s="1"/>
  <c r="G19" i="6" a="1"/>
  <c r="G19" i="6" s="1"/>
  <c r="F19" i="6" a="1"/>
  <c r="F19" i="6" s="1"/>
  <c r="E19" i="6" a="1"/>
  <c r="E19" i="6" s="1"/>
  <c r="K68" i="6"/>
  <c r="AI52" i="6" s="1"/>
  <c r="G52" i="6" s="1" a="1"/>
  <c r="G52" i="6" s="1"/>
  <c r="H52" i="6" s="1"/>
  <c r="C6" i="5" a="1"/>
  <c r="C6" i="5" s="1"/>
  <c r="D11" i="5" s="1"/>
  <c r="F6" i="5" a="1"/>
  <c r="F6" i="5" s="1"/>
  <c r="AF8" i="7" a="1"/>
  <c r="AF8" i="7" s="1"/>
  <c r="AH9" i="7" a="1"/>
  <c r="AH9" i="7" s="1"/>
  <c r="AI9" i="7" a="1"/>
  <c r="AI9" i="7" s="1"/>
  <c r="AG10" i="7" a="1"/>
  <c r="AG10" i="7" s="1"/>
  <c r="AH10" i="7" a="1"/>
  <c r="AH10" i="7" s="1"/>
  <c r="AG11" i="7" a="1"/>
  <c r="AG11" i="7" s="1"/>
  <c r="AI12" i="7" a="1"/>
  <c r="AI12" i="7" s="1"/>
  <c r="AG13" i="7" a="1"/>
  <c r="AG13" i="7" s="1"/>
  <c r="AF14" i="7" a="1"/>
  <c r="AF14" i="7" s="1"/>
  <c r="AG14" i="7" a="1"/>
  <c r="AG14" i="7" s="1"/>
  <c r="AF15" i="7" a="1"/>
  <c r="AF15" i="7" s="1"/>
  <c r="AG15" i="7" a="1"/>
  <c r="AG15" i="7" s="1"/>
  <c r="AF17" i="7" a="1"/>
  <c r="AF17" i="7" s="1"/>
  <c r="AG17" i="7" a="1"/>
  <c r="AG17" i="7" s="1"/>
  <c r="AI17" i="7" a="1"/>
  <c r="AI17" i="7" s="1"/>
  <c r="AG18" i="7" a="1"/>
  <c r="AG18" i="7" s="1"/>
  <c r="AG19" i="7" a="1"/>
  <c r="AG19" i="7" s="1"/>
  <c r="AI19" i="7" a="1"/>
  <c r="AI19" i="7" s="1"/>
  <c r="AF21" i="7" a="1"/>
  <c r="AF21" i="7" s="1"/>
  <c r="AG21" i="7" a="1"/>
  <c r="AG21" i="7" s="1"/>
  <c r="AF22" i="7" a="1"/>
  <c r="AF22" i="7" s="1"/>
  <c r="AG22" i="7" a="1"/>
  <c r="AG22" i="7" s="1"/>
  <c r="AH22" i="7" a="1"/>
  <c r="AH22" i="7" s="1"/>
  <c r="K62" i="6"/>
  <c r="AE23" i="7" s="1" a="1"/>
  <c r="AE23" i="7" s="1"/>
  <c r="L37" i="8" s="1"/>
  <c r="AG23" i="7" a="1"/>
  <c r="AG23" i="7" s="1"/>
  <c r="AI23" i="7" a="1"/>
  <c r="AI23" i="7" s="1"/>
  <c r="K63" i="6"/>
  <c r="K64" i="6"/>
  <c r="AF25" i="7" a="1"/>
  <c r="AF25" i="7" s="1"/>
  <c r="AG25" i="7" a="1"/>
  <c r="AG25" i="7" s="1"/>
  <c r="AH25" i="7" a="1"/>
  <c r="AH25" i="7" s="1"/>
  <c r="K65" i="6"/>
  <c r="AE26" i="7" s="1" a="1"/>
  <c r="AE26" i="7" s="1"/>
  <c r="L40" i="8" s="1"/>
  <c r="AG26" i="7" a="1"/>
  <c r="AG26" i="7" s="1"/>
  <c r="K66" i="6"/>
  <c r="AE27" i="7" s="1" a="1"/>
  <c r="AE27" i="7" s="1"/>
  <c r="L41" i="8" s="1"/>
  <c r="AG27" i="7" a="1"/>
  <c r="AG27" i="7" s="1"/>
  <c r="K670" i="6"/>
  <c r="J670" i="6"/>
  <c r="I670" i="6"/>
  <c r="H670" i="6"/>
  <c r="G670" i="6"/>
  <c r="C670" i="6"/>
  <c r="L669" i="6"/>
  <c r="L668" i="6"/>
  <c r="L667" i="6"/>
  <c r="L666" i="6"/>
  <c r="L665" i="6"/>
  <c r="L664" i="6"/>
  <c r="L663" i="6"/>
  <c r="L662" i="6"/>
  <c r="L661" i="6"/>
  <c r="L660" i="6"/>
  <c r="L659" i="6"/>
  <c r="L658" i="6"/>
  <c r="L657" i="6"/>
  <c r="L656" i="6"/>
  <c r="L655" i="6"/>
  <c r="L654" i="6"/>
  <c r="L653" i="6"/>
  <c r="L652" i="6"/>
  <c r="E650" i="6"/>
  <c r="C650" i="6"/>
  <c r="G649" i="6"/>
  <c r="K643" i="6"/>
  <c r="J643" i="6"/>
  <c r="I643" i="6"/>
  <c r="H643" i="6"/>
  <c r="G643" i="6"/>
  <c r="C643" i="6"/>
  <c r="L642" i="6"/>
  <c r="L641" i="6"/>
  <c r="L640" i="6"/>
  <c r="L639" i="6"/>
  <c r="L638" i="6"/>
  <c r="L637" i="6"/>
  <c r="L636" i="6"/>
  <c r="L635" i="6"/>
  <c r="L634" i="6"/>
  <c r="L633" i="6"/>
  <c r="L632" i="6"/>
  <c r="L631" i="6"/>
  <c r="L630" i="6"/>
  <c r="L629" i="6"/>
  <c r="L628" i="6"/>
  <c r="L627" i="6"/>
  <c r="L626" i="6"/>
  <c r="L625" i="6"/>
  <c r="E623" i="6"/>
  <c r="C623" i="6"/>
  <c r="G622" i="6"/>
  <c r="K616" i="6"/>
  <c r="J616" i="6"/>
  <c r="I616" i="6"/>
  <c r="H616" i="6"/>
  <c r="G616" i="6"/>
  <c r="C616" i="6"/>
  <c r="L615" i="6"/>
  <c r="L614" i="6"/>
  <c r="L613" i="6"/>
  <c r="L612" i="6"/>
  <c r="L611" i="6"/>
  <c r="L610" i="6"/>
  <c r="L609" i="6"/>
  <c r="L608" i="6"/>
  <c r="L607" i="6"/>
  <c r="L606" i="6"/>
  <c r="L605" i="6"/>
  <c r="L604" i="6"/>
  <c r="L603" i="6"/>
  <c r="L602" i="6"/>
  <c r="L601" i="6"/>
  <c r="L600" i="6"/>
  <c r="L599" i="6"/>
  <c r="L598" i="6"/>
  <c r="E596" i="6"/>
  <c r="C596" i="6"/>
  <c r="G595" i="6"/>
  <c r="K589" i="6"/>
  <c r="J589" i="6"/>
  <c r="I589" i="6"/>
  <c r="H589" i="6"/>
  <c r="G589" i="6"/>
  <c r="C589" i="6"/>
  <c r="L588" i="6"/>
  <c r="L587" i="6"/>
  <c r="L586" i="6"/>
  <c r="L585" i="6"/>
  <c r="L584" i="6"/>
  <c r="L583" i="6"/>
  <c r="L582" i="6"/>
  <c r="L581" i="6"/>
  <c r="L580" i="6"/>
  <c r="L579" i="6"/>
  <c r="L578" i="6"/>
  <c r="L577" i="6"/>
  <c r="L576" i="6"/>
  <c r="L575" i="6"/>
  <c r="L574" i="6"/>
  <c r="L573" i="6"/>
  <c r="L572" i="6"/>
  <c r="L571" i="6"/>
  <c r="E569" i="6"/>
  <c r="C569" i="6"/>
  <c r="G568" i="6"/>
  <c r="K562" i="6"/>
  <c r="J562" i="6"/>
  <c r="I562" i="6"/>
  <c r="H562" i="6"/>
  <c r="G562" i="6"/>
  <c r="C562" i="6"/>
  <c r="L561" i="6"/>
  <c r="L560" i="6"/>
  <c r="L559" i="6"/>
  <c r="L558" i="6"/>
  <c r="L557" i="6"/>
  <c r="L556" i="6"/>
  <c r="L555" i="6"/>
  <c r="L554" i="6"/>
  <c r="L553" i="6"/>
  <c r="L552" i="6"/>
  <c r="L551" i="6"/>
  <c r="L550" i="6"/>
  <c r="L549" i="6"/>
  <c r="L548" i="6"/>
  <c r="L547" i="6"/>
  <c r="L546" i="6"/>
  <c r="L545" i="6"/>
  <c r="L544" i="6"/>
  <c r="E542" i="6"/>
  <c r="C542" i="6"/>
  <c r="G541" i="6"/>
  <c r="K535" i="6"/>
  <c r="J535" i="6"/>
  <c r="I535" i="6"/>
  <c r="H535" i="6"/>
  <c r="G535" i="6"/>
  <c r="C535" i="6"/>
  <c r="L534" i="6"/>
  <c r="L533" i="6"/>
  <c r="L532" i="6"/>
  <c r="L531" i="6"/>
  <c r="L530" i="6"/>
  <c r="L529" i="6"/>
  <c r="L528" i="6"/>
  <c r="L527" i="6"/>
  <c r="L526" i="6"/>
  <c r="L525" i="6"/>
  <c r="L524" i="6"/>
  <c r="L523" i="6"/>
  <c r="L522" i="6"/>
  <c r="L521" i="6"/>
  <c r="L520" i="6"/>
  <c r="L519" i="6"/>
  <c r="L518" i="6"/>
  <c r="L517" i="6"/>
  <c r="E515" i="6"/>
  <c r="C515" i="6"/>
  <c r="G514" i="6"/>
  <c r="K508" i="6"/>
  <c r="J508" i="6"/>
  <c r="I508" i="6"/>
  <c r="H508" i="6"/>
  <c r="G508" i="6"/>
  <c r="C508" i="6"/>
  <c r="L507" i="6"/>
  <c r="L506" i="6"/>
  <c r="L505" i="6"/>
  <c r="L504" i="6"/>
  <c r="L503" i="6"/>
  <c r="L502" i="6"/>
  <c r="L501" i="6"/>
  <c r="L500" i="6"/>
  <c r="L499" i="6"/>
  <c r="L498" i="6"/>
  <c r="L497" i="6"/>
  <c r="L496" i="6"/>
  <c r="L495" i="6"/>
  <c r="L494" i="6"/>
  <c r="L493" i="6"/>
  <c r="L492" i="6"/>
  <c r="L491" i="6"/>
  <c r="L490" i="6"/>
  <c r="E488" i="6"/>
  <c r="C488" i="6"/>
  <c r="G487" i="6"/>
  <c r="K481" i="6"/>
  <c r="J481" i="6"/>
  <c r="I481" i="6"/>
  <c r="H481" i="6"/>
  <c r="G481" i="6"/>
  <c r="C481" i="6"/>
  <c r="L480" i="6"/>
  <c r="L479" i="6"/>
  <c r="L478" i="6"/>
  <c r="L477" i="6"/>
  <c r="L476" i="6"/>
  <c r="L475" i="6"/>
  <c r="L474" i="6"/>
  <c r="L473" i="6"/>
  <c r="L472" i="6"/>
  <c r="L471" i="6"/>
  <c r="L470" i="6"/>
  <c r="L469" i="6"/>
  <c r="L468" i="6"/>
  <c r="L467" i="6"/>
  <c r="L466" i="6"/>
  <c r="L465" i="6"/>
  <c r="L464" i="6"/>
  <c r="L463" i="6"/>
  <c r="E461" i="6"/>
  <c r="C461" i="6"/>
  <c r="G460" i="6"/>
  <c r="K454" i="6"/>
  <c r="J454" i="6"/>
  <c r="I454" i="6"/>
  <c r="H454" i="6"/>
  <c r="G454" i="6"/>
  <c r="C454" i="6"/>
  <c r="L453" i="6"/>
  <c r="L452" i="6"/>
  <c r="L451" i="6"/>
  <c r="L450" i="6"/>
  <c r="L449" i="6"/>
  <c r="L448" i="6"/>
  <c r="L447" i="6"/>
  <c r="L446" i="6"/>
  <c r="L445" i="6"/>
  <c r="L444" i="6"/>
  <c r="L443" i="6"/>
  <c r="L442" i="6"/>
  <c r="L441" i="6"/>
  <c r="L440" i="6"/>
  <c r="L439" i="6"/>
  <c r="L438" i="6"/>
  <c r="L437" i="6"/>
  <c r="L436" i="6"/>
  <c r="E434" i="6"/>
  <c r="C434" i="6"/>
  <c r="G433" i="6"/>
  <c r="K427" i="6"/>
  <c r="J427" i="6"/>
  <c r="I427" i="6"/>
  <c r="H427" i="6"/>
  <c r="G427" i="6"/>
  <c r="C427" i="6"/>
  <c r="L426" i="6"/>
  <c r="L425" i="6"/>
  <c r="L424" i="6"/>
  <c r="L423" i="6"/>
  <c r="L422" i="6"/>
  <c r="L421" i="6"/>
  <c r="L420" i="6"/>
  <c r="L419" i="6"/>
  <c r="L418" i="6"/>
  <c r="L417" i="6"/>
  <c r="L416" i="6"/>
  <c r="L415" i="6"/>
  <c r="L414" i="6"/>
  <c r="L413" i="6"/>
  <c r="L412" i="6"/>
  <c r="L411" i="6"/>
  <c r="L410" i="6"/>
  <c r="L409" i="6"/>
  <c r="E407" i="6"/>
  <c r="C407" i="6"/>
  <c r="G406" i="6"/>
  <c r="K400" i="6"/>
  <c r="J400" i="6"/>
  <c r="I400" i="6"/>
  <c r="H400" i="6"/>
  <c r="G400" i="6"/>
  <c r="C400" i="6"/>
  <c r="L399" i="6"/>
  <c r="L398" i="6"/>
  <c r="L397" i="6"/>
  <c r="L396" i="6"/>
  <c r="L395" i="6"/>
  <c r="L394" i="6"/>
  <c r="L393" i="6"/>
  <c r="L392" i="6"/>
  <c r="L391" i="6"/>
  <c r="L390" i="6"/>
  <c r="L389" i="6"/>
  <c r="L388" i="6"/>
  <c r="L387" i="6"/>
  <c r="L386" i="6"/>
  <c r="L385" i="6"/>
  <c r="L384" i="6"/>
  <c r="L383" i="6"/>
  <c r="L382" i="6"/>
  <c r="E380" i="6"/>
  <c r="C380" i="6"/>
  <c r="G379" i="6"/>
  <c r="K373" i="6"/>
  <c r="J373" i="6"/>
  <c r="I373" i="6"/>
  <c r="H373" i="6"/>
  <c r="G373" i="6"/>
  <c r="C373" i="6"/>
  <c r="L372" i="6"/>
  <c r="L371" i="6"/>
  <c r="L370" i="6"/>
  <c r="L369" i="6"/>
  <c r="L368" i="6"/>
  <c r="L367" i="6"/>
  <c r="L366" i="6"/>
  <c r="L365" i="6"/>
  <c r="L364" i="6"/>
  <c r="L363" i="6"/>
  <c r="L362" i="6"/>
  <c r="L361" i="6"/>
  <c r="L360" i="6"/>
  <c r="L359" i="6"/>
  <c r="L358" i="6"/>
  <c r="L357" i="6"/>
  <c r="L356" i="6"/>
  <c r="L355" i="6"/>
  <c r="E353" i="6"/>
  <c r="C353" i="6"/>
  <c r="G352" i="6"/>
  <c r="K346" i="6"/>
  <c r="J346" i="6"/>
  <c r="I346" i="6"/>
  <c r="H346" i="6"/>
  <c r="G346" i="6"/>
  <c r="C346" i="6"/>
  <c r="L345" i="6"/>
  <c r="L344" i="6"/>
  <c r="L343" i="6"/>
  <c r="L342" i="6"/>
  <c r="L341" i="6"/>
  <c r="L340" i="6"/>
  <c r="L339" i="6"/>
  <c r="L338" i="6"/>
  <c r="L337" i="6"/>
  <c r="L336" i="6"/>
  <c r="L335" i="6"/>
  <c r="L334" i="6"/>
  <c r="L333" i="6"/>
  <c r="L332" i="6"/>
  <c r="L331" i="6"/>
  <c r="L330" i="6"/>
  <c r="L329" i="6"/>
  <c r="L328" i="6"/>
  <c r="E326" i="6"/>
  <c r="C326" i="6"/>
  <c r="G325" i="6"/>
  <c r="K319" i="6"/>
  <c r="J319" i="6"/>
  <c r="I319" i="6"/>
  <c r="H319" i="6"/>
  <c r="G319" i="6"/>
  <c r="C319" i="6"/>
  <c r="L318" i="6"/>
  <c r="L317" i="6"/>
  <c r="L316" i="6"/>
  <c r="L315" i="6"/>
  <c r="L314" i="6"/>
  <c r="L313" i="6"/>
  <c r="L312" i="6"/>
  <c r="L311" i="6"/>
  <c r="L310" i="6"/>
  <c r="L309" i="6"/>
  <c r="L308" i="6"/>
  <c r="L307" i="6"/>
  <c r="L306" i="6"/>
  <c r="L305" i="6"/>
  <c r="L304" i="6"/>
  <c r="L303" i="6"/>
  <c r="L302" i="6"/>
  <c r="L301" i="6"/>
  <c r="E299" i="6"/>
  <c r="C299" i="6"/>
  <c r="G298" i="6"/>
  <c r="K292" i="6"/>
  <c r="J292" i="6"/>
  <c r="I292" i="6"/>
  <c r="H292" i="6"/>
  <c r="G292" i="6"/>
  <c r="C292" i="6"/>
  <c r="L291" i="6"/>
  <c r="L290" i="6"/>
  <c r="L289" i="6"/>
  <c r="L288" i="6"/>
  <c r="L287" i="6"/>
  <c r="L286" i="6"/>
  <c r="L285" i="6"/>
  <c r="L284" i="6"/>
  <c r="L283" i="6"/>
  <c r="L282" i="6"/>
  <c r="L281" i="6"/>
  <c r="L280" i="6"/>
  <c r="L279" i="6"/>
  <c r="L278" i="6"/>
  <c r="L277" i="6"/>
  <c r="L276" i="6"/>
  <c r="L275" i="6"/>
  <c r="L274" i="6"/>
  <c r="E272" i="6"/>
  <c r="C272" i="6"/>
  <c r="G271" i="6"/>
  <c r="K265" i="6"/>
  <c r="J265" i="6"/>
  <c r="I265" i="6"/>
  <c r="H265" i="6"/>
  <c r="G265" i="6"/>
  <c r="C265" i="6"/>
  <c r="L264" i="6"/>
  <c r="L263" i="6"/>
  <c r="L262" i="6"/>
  <c r="L261" i="6"/>
  <c r="L260" i="6"/>
  <c r="L259" i="6"/>
  <c r="L258" i="6"/>
  <c r="L257" i="6"/>
  <c r="L256" i="6"/>
  <c r="L255" i="6"/>
  <c r="L254" i="6"/>
  <c r="L253" i="6"/>
  <c r="L252" i="6"/>
  <c r="L251" i="6"/>
  <c r="L250" i="6"/>
  <c r="L249" i="6"/>
  <c r="L248" i="6"/>
  <c r="L247" i="6"/>
  <c r="E245" i="6"/>
  <c r="C245" i="6"/>
  <c r="G244" i="6"/>
  <c r="K238" i="6"/>
  <c r="J238" i="6"/>
  <c r="I238" i="6"/>
  <c r="H238" i="6"/>
  <c r="G238" i="6"/>
  <c r="C238" i="6"/>
  <c r="L237" i="6"/>
  <c r="L236" i="6"/>
  <c r="L235" i="6"/>
  <c r="L234" i="6"/>
  <c r="L233" i="6"/>
  <c r="L232" i="6"/>
  <c r="L231" i="6"/>
  <c r="L230" i="6"/>
  <c r="L229" i="6"/>
  <c r="L228" i="6"/>
  <c r="L227" i="6"/>
  <c r="L226" i="6"/>
  <c r="L225" i="6"/>
  <c r="L224" i="6"/>
  <c r="L223" i="6"/>
  <c r="L222" i="6"/>
  <c r="L221" i="6"/>
  <c r="L220" i="6"/>
  <c r="E218" i="6"/>
  <c r="C218" i="6"/>
  <c r="G217" i="6"/>
  <c r="K211" i="6"/>
  <c r="J211" i="6"/>
  <c r="I211" i="6"/>
  <c r="H211" i="6"/>
  <c r="G211" i="6"/>
  <c r="C211" i="6"/>
  <c r="L210" i="6"/>
  <c r="L209" i="6"/>
  <c r="L208" i="6"/>
  <c r="L207" i="6"/>
  <c r="L206" i="6"/>
  <c r="L205" i="6"/>
  <c r="L204" i="6"/>
  <c r="L203" i="6"/>
  <c r="L202" i="6"/>
  <c r="L201" i="6"/>
  <c r="L200" i="6"/>
  <c r="L199" i="6"/>
  <c r="L198" i="6"/>
  <c r="L197" i="6"/>
  <c r="L196" i="6"/>
  <c r="L195" i="6"/>
  <c r="L194" i="6"/>
  <c r="L193" i="6"/>
  <c r="E191" i="6"/>
  <c r="C191" i="6"/>
  <c r="G190" i="6"/>
  <c r="K184" i="6"/>
  <c r="J184" i="6"/>
  <c r="I184" i="6"/>
  <c r="H184" i="6"/>
  <c r="G184" i="6"/>
  <c r="C184" i="6"/>
  <c r="L183" i="6"/>
  <c r="L182" i="6"/>
  <c r="L181" i="6"/>
  <c r="L180" i="6"/>
  <c r="L179" i="6"/>
  <c r="L178" i="6"/>
  <c r="L177" i="6"/>
  <c r="L176" i="6"/>
  <c r="L175" i="6"/>
  <c r="L174" i="6"/>
  <c r="L173" i="6"/>
  <c r="L172" i="6"/>
  <c r="L171" i="6"/>
  <c r="L170" i="6"/>
  <c r="L169" i="6"/>
  <c r="L168" i="6"/>
  <c r="L167" i="6"/>
  <c r="L166" i="6"/>
  <c r="E164" i="6"/>
  <c r="C164" i="6"/>
  <c r="G163" i="6"/>
  <c r="K157" i="6"/>
  <c r="J157" i="6"/>
  <c r="I157" i="6"/>
  <c r="H157" i="6"/>
  <c r="G157" i="6"/>
  <c r="C157" i="6"/>
  <c r="L156" i="6"/>
  <c r="L155" i="6"/>
  <c r="L154" i="6"/>
  <c r="L153" i="6"/>
  <c r="L152" i="6"/>
  <c r="L151" i="6"/>
  <c r="L150" i="6"/>
  <c r="L149" i="6"/>
  <c r="L148" i="6"/>
  <c r="L147" i="6"/>
  <c r="L146" i="6"/>
  <c r="L145" i="6"/>
  <c r="L144" i="6"/>
  <c r="L143" i="6"/>
  <c r="L142" i="6"/>
  <c r="L141" i="6"/>
  <c r="L140" i="6"/>
  <c r="L139" i="6"/>
  <c r="E137" i="6"/>
  <c r="C137" i="6"/>
  <c r="G136" i="6"/>
  <c r="K130" i="6"/>
  <c r="J130" i="6"/>
  <c r="I130" i="6"/>
  <c r="H130" i="6"/>
  <c r="J103" i="1" s="1"/>
  <c r="G130" i="6"/>
  <c r="C130" i="6"/>
  <c r="L129" i="6"/>
  <c r="L128" i="6"/>
  <c r="L127" i="6"/>
  <c r="L126" i="6"/>
  <c r="L125" i="6"/>
  <c r="L124" i="6"/>
  <c r="L123" i="6"/>
  <c r="L122" i="6"/>
  <c r="L121" i="6"/>
  <c r="L120" i="6"/>
  <c r="L119" i="6"/>
  <c r="L118" i="6"/>
  <c r="L117" i="6"/>
  <c r="L116" i="6"/>
  <c r="L115" i="6"/>
  <c r="L114" i="6"/>
  <c r="L113" i="6"/>
  <c r="L112" i="6"/>
  <c r="E110" i="6"/>
  <c r="G110" i="6" s="1"/>
  <c r="C110" i="6"/>
  <c r="G109" i="6"/>
  <c r="AB46" i="6" s="1"/>
  <c r="K103" i="6"/>
  <c r="J103" i="6"/>
  <c r="I103" i="6"/>
  <c r="H103" i="6"/>
  <c r="G103" i="6"/>
  <c r="C103" i="6"/>
  <c r="L102" i="6"/>
  <c r="L101" i="6"/>
  <c r="L100" i="6"/>
  <c r="L99" i="6"/>
  <c r="L98" i="6"/>
  <c r="L97" i="6"/>
  <c r="L96" i="6"/>
  <c r="L95" i="6"/>
  <c r="L94" i="6"/>
  <c r="L93" i="6"/>
  <c r="L92" i="6"/>
  <c r="L91" i="6"/>
  <c r="L90" i="6"/>
  <c r="L89" i="6"/>
  <c r="L88" i="6"/>
  <c r="L87" i="6"/>
  <c r="L86" i="6"/>
  <c r="L85" i="6"/>
  <c r="E83" i="6"/>
  <c r="G83" i="6" s="1"/>
  <c r="C83" i="6"/>
  <c r="G82" i="6"/>
  <c r="AU6" i="7"/>
  <c r="AU7" i="7"/>
  <c r="AU8" i="7"/>
  <c r="AU9" i="7"/>
  <c r="AU10" i="7"/>
  <c r="AU11" i="7"/>
  <c r="AU12" i="7"/>
  <c r="AU13" i="7"/>
  <c r="AU14" i="7"/>
  <c r="AU15" i="7"/>
  <c r="AU16" i="7"/>
  <c r="AU17" i="7"/>
  <c r="AU18" i="7"/>
  <c r="AU19" i="7"/>
  <c r="AU20" i="7"/>
  <c r="AU21" i="7"/>
  <c r="AU22" i="7"/>
  <c r="AU23" i="7"/>
  <c r="AU24" i="7"/>
  <c r="AU25" i="7"/>
  <c r="I11" i="7"/>
  <c r="I14" i="7"/>
  <c r="I15" i="7"/>
  <c r="I17" i="7"/>
  <c r="I20" i="7"/>
  <c r="I21" i="7"/>
  <c r="I24" i="7"/>
  <c r="I25" i="7"/>
  <c r="BS25" i="7"/>
  <c r="BS24" i="7"/>
  <c r="BS23" i="7"/>
  <c r="BS22" i="7"/>
  <c r="BS21" i="7"/>
  <c r="BS20" i="7"/>
  <c r="BS19" i="7"/>
  <c r="BS18" i="7"/>
  <c r="BS17" i="7"/>
  <c r="BS16" i="7"/>
  <c r="BS15" i="7"/>
  <c r="BS14" i="7"/>
  <c r="BS13" i="7"/>
  <c r="BS12" i="7"/>
  <c r="BS11" i="7"/>
  <c r="BS10" i="7"/>
  <c r="BS9" i="7"/>
  <c r="BS8" i="7"/>
  <c r="BS7" i="7"/>
  <c r="BS6" i="7"/>
  <c r="C23" i="4"/>
  <c r="B23" i="4"/>
  <c r="B23" i="5"/>
  <c r="G8" i="5"/>
  <c r="AA98" i="5"/>
  <c r="AB98" i="5" s="1"/>
  <c r="AA97" i="5"/>
  <c r="AB97" i="5" s="1"/>
  <c r="AA96" i="5"/>
  <c r="AB96" i="5" s="1"/>
  <c r="AA95" i="5"/>
  <c r="AB95" i="5" s="1"/>
  <c r="AA94" i="5"/>
  <c r="C31" i="5" s="1"/>
  <c r="AA93" i="5"/>
  <c r="AB93" i="5" s="1"/>
  <c r="AA92" i="5"/>
  <c r="AB92" i="5" s="1"/>
  <c r="AA91" i="5"/>
  <c r="AB91" i="5" s="1"/>
  <c r="AA90" i="5"/>
  <c r="AB90" i="5" s="1"/>
  <c r="AA89" i="5"/>
  <c r="AB89" i="5" s="1"/>
  <c r="AA88" i="5"/>
  <c r="M18" i="5" s="1"/>
  <c r="C33" i="9"/>
  <c r="C32" i="9"/>
  <c r="B32" i="9"/>
  <c r="C31" i="9"/>
  <c r="B31" i="9"/>
  <c r="C30" i="9"/>
  <c r="B30" i="9"/>
  <c r="C29" i="9"/>
  <c r="B29" i="9"/>
  <c r="C28" i="9"/>
  <c r="B28" i="9"/>
  <c r="C27" i="9"/>
  <c r="B27" i="9"/>
  <c r="C21" i="9"/>
  <c r="C20" i="9"/>
  <c r="B32" i="8"/>
  <c r="A30" i="8"/>
  <c r="E30" i="8" s="1"/>
  <c r="F30" i="8" s="1"/>
  <c r="C30" i="8" s="1"/>
  <c r="D30" i="8" s="1"/>
  <c r="A29" i="8"/>
  <c r="E29" i="8" s="1"/>
  <c r="F29" i="8" s="1"/>
  <c r="C29" i="8" s="1"/>
  <c r="D29" i="8" s="1"/>
  <c r="A28" i="8"/>
  <c r="E28" i="8" s="1"/>
  <c r="F28" i="8" s="1"/>
  <c r="C28" i="8" s="1"/>
  <c r="D28" i="8" s="1"/>
  <c r="A27" i="8"/>
  <c r="E27" i="8" s="1"/>
  <c r="F27" i="8" s="1"/>
  <c r="C27" i="8" s="1"/>
  <c r="D27" i="8" s="1"/>
  <c r="A26" i="8"/>
  <c r="E26" i="8" s="1"/>
  <c r="F26" i="8" s="1"/>
  <c r="C26" i="8" s="1"/>
  <c r="D26" i="8" s="1"/>
  <c r="A25" i="8"/>
  <c r="E25" i="8" s="1"/>
  <c r="F25" i="8" s="1"/>
  <c r="C25" i="8" s="1"/>
  <c r="D25" i="8" s="1"/>
  <c r="N63" i="8" a="1"/>
  <c r="N63" i="8" s="1"/>
  <c r="N62" i="8" a="1"/>
  <c r="N62" i="8" s="1"/>
  <c r="N61" i="8" a="1"/>
  <c r="N61" i="8" s="1"/>
  <c r="N60" i="8" a="1"/>
  <c r="N60" i="8" s="1"/>
  <c r="N59" i="8" a="1"/>
  <c r="N59" i="8" s="1"/>
  <c r="N58" i="8" a="1"/>
  <c r="N58" i="8" s="1"/>
  <c r="N57" i="8" a="1"/>
  <c r="N57" i="8" s="1"/>
  <c r="N56" i="8" a="1"/>
  <c r="N56" i="8" s="1"/>
  <c r="N55" i="8" a="1"/>
  <c r="N55" i="8" s="1"/>
  <c r="N54" i="8" a="1"/>
  <c r="N54" i="8" s="1"/>
  <c r="N53" i="8" a="1"/>
  <c r="N53" i="8" s="1"/>
  <c r="N52" i="8" a="1"/>
  <c r="N52" i="8" s="1"/>
  <c r="N51" i="8" a="1"/>
  <c r="N51" i="8" s="1"/>
  <c r="N50" i="8" a="1"/>
  <c r="N50" i="8" s="1"/>
  <c r="N49" i="8" a="1"/>
  <c r="N49" i="8" s="1"/>
  <c r="N48" i="8" a="1"/>
  <c r="N48" i="8" s="1"/>
  <c r="N47" i="8" a="1"/>
  <c r="N47" i="8" s="1"/>
  <c r="N46" i="8" a="1"/>
  <c r="N46" i="8" s="1"/>
  <c r="N45" i="8" a="1"/>
  <c r="N45" i="8" s="1"/>
  <c r="N44" i="8" a="1"/>
  <c r="N44" i="8" s="1"/>
  <c r="N43" i="8" a="1"/>
  <c r="N43" i="8" s="1"/>
  <c r="N42" i="8" a="1"/>
  <c r="N42" i="8" s="1"/>
  <c r="N41" i="8" a="1"/>
  <c r="N41" i="8" s="1"/>
  <c r="N40" i="8" a="1"/>
  <c r="N40" i="8" s="1"/>
  <c r="N39" i="8" a="1"/>
  <c r="N39" i="8" s="1"/>
  <c r="J39" i="8"/>
  <c r="N38" i="8" a="1"/>
  <c r="N38" i="8"/>
  <c r="J38" i="8"/>
  <c r="N37" i="8" a="1"/>
  <c r="N37" i="8" s="1"/>
  <c r="N36" i="8" a="1"/>
  <c r="N36" i="8" s="1"/>
  <c r="N35" i="8" a="1"/>
  <c r="N35" i="8" s="1"/>
  <c r="N34" i="8" a="1"/>
  <c r="N34" i="8" s="1"/>
  <c r="N33" i="8" a="1"/>
  <c r="N33" i="8" s="1"/>
  <c r="N32" i="8" a="1"/>
  <c r="N32" i="8" s="1"/>
  <c r="N31" i="8" a="1"/>
  <c r="N31" i="8" s="1"/>
  <c r="N30" i="8" a="1"/>
  <c r="N30" i="8" s="1"/>
  <c r="N29" i="8" a="1"/>
  <c r="N29" i="8" s="1"/>
  <c r="N28" i="8" a="1"/>
  <c r="N28" i="8" s="1"/>
  <c r="N27" i="8" a="1"/>
  <c r="N27" i="8" s="1"/>
  <c r="N26" i="8" a="1"/>
  <c r="N26" i="8" s="1"/>
  <c r="N25" i="8" a="1"/>
  <c r="N25" i="8" s="1"/>
  <c r="N24" i="8" a="1"/>
  <c r="N24" i="8" s="1"/>
  <c r="N23" i="8" a="1"/>
  <c r="N23" i="8" s="1"/>
  <c r="N22" i="8" a="1"/>
  <c r="N22" i="8" s="1"/>
  <c r="N21" i="8" a="1"/>
  <c r="N21" i="8" s="1"/>
  <c r="N20" i="8" a="1"/>
  <c r="N20" i="8" s="1"/>
  <c r="A7" i="8"/>
  <c r="H4" i="8"/>
  <c r="A8" i="8" s="1"/>
  <c r="K25" i="7"/>
  <c r="C25" i="7"/>
  <c r="BJ25" i="7" s="1"/>
  <c r="BK25" i="7" s="1"/>
  <c r="K24" i="7"/>
  <c r="C24" i="7"/>
  <c r="F78" i="1" s="1"/>
  <c r="K23" i="7"/>
  <c r="C23" i="7"/>
  <c r="BJ23" i="7" s="1"/>
  <c r="K22" i="7"/>
  <c r="C22" i="7"/>
  <c r="K21" i="7"/>
  <c r="C21" i="7"/>
  <c r="B21" i="7" s="1"/>
  <c r="K20" i="7"/>
  <c r="C20" i="7"/>
  <c r="B20" i="7" s="1"/>
  <c r="K19" i="7"/>
  <c r="C19" i="7"/>
  <c r="B19" i="7" s="1"/>
  <c r="K18" i="7"/>
  <c r="C18" i="7"/>
  <c r="F72" i="1" s="1"/>
  <c r="K17" i="7"/>
  <c r="C17" i="7"/>
  <c r="B17" i="7" s="1"/>
  <c r="K16" i="7"/>
  <c r="C16" i="7"/>
  <c r="AO16" i="7" s="1"/>
  <c r="K15" i="7"/>
  <c r="C15" i="7"/>
  <c r="BJ15" i="7" s="1"/>
  <c r="K14" i="7"/>
  <c r="C14" i="7"/>
  <c r="AO14" i="7" s="1"/>
  <c r="K13" i="7"/>
  <c r="C13" i="7"/>
  <c r="F67" i="1" s="1"/>
  <c r="K12" i="7"/>
  <c r="C12" i="7"/>
  <c r="BJ12" i="7" s="1"/>
  <c r="BO11" i="7"/>
  <c r="AL11" i="7"/>
  <c r="K11" i="7"/>
  <c r="C11" i="7"/>
  <c r="B11" i="7" s="1"/>
  <c r="BO10" i="7"/>
  <c r="AL10" i="7"/>
  <c r="K10" i="7"/>
  <c r="C10" i="7"/>
  <c r="B10" i="7" s="1"/>
  <c r="BO9" i="7"/>
  <c r="AL9" i="7"/>
  <c r="K9" i="7"/>
  <c r="C9" i="7"/>
  <c r="BA9" i="7" s="1"/>
  <c r="BO8" i="7"/>
  <c r="AL8" i="7"/>
  <c r="K8" i="7"/>
  <c r="C8" i="7"/>
  <c r="B8" i="7" s="1"/>
  <c r="BO7" i="7"/>
  <c r="AL7" i="7"/>
  <c r="K7" i="7"/>
  <c r="C7" i="7"/>
  <c r="F61" i="1" s="1"/>
  <c r="BO6" i="7"/>
  <c r="AL6" i="7"/>
  <c r="K6" i="7"/>
  <c r="C6" i="7"/>
  <c r="BA6" i="7" s="1"/>
  <c r="B6" i="7"/>
  <c r="BB3" i="7" a="1"/>
  <c r="BB3" i="7" s="1"/>
  <c r="BB2" i="7" a="1"/>
  <c r="BB2" i="7" s="1"/>
  <c r="Y2" i="7"/>
  <c r="Y14" i="7" s="1"/>
  <c r="C61" i="6"/>
  <c r="C60" i="6"/>
  <c r="F60" i="6" s="1" a="1"/>
  <c r="F60" i="6" s="1"/>
  <c r="C59" i="6"/>
  <c r="C58" i="6"/>
  <c r="F58" i="6" s="1" a="1"/>
  <c r="F58" i="6" s="1"/>
  <c r="C57" i="6"/>
  <c r="C56" i="6"/>
  <c r="D56" i="6" s="1"/>
  <c r="C55" i="6"/>
  <c r="C54" i="6"/>
  <c r="F54" i="6" s="1" a="1"/>
  <c r="F54" i="6" s="1"/>
  <c r="C53" i="6"/>
  <c r="C52" i="6"/>
  <c r="F52" i="6" s="1" a="1"/>
  <c r="F52" i="6" s="1"/>
  <c r="C51" i="6"/>
  <c r="C50" i="6"/>
  <c r="C49" i="6"/>
  <c r="C48" i="6"/>
  <c r="B48" i="6" s="1"/>
  <c r="C47" i="6"/>
  <c r="C46" i="6"/>
  <c r="D46" i="6" s="1"/>
  <c r="C45" i="6"/>
  <c r="E45" i="6" s="1" a="1"/>
  <c r="E45" i="6" s="1"/>
  <c r="C44" i="6"/>
  <c r="C43" i="6"/>
  <c r="F43" i="6" s="1" a="1"/>
  <c r="F43" i="6" s="1"/>
  <c r="C42" i="6"/>
  <c r="F42" i="6" s="1" a="1"/>
  <c r="F42" i="6" s="1"/>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C25" i="4"/>
  <c r="C24" i="4"/>
  <c r="C22" i="4"/>
  <c r="AK22" i="4" s="1"/>
  <c r="B22" i="4"/>
  <c r="C21" i="4"/>
  <c r="AK21" i="4" s="1"/>
  <c r="B21" i="4"/>
  <c r="C20" i="4"/>
  <c r="AK20" i="4" s="1"/>
  <c r="B20" i="4"/>
  <c r="C19" i="4"/>
  <c r="AK19" i="4" s="1"/>
  <c r="B19" i="4"/>
  <c r="C18" i="4"/>
  <c r="AK18" i="4" s="1"/>
  <c r="B18" i="4"/>
  <c r="C17" i="4"/>
  <c r="AH17" i="4" s="1"/>
  <c r="B17" i="4"/>
  <c r="C16" i="4"/>
  <c r="AH16" i="4" s="1"/>
  <c r="B16" i="4"/>
  <c r="C15" i="4"/>
  <c r="AK15" i="4" s="1"/>
  <c r="B15" i="4"/>
  <c r="C14" i="4"/>
  <c r="AK14" i="4" s="1"/>
  <c r="B14" i="4"/>
  <c r="C13" i="4"/>
  <c r="B13" i="4"/>
  <c r="C12" i="4"/>
  <c r="B12" i="4"/>
  <c r="C11" i="4"/>
  <c r="B11" i="4"/>
  <c r="C10" i="4"/>
  <c r="AK10" i="4" s="1"/>
  <c r="B10" i="4"/>
  <c r="C9" i="4"/>
  <c r="AJ9" i="4" s="1"/>
  <c r="B9" i="4"/>
  <c r="C8" i="4"/>
  <c r="AJ8" i="4" s="1"/>
  <c r="B8" i="4"/>
  <c r="C7" i="4"/>
  <c r="AJ7" i="4" s="1"/>
  <c r="B7" i="4"/>
  <c r="C6" i="4"/>
  <c r="AI6" i="4" s="1"/>
  <c r="B6" i="4"/>
  <c r="CM69" i="3"/>
  <c r="CK69" i="3"/>
  <c r="CI69" i="3"/>
  <c r="CG69" i="3"/>
  <c r="CE69" i="3"/>
  <c r="CC69" i="3"/>
  <c r="CA69" i="3"/>
  <c r="BY69" i="3"/>
  <c r="BW69" i="3"/>
  <c r="BU69" i="3"/>
  <c r="BS69" i="3"/>
  <c r="BQ69" i="3"/>
  <c r="BO69" i="3"/>
  <c r="BM69" i="3"/>
  <c r="BK69" i="3"/>
  <c r="BI69" i="3"/>
  <c r="BG69" i="3"/>
  <c r="BE69" i="3"/>
  <c r="BC69" i="3"/>
  <c r="BA69" i="3"/>
  <c r="AY69" i="3"/>
  <c r="AW69" i="3"/>
  <c r="AU69" i="3"/>
  <c r="AS69" i="3"/>
  <c r="AQ69" i="3"/>
  <c r="AO69" i="3"/>
  <c r="AM69" i="3"/>
  <c r="AK69" i="3"/>
  <c r="AI69" i="3"/>
  <c r="AG69" i="3"/>
  <c r="AE69" i="3"/>
  <c r="AC69" i="3"/>
  <c r="AA69" i="3"/>
  <c r="Y69" i="3"/>
  <c r="W69" i="3"/>
  <c r="U69" i="3"/>
  <c r="S69" i="3"/>
  <c r="Q69" i="3"/>
  <c r="O69" i="3"/>
  <c r="M69" i="3"/>
  <c r="K69" i="3"/>
  <c r="I69" i="3"/>
  <c r="G69" i="3"/>
  <c r="E69" i="3"/>
  <c r="GO24" i="3"/>
  <c r="GN24" i="3"/>
  <c r="GM24" i="3"/>
  <c r="GK24" i="3"/>
  <c r="GJ24" i="3"/>
  <c r="GI24" i="3"/>
  <c r="GG24" i="3"/>
  <c r="GF24" i="3" a="1"/>
  <c r="GF24" i="3" s="1"/>
  <c r="GD24" i="3"/>
  <c r="GA24" i="3"/>
  <c r="GO23" i="3"/>
  <c r="GN23" i="3"/>
  <c r="GM23" i="3"/>
  <c r="GK23" i="3"/>
  <c r="GJ23" i="3"/>
  <c r="GI23" i="3"/>
  <c r="GG23" i="3"/>
  <c r="GF23" i="3" a="1"/>
  <c r="GF23" i="3" s="1"/>
  <c r="GD23" i="3"/>
  <c r="GA23" i="3"/>
  <c r="GO22" i="3"/>
  <c r="GI22" i="3"/>
  <c r="GG22" i="3"/>
  <c r="GD22" i="3"/>
  <c r="GA22" i="3"/>
  <c r="GO21" i="3"/>
  <c r="GI21" i="3"/>
  <c r="GG21" i="3"/>
  <c r="GD21" i="3"/>
  <c r="GA21" i="3"/>
  <c r="GO20" i="3"/>
  <c r="GI20" i="3"/>
  <c r="GG20" i="3"/>
  <c r="GJ20" i="3" s="1"/>
  <c r="GD20" i="3"/>
  <c r="GA20" i="3"/>
  <c r="GO19" i="3"/>
  <c r="GI19" i="3"/>
  <c r="GG19" i="3"/>
  <c r="GJ19" i="3" s="1"/>
  <c r="GD19" i="3"/>
  <c r="GA19" i="3"/>
  <c r="GO18" i="3"/>
  <c r="GI18" i="3"/>
  <c r="GG18" i="3"/>
  <c r="GJ18" i="3" s="1"/>
  <c r="GD18" i="3"/>
  <c r="GA18" i="3"/>
  <c r="GO17" i="3"/>
  <c r="GI17" i="3"/>
  <c r="GG17" i="3"/>
  <c r="GJ17" i="3" s="1"/>
  <c r="GD17" i="3"/>
  <c r="GA17" i="3"/>
  <c r="GO16" i="3"/>
  <c r="GI16" i="3"/>
  <c r="GG16" i="3"/>
  <c r="GJ16" i="3" s="1"/>
  <c r="GD16" i="3"/>
  <c r="GA16" i="3"/>
  <c r="GO15" i="3"/>
  <c r="GI15" i="3"/>
  <c r="GG15" i="3"/>
  <c r="GJ15" i="3" s="1"/>
  <c r="GD15" i="3"/>
  <c r="GA15" i="3"/>
  <c r="GO14" i="3"/>
  <c r="GI14" i="3"/>
  <c r="GG14" i="3"/>
  <c r="GJ14" i="3" s="1"/>
  <c r="GD14" i="3"/>
  <c r="GA14" i="3"/>
  <c r="GO13" i="3"/>
  <c r="GI13" i="3"/>
  <c r="GG13" i="3"/>
  <c r="GJ13" i="3" s="1"/>
  <c r="GD13" i="3"/>
  <c r="GA13" i="3"/>
  <c r="GO12" i="3"/>
  <c r="GI12" i="3"/>
  <c r="GG12" i="3"/>
  <c r="GJ12" i="3" s="1"/>
  <c r="GD12" i="3"/>
  <c r="GA12" i="3"/>
  <c r="GO11" i="3"/>
  <c r="GI11" i="3"/>
  <c r="GG11" i="3"/>
  <c r="GJ11" i="3" s="1"/>
  <c r="GD11" i="3"/>
  <c r="GA11" i="3"/>
  <c r="GO10" i="3"/>
  <c r="GI10" i="3"/>
  <c r="GG10" i="3"/>
  <c r="GJ10" i="3" s="1"/>
  <c r="GD10" i="3"/>
  <c r="GA10" i="3"/>
  <c r="GO9" i="3"/>
  <c r="GI9" i="3"/>
  <c r="GG9" i="3"/>
  <c r="GJ9" i="3" s="1"/>
  <c r="GD9" i="3"/>
  <c r="GA9" i="3"/>
  <c r="GO8" i="3"/>
  <c r="GI8" i="3"/>
  <c r="GG8" i="3"/>
  <c r="GD8" i="3"/>
  <c r="GA8" i="3"/>
  <c r="GO7" i="3"/>
  <c r="GI7" i="3"/>
  <c r="GG7" i="3"/>
  <c r="GJ7" i="3" s="1"/>
  <c r="GD7" i="3"/>
  <c r="GA7" i="3"/>
  <c r="GO6" i="3"/>
  <c r="GI6" i="3"/>
  <c r="GG6" i="3"/>
  <c r="GJ6" i="3" s="1"/>
  <c r="GD6" i="3"/>
  <c r="GA6" i="3"/>
  <c r="GO5" i="3"/>
  <c r="GI5" i="3"/>
  <c r="GG5" i="3"/>
  <c r="GJ5" i="3" s="1"/>
  <c r="GD5" i="3"/>
  <c r="GA5" i="3"/>
  <c r="GG2" i="3"/>
  <c r="GF2" i="3"/>
  <c r="GE2" i="3"/>
  <c r="GH2" i="3" s="1"/>
  <c r="AB25" i="2"/>
  <c r="AA25" i="2"/>
  <c r="Z25" i="2"/>
  <c r="Y25" i="2"/>
  <c r="X25" i="2"/>
  <c r="W25" i="2"/>
  <c r="V25" i="2"/>
  <c r="U25" i="2"/>
  <c r="T25" i="2"/>
  <c r="S25" i="2"/>
  <c r="R25" i="2"/>
  <c r="Q25" i="2"/>
  <c r="P25" i="2"/>
  <c r="O25" i="2"/>
  <c r="N25" i="2"/>
  <c r="M25" i="2"/>
  <c r="L25" i="2"/>
  <c r="K25" i="2"/>
  <c r="J25" i="2"/>
  <c r="I25" i="2"/>
  <c r="H25" i="2"/>
  <c r="G25" i="2"/>
  <c r="F25" i="2"/>
  <c r="E25" i="2"/>
  <c r="AN24" i="2"/>
  <c r="AK24" i="2"/>
  <c r="AJ24" i="2"/>
  <c r="AI24" i="2"/>
  <c r="AH24" i="2"/>
  <c r="AG24" i="2"/>
  <c r="AF24" i="2"/>
  <c r="AE24" i="2"/>
  <c r="AD24" i="2"/>
  <c r="AN23" i="2"/>
  <c r="AK23" i="2"/>
  <c r="AJ23" i="2"/>
  <c r="AI23" i="2"/>
  <c r="AH23" i="2"/>
  <c r="AG23" i="2"/>
  <c r="AF23" i="2"/>
  <c r="AE23" i="2"/>
  <c r="AD23" i="2"/>
  <c r="AN22" i="2"/>
  <c r="AK22" i="2"/>
  <c r="AI22" i="2" s="1"/>
  <c r="AH22" i="2"/>
  <c r="AF22" i="2"/>
  <c r="AG22" i="2" s="1"/>
  <c r="AE22" i="2"/>
  <c r="AD22" i="2"/>
  <c r="AN21" i="2"/>
  <c r="AK21" i="2"/>
  <c r="AH21" i="2"/>
  <c r="AF21" i="2"/>
  <c r="AE21" i="2"/>
  <c r="AD21" i="2"/>
  <c r="AN20" i="2"/>
  <c r="AK20" i="2"/>
  <c r="AH20" i="2"/>
  <c r="AF20" i="2"/>
  <c r="AE20" i="2"/>
  <c r="AD20" i="2"/>
  <c r="AN19" i="2"/>
  <c r="AK19" i="2"/>
  <c r="AH19" i="2"/>
  <c r="AF19" i="2"/>
  <c r="AE19" i="2"/>
  <c r="AD19" i="2"/>
  <c r="AN18" i="2"/>
  <c r="AK18" i="2"/>
  <c r="AH18" i="2"/>
  <c r="AF18" i="2"/>
  <c r="AE18" i="2"/>
  <c r="AD18" i="2"/>
  <c r="AN17" i="2"/>
  <c r="AK17" i="2"/>
  <c r="AH17" i="2"/>
  <c r="AF17" i="2"/>
  <c r="AE17" i="2"/>
  <c r="AD17" i="2"/>
  <c r="AN16" i="2"/>
  <c r="AK16" i="2"/>
  <c r="AH16" i="2"/>
  <c r="AF16" i="2"/>
  <c r="AE16" i="2"/>
  <c r="AD16" i="2"/>
  <c r="AN15" i="2"/>
  <c r="AK15" i="2"/>
  <c r="AH15" i="2"/>
  <c r="AF15" i="2"/>
  <c r="AE15" i="2"/>
  <c r="AG15" i="2" s="1"/>
  <c r="AD15" i="2"/>
  <c r="AN14" i="2"/>
  <c r="AK14" i="2"/>
  <c r="AH14" i="2"/>
  <c r="AF14" i="2"/>
  <c r="AE14" i="2"/>
  <c r="AD14" i="2"/>
  <c r="AN13" i="2"/>
  <c r="AK13" i="2"/>
  <c r="AH13" i="2"/>
  <c r="AF13" i="2"/>
  <c r="AE13" i="2"/>
  <c r="AD13" i="2"/>
  <c r="AN12" i="2"/>
  <c r="AK12" i="2"/>
  <c r="AH12" i="2"/>
  <c r="AF12" i="2"/>
  <c r="AE12" i="2"/>
  <c r="AD12" i="2"/>
  <c r="AN11" i="2"/>
  <c r="AK11" i="2"/>
  <c r="AH11" i="2"/>
  <c r="AF11" i="2"/>
  <c r="AE11" i="2"/>
  <c r="AD11" i="2"/>
  <c r="AN10" i="2"/>
  <c r="AK10" i="2"/>
  <c r="AH10" i="2"/>
  <c r="AF10" i="2"/>
  <c r="AE10" i="2"/>
  <c r="AD10" i="2"/>
  <c r="AN9" i="2"/>
  <c r="AK9" i="2"/>
  <c r="AH9" i="2"/>
  <c r="AF9" i="2"/>
  <c r="AE9" i="2"/>
  <c r="AD9" i="2"/>
  <c r="AN8" i="2"/>
  <c r="AK8" i="2"/>
  <c r="AH8" i="2"/>
  <c r="AF8" i="2"/>
  <c r="AE8" i="2"/>
  <c r="AD8" i="2"/>
  <c r="AN7" i="2"/>
  <c r="AK7" i="2"/>
  <c r="AH7" i="2"/>
  <c r="AF7" i="2"/>
  <c r="AE7" i="2"/>
  <c r="AD7" i="2"/>
  <c r="AN6" i="2"/>
  <c r="AK6" i="2"/>
  <c r="AH6" i="2"/>
  <c r="AF6" i="2"/>
  <c r="AE6" i="2"/>
  <c r="AD6" i="2"/>
  <c r="AN5" i="2"/>
  <c r="AK5" i="2"/>
  <c r="AH5" i="2"/>
  <c r="AF5" i="2"/>
  <c r="AE5" i="2"/>
  <c r="AD5" i="2"/>
  <c r="AM3" i="2"/>
  <c r="F86" i="1"/>
  <c r="F74" i="1"/>
  <c r="F69" i="1"/>
  <c r="D65" i="1"/>
  <c r="B65" i="1"/>
  <c r="D64" i="1"/>
  <c r="B64" i="1"/>
  <c r="D63" i="1"/>
  <c r="B63" i="1"/>
  <c r="D62" i="1"/>
  <c r="B62" i="1"/>
  <c r="D61" i="1"/>
  <c r="B61" i="1"/>
  <c r="D60" i="1"/>
  <c r="B60" i="1"/>
  <c r="AF54" i="1"/>
  <c r="AO54" i="1" s="1"/>
  <c r="AF53" i="1"/>
  <c r="AY53" i="1" s="1"/>
  <c r="AF52" i="1"/>
  <c r="BB52" i="1" s="1"/>
  <c r="AF51" i="1"/>
  <c r="BD51" i="1" s="1"/>
  <c r="AF50" i="1"/>
  <c r="AS50" i="1" s="1"/>
  <c r="AF49" i="1"/>
  <c r="AX49" i="1" s="1"/>
  <c r="AF48" i="1"/>
  <c r="AT48" i="1" s="1"/>
  <c r="AF47" i="1"/>
  <c r="AX47" i="1" s="1"/>
  <c r="AF46" i="1"/>
  <c r="BC46" i="1" s="1"/>
  <c r="AF45" i="1"/>
  <c r="BC45" i="1" s="1"/>
  <c r="AF44" i="1"/>
  <c r="BC44" i="1" s="1"/>
  <c r="AF43" i="1"/>
  <c r="AX43" i="1" s="1"/>
  <c r="AF42" i="1"/>
  <c r="AT42" i="1" s="1"/>
  <c r="AF41" i="1"/>
  <c r="AL41" i="1" s="1"/>
  <c r="AF40" i="1"/>
  <c r="AU40" i="1" s="1"/>
  <c r="AF39" i="1"/>
  <c r="BD39" i="1" s="1"/>
  <c r="AF38" i="1"/>
  <c r="AS38" i="1" s="1"/>
  <c r="AF37" i="1"/>
  <c r="AM37" i="1" s="1"/>
  <c r="AF36" i="1"/>
  <c r="AL36" i="1" s="1"/>
  <c r="AF35" i="1"/>
  <c r="AJ35" i="1" s="1"/>
  <c r="D141" i="5"/>
  <c r="O6" i="5" s="1"/>
  <c r="D140" i="5"/>
  <c r="N6" i="5" s="1"/>
  <c r="C83" i="5"/>
  <c r="C82" i="5"/>
  <c r="G82" i="5" s="1" a="1"/>
  <c r="G82" i="5" s="1"/>
  <c r="R82" i="5" s="1"/>
  <c r="C81" i="5"/>
  <c r="C80" i="5"/>
  <c r="E80" i="5" s="1"/>
  <c r="C79" i="5"/>
  <c r="E79" i="5" s="1"/>
  <c r="C78" i="5"/>
  <c r="C77" i="5"/>
  <c r="C76" i="5"/>
  <c r="D76" i="5" s="1"/>
  <c r="M76" i="5" s="1" a="1"/>
  <c r="M76" i="5" s="1"/>
  <c r="X76" i="5" s="1"/>
  <c r="C75" i="5"/>
  <c r="C74" i="5"/>
  <c r="E74" i="5" s="1"/>
  <c r="B74" i="5"/>
  <c r="C73" i="5"/>
  <c r="F73" i="5" s="1"/>
  <c r="C72" i="5"/>
  <c r="K87" i="5" s="1"/>
  <c r="C71" i="5"/>
  <c r="B71" i="5" s="1"/>
  <c r="C70" i="5"/>
  <c r="I87" i="5" s="1"/>
  <c r="C69" i="5"/>
  <c r="H87" i="5" s="1"/>
  <c r="C68" i="5"/>
  <c r="B68" i="5" s="1"/>
  <c r="C67" i="5"/>
  <c r="C121" i="5" s="1"/>
  <c r="B67" i="5"/>
  <c r="C66" i="5"/>
  <c r="E87" i="5" s="1"/>
  <c r="C65" i="5"/>
  <c r="C64" i="5"/>
  <c r="E64" i="5" s="1"/>
  <c r="D10" i="5"/>
  <c r="C4" i="8" l="1"/>
  <c r="D4" i="8" s="1"/>
  <c r="AB30" i="8" a="1"/>
  <c r="AB30" i="8" s="1"/>
  <c r="D205" i="5"/>
  <c r="B205" i="5"/>
  <c r="G205" i="5"/>
  <c r="F205" i="5"/>
  <c r="E205" i="5"/>
  <c r="B206" i="5"/>
  <c r="G206" i="5"/>
  <c r="F206" i="5"/>
  <c r="E206" i="5"/>
  <c r="D206" i="5"/>
  <c r="E207" i="5"/>
  <c r="D207" i="5"/>
  <c r="G207" i="5"/>
  <c r="F207" i="5"/>
  <c r="B207" i="5"/>
  <c r="B208" i="5"/>
  <c r="G208" i="5"/>
  <c r="F208" i="5"/>
  <c r="D208" i="5"/>
  <c r="E208" i="5"/>
  <c r="G209" i="5"/>
  <c r="B209" i="5"/>
  <c r="F209" i="5"/>
  <c r="E209" i="5"/>
  <c r="D209" i="5"/>
  <c r="G198" i="5"/>
  <c r="F198" i="5"/>
  <c r="E198" i="5"/>
  <c r="D198" i="5"/>
  <c r="B198" i="5"/>
  <c r="F199" i="5"/>
  <c r="E199" i="5"/>
  <c r="B199" i="5"/>
  <c r="D199" i="5"/>
  <c r="G199" i="5"/>
  <c r="G212" i="5"/>
  <c r="F212" i="5"/>
  <c r="D212" i="5"/>
  <c r="E212" i="5"/>
  <c r="B212" i="5"/>
  <c r="F213" i="5"/>
  <c r="G213" i="5"/>
  <c r="E213" i="5"/>
  <c r="D213" i="5"/>
  <c r="B213" i="5"/>
  <c r="B214" i="5"/>
  <c r="E214" i="5"/>
  <c r="G214" i="5"/>
  <c r="F214" i="5"/>
  <c r="D214" i="5"/>
  <c r="D200" i="5"/>
  <c r="E200" i="5"/>
  <c r="G200" i="5"/>
  <c r="F200" i="5"/>
  <c r="B200" i="5"/>
  <c r="B203" i="5"/>
  <c r="G203" i="5"/>
  <c r="D203" i="5"/>
  <c r="F203" i="5"/>
  <c r="E203" i="5"/>
  <c r="G216" i="5"/>
  <c r="E216" i="5"/>
  <c r="B216" i="5"/>
  <c r="F216" i="5"/>
  <c r="D216" i="5"/>
  <c r="B215" i="5"/>
  <c r="B204" i="5"/>
  <c r="D215" i="5"/>
  <c r="F211" i="5"/>
  <c r="E215" i="5"/>
  <c r="D211" i="5"/>
  <c r="E211" i="5"/>
  <c r="G211" i="5"/>
  <c r="B210" i="5"/>
  <c r="F215" i="5"/>
  <c r="B202" i="5"/>
  <c r="E210" i="5"/>
  <c r="F210" i="5"/>
  <c r="D210" i="5"/>
  <c r="D202" i="5"/>
  <c r="G175" i="5"/>
  <c r="F175" i="5"/>
  <c r="D175" i="5"/>
  <c r="B175" i="5"/>
  <c r="E175" i="5"/>
  <c r="F176" i="5"/>
  <c r="D176" i="5"/>
  <c r="B176" i="5"/>
  <c r="G176" i="5"/>
  <c r="E176" i="5"/>
  <c r="G184" i="5"/>
  <c r="F184" i="5"/>
  <c r="E184" i="5"/>
  <c r="D184" i="5"/>
  <c r="B184" i="5"/>
  <c r="D177" i="5"/>
  <c r="G177" i="5"/>
  <c r="F177" i="5"/>
  <c r="E177" i="5"/>
  <c r="B177" i="5"/>
  <c r="B185" i="5"/>
  <c r="G185" i="5"/>
  <c r="F185" i="5"/>
  <c r="E185" i="5"/>
  <c r="D185" i="5"/>
  <c r="E186" i="5"/>
  <c r="B186" i="5"/>
  <c r="G186" i="5"/>
  <c r="F186" i="5"/>
  <c r="D186" i="5"/>
  <c r="G187" i="5"/>
  <c r="F187" i="5"/>
  <c r="E187" i="5"/>
  <c r="D187" i="5"/>
  <c r="B187" i="5"/>
  <c r="F183" i="5"/>
  <c r="B183" i="5"/>
  <c r="G183" i="5"/>
  <c r="E183" i="5"/>
  <c r="D183" i="5"/>
  <c r="D189" i="5"/>
  <c r="G189" i="5"/>
  <c r="F189" i="5"/>
  <c r="E189" i="5"/>
  <c r="B189" i="5"/>
  <c r="G190" i="5"/>
  <c r="F190" i="5"/>
  <c r="E190" i="5"/>
  <c r="D190" i="5"/>
  <c r="B190" i="5"/>
  <c r="B191" i="5"/>
  <c r="D191" i="5"/>
  <c r="E191" i="5"/>
  <c r="G191" i="5"/>
  <c r="F191" i="5"/>
  <c r="B180" i="5"/>
  <c r="G180" i="5"/>
  <c r="F180" i="5"/>
  <c r="E180" i="5"/>
  <c r="D180" i="5"/>
  <c r="G193" i="5"/>
  <c r="F193" i="5"/>
  <c r="E193" i="5"/>
  <c r="D193" i="5"/>
  <c r="B193" i="5"/>
  <c r="D181" i="5"/>
  <c r="E182" i="5"/>
  <c r="F182" i="5"/>
  <c r="D188" i="5"/>
  <c r="B192" i="5"/>
  <c r="B181" i="5"/>
  <c r="D192" i="5"/>
  <c r="E192" i="5"/>
  <c r="F192" i="5"/>
  <c r="E178" i="5"/>
  <c r="F178" i="5"/>
  <c r="E181" i="5"/>
  <c r="F181" i="5"/>
  <c r="B182" i="5"/>
  <c r="F161" i="5"/>
  <c r="AS78" i="5"/>
  <c r="AT78" i="5"/>
  <c r="AH73" i="5"/>
  <c r="AI72" i="5"/>
  <c r="AJ71" i="5"/>
  <c r="AJ82" i="5"/>
  <c r="AK81" i="5"/>
  <c r="AH69" i="5"/>
  <c r="AH81" i="5"/>
  <c r="AI80" i="5"/>
  <c r="AK78" i="5"/>
  <c r="AH67" i="5"/>
  <c r="AI79" i="5"/>
  <c r="AK65" i="5"/>
  <c r="AK76" i="5"/>
  <c r="AI76" i="5"/>
  <c r="AH76" i="5"/>
  <c r="AI75" i="5"/>
  <c r="AJ73" i="5"/>
  <c r="AH72" i="5"/>
  <c r="AI71" i="5"/>
  <c r="AK70" i="5"/>
  <c r="AI83" i="5"/>
  <c r="AJ68" i="5"/>
  <c r="AH78" i="5"/>
  <c r="AI65" i="5"/>
  <c r="AH64" i="5"/>
  <c r="AH77" i="5"/>
  <c r="AJ75" i="5"/>
  <c r="AI74" i="5"/>
  <c r="AK72" i="5"/>
  <c r="AH71" i="5"/>
  <c r="AJ70" i="5"/>
  <c r="AI70" i="5"/>
  <c r="AK69" i="5"/>
  <c r="AK83" i="5"/>
  <c r="AH70" i="5"/>
  <c r="AJ69" i="5"/>
  <c r="AK82" i="5"/>
  <c r="AI69" i="5"/>
  <c r="AK68" i="5"/>
  <c r="AJ81" i="5"/>
  <c r="AI68" i="5"/>
  <c r="AK67" i="5"/>
  <c r="AJ80" i="5"/>
  <c r="AK79" i="5"/>
  <c r="AI67" i="5"/>
  <c r="AJ79" i="5"/>
  <c r="AH80" i="5"/>
  <c r="AJ76" i="5"/>
  <c r="AK75" i="5"/>
  <c r="AK74" i="5"/>
  <c r="AH82" i="5"/>
  <c r="AI81" i="5"/>
  <c r="AK80" i="5"/>
  <c r="AH68" i="5"/>
  <c r="AJ67" i="5"/>
  <c r="AK66" i="5"/>
  <c r="I147" i="5"/>
  <c r="AJ66" i="5"/>
  <c r="AJ78" i="5"/>
  <c r="AI66" i="5"/>
  <c r="AJ77" i="5"/>
  <c r="AI77" i="5"/>
  <c r="G147" i="5"/>
  <c r="AI78" i="5"/>
  <c r="AK77" i="5"/>
  <c r="AH66" i="5"/>
  <c r="AJ65" i="5"/>
  <c r="AK64" i="5"/>
  <c r="AI64" i="5"/>
  <c r="AK73" i="5"/>
  <c r="F151" i="5" s="1"/>
  <c r="AH74" i="5"/>
  <c r="AI73" i="5"/>
  <c r="AJ72" i="5"/>
  <c r="AK71" i="5"/>
  <c r="H147" i="5"/>
  <c r="I148" i="5"/>
  <c r="H148" i="5"/>
  <c r="I149" i="5"/>
  <c r="H149" i="5"/>
  <c r="G149" i="5"/>
  <c r="I150" i="5"/>
  <c r="H150" i="5"/>
  <c r="I153" i="5"/>
  <c r="H153" i="5"/>
  <c r="G153" i="5"/>
  <c r="AJ83" i="5"/>
  <c r="C148" i="5" a="1"/>
  <c r="C148" i="5" s="1"/>
  <c r="D148" i="5" s="1"/>
  <c r="G148" i="5" s="1"/>
  <c r="C150" i="5" a="1"/>
  <c r="C150" i="5" s="1"/>
  <c r="D150" i="5" s="1"/>
  <c r="G150" i="5" s="1"/>
  <c r="C152" i="5" a="1"/>
  <c r="C152" i="5" s="1"/>
  <c r="D152" i="5" s="1"/>
  <c r="C154" i="5" a="1"/>
  <c r="C154" i="5" s="1"/>
  <c r="D154" i="5" s="1"/>
  <c r="C156" i="5" a="1"/>
  <c r="C156" i="5" s="1"/>
  <c r="D156" i="5" s="1"/>
  <c r="AI82" i="5"/>
  <c r="AH83" i="5"/>
  <c r="H146" i="5"/>
  <c r="I146" i="5"/>
  <c r="AH79" i="5"/>
  <c r="AG80" i="5"/>
  <c r="AJ64" i="5"/>
  <c r="AH65" i="5"/>
  <c r="AJ74" i="5"/>
  <c r="AH75" i="5"/>
  <c r="AB27" i="8" a="1"/>
  <c r="AB27" i="8" s="1"/>
  <c r="AB29" i="8" a="1"/>
  <c r="AB29" i="8" s="1"/>
  <c r="AB25" i="8" a="1"/>
  <c r="AB25" i="8" s="1"/>
  <c r="AB38" i="8" a="1"/>
  <c r="AB38" i="8" s="1"/>
  <c r="AB39" i="8" a="1"/>
  <c r="AB39" i="8" s="1"/>
  <c r="AB37" i="8" a="1"/>
  <c r="AB37" i="8" s="1"/>
  <c r="AB35" i="8" a="1"/>
  <c r="AB35" i="8" s="1"/>
  <c r="AB28" i="8" a="1"/>
  <c r="AB28" i="8" s="1"/>
  <c r="AB23" i="8" a="1"/>
  <c r="AB23" i="8" s="1"/>
  <c r="AB31" i="8" a="1"/>
  <c r="AB31" i="8" s="1"/>
  <c r="AB24" i="8" a="1"/>
  <c r="AB24" i="8" s="1"/>
  <c r="AB41" i="8" a="1"/>
  <c r="AB41" i="8" s="1"/>
  <c r="AB40" i="8" a="1"/>
  <c r="AB40" i="8" s="1"/>
  <c r="AB26" i="8" a="1"/>
  <c r="AB26" i="8" s="1"/>
  <c r="AB20" i="8" a="1"/>
  <c r="AB20" i="8" s="1"/>
  <c r="AB21" i="8" a="1"/>
  <c r="AB21" i="8" s="1"/>
  <c r="AB22" i="8" a="1"/>
  <c r="AB22" i="8" s="1"/>
  <c r="AB33" i="8" a="1"/>
  <c r="AB33" i="8" s="1"/>
  <c r="AB36" i="8" a="1"/>
  <c r="AB36" i="8" s="1"/>
  <c r="AB32" i="8" a="1"/>
  <c r="AB32" i="8" s="1"/>
  <c r="AB34" i="8" a="1"/>
  <c r="AB34" i="8" s="1"/>
  <c r="GM12" i="3"/>
  <c r="GM11" i="3"/>
  <c r="GM10" i="3"/>
  <c r="GM8" i="3"/>
  <c r="GM7" i="3"/>
  <c r="GM5" i="3"/>
  <c r="J102" i="1"/>
  <c r="J108" i="1"/>
  <c r="J101" i="1"/>
  <c r="J107" i="1"/>
  <c r="J98" i="1"/>
  <c r="J93" i="1"/>
  <c r="GK7" i="3"/>
  <c r="GK9" i="3"/>
  <c r="GK15" i="3"/>
  <c r="G16" i="7" s="1"/>
  <c r="BG45" i="1" s="1"/>
  <c r="GK18" i="3"/>
  <c r="GK16" i="3"/>
  <c r="J97" i="1"/>
  <c r="GK6" i="3"/>
  <c r="GK5" i="3"/>
  <c r="G6" i="7" s="1"/>
  <c r="Q6" i="7" s="1"/>
  <c r="GK10" i="3"/>
  <c r="I97" i="1"/>
  <c r="D28" i="6" a="1"/>
  <c r="D28" i="6" s="1"/>
  <c r="E28" i="6" a="1"/>
  <c r="E28" i="6" s="1"/>
  <c r="D19" i="6" a="1"/>
  <c r="D19" i="6" s="1"/>
  <c r="G33" i="6" a="1"/>
  <c r="G33" i="6" s="1"/>
  <c r="GK12" i="3"/>
  <c r="GK14" i="3"/>
  <c r="GK11" i="3"/>
  <c r="GK8" i="3"/>
  <c r="AI51" i="6"/>
  <c r="I51" i="6" s="1" a="1"/>
  <c r="I51" i="6" s="1"/>
  <c r="AI50" i="6"/>
  <c r="G50" i="6" s="1" a="1"/>
  <c r="G50" i="6" s="1"/>
  <c r="H50" i="6" s="1"/>
  <c r="AI49" i="6"/>
  <c r="G49" i="6" s="1" a="1"/>
  <c r="G49" i="6" s="1"/>
  <c r="H49" i="6" s="1"/>
  <c r="AI48" i="6"/>
  <c r="G48" i="6" s="1" a="1"/>
  <c r="G48" i="6" s="1"/>
  <c r="H48" i="6" s="1"/>
  <c r="AI47" i="6"/>
  <c r="G47" i="6" s="1" a="1"/>
  <c r="G47" i="6" s="1"/>
  <c r="H47" i="6" s="1"/>
  <c r="AI46" i="6"/>
  <c r="J46" i="6" s="1" a="1"/>
  <c r="J46" i="6" s="1"/>
  <c r="AI45" i="6"/>
  <c r="K45" i="6" s="1" a="1"/>
  <c r="K45" i="6" s="1"/>
  <c r="AI44" i="6"/>
  <c r="J44" i="6" s="1" a="1"/>
  <c r="J44" i="6" s="1"/>
  <c r="AI43" i="6"/>
  <c r="J43" i="6" s="1" a="1"/>
  <c r="J43" i="6" s="1"/>
  <c r="AI42" i="6"/>
  <c r="G42" i="6" s="1" a="1"/>
  <c r="G42" i="6" s="1"/>
  <c r="H42" i="6" s="1"/>
  <c r="I19" i="6" a="1"/>
  <c r="I19" i="6" s="1"/>
  <c r="H22" i="6" a="1"/>
  <c r="H22" i="6" s="1"/>
  <c r="G25" i="6" a="1"/>
  <c r="G25" i="6" s="1"/>
  <c r="F28" i="6" a="1"/>
  <c r="F28" i="6" s="1"/>
  <c r="D37" i="6" a="1"/>
  <c r="D37" i="6" s="1"/>
  <c r="D9" i="6" a="1"/>
  <c r="D9" i="6" s="1"/>
  <c r="I22" i="6" a="1"/>
  <c r="I22" i="6" s="1"/>
  <c r="J22" i="6" s="1"/>
  <c r="F34" i="6" a="1"/>
  <c r="F34" i="6" s="1"/>
  <c r="D10" i="6" a="1"/>
  <c r="D10" i="6" s="1"/>
  <c r="D20" i="6" a="1"/>
  <c r="D20" i="6" s="1"/>
  <c r="C23" i="6" a="1"/>
  <c r="C23" i="6" s="1"/>
  <c r="I25" i="6" a="1"/>
  <c r="I25" i="6" s="1"/>
  <c r="J25" i="6" s="1"/>
  <c r="H28" i="6" a="1"/>
  <c r="H28" i="6" s="1"/>
  <c r="G34" i="6" a="1"/>
  <c r="G34" i="6" s="1"/>
  <c r="F37" i="6" a="1"/>
  <c r="F37" i="6" s="1"/>
  <c r="D12" i="6" a="1"/>
  <c r="D12" i="6" s="1"/>
  <c r="F20" i="6" a="1"/>
  <c r="F20" i="6" s="1"/>
  <c r="E23" i="6" a="1"/>
  <c r="E23" i="6" s="1"/>
  <c r="D26" i="6" a="1"/>
  <c r="D26" i="6" s="1"/>
  <c r="C32" i="6" a="1"/>
  <c r="C32" i="6" s="1"/>
  <c r="H37" i="6" a="1"/>
  <c r="H37" i="6" s="1"/>
  <c r="D13" i="6" a="1"/>
  <c r="D13" i="6" s="1"/>
  <c r="G20" i="6" a="1"/>
  <c r="G20" i="6" s="1"/>
  <c r="F23" i="6" a="1"/>
  <c r="F23" i="6" s="1"/>
  <c r="E26" i="6" a="1"/>
  <c r="E26" i="6" s="1"/>
  <c r="D32" i="6" a="1"/>
  <c r="D32" i="6" s="1"/>
  <c r="I37" i="6" a="1"/>
  <c r="I37" i="6" s="1"/>
  <c r="D14" i="6" a="1"/>
  <c r="D14" i="6" s="1"/>
  <c r="K28" i="6" s="1"/>
  <c r="H20" i="6" a="1"/>
  <c r="H20" i="6" s="1"/>
  <c r="G23" i="6" a="1"/>
  <c r="G23" i="6" s="1"/>
  <c r="F26" i="6" a="1"/>
  <c r="F26" i="6" s="1"/>
  <c r="E32" i="6" a="1"/>
  <c r="E32" i="6" s="1"/>
  <c r="C38" i="6" a="1"/>
  <c r="C38" i="6" s="1"/>
  <c r="K38" i="6" s="1"/>
  <c r="C18" i="6" a="1"/>
  <c r="C18" i="6" s="1"/>
  <c r="I20" i="6" a="1"/>
  <c r="I20" i="6" s="1"/>
  <c r="H23" i="6" a="1"/>
  <c r="H23" i="6" s="1"/>
  <c r="G26" i="6" a="1"/>
  <c r="G26" i="6" s="1"/>
  <c r="F32" i="6" a="1"/>
  <c r="F32" i="6" s="1"/>
  <c r="E35" i="6" a="1"/>
  <c r="E35" i="6" s="1"/>
  <c r="D38" i="6" a="1"/>
  <c r="D38" i="6" s="1"/>
  <c r="E18" i="6" a="1"/>
  <c r="E18" i="6" s="1"/>
  <c r="F38" i="6" a="1"/>
  <c r="F38" i="6" s="1"/>
  <c r="F18" i="6" a="1"/>
  <c r="F18" i="6" s="1"/>
  <c r="E21" i="6" a="1"/>
  <c r="E21" i="6" s="1"/>
  <c r="D24" i="6" a="1"/>
  <c r="D24" i="6" s="1"/>
  <c r="J24" i="6" s="1"/>
  <c r="C27" i="6" a="1"/>
  <c r="C27" i="6" s="1"/>
  <c r="I32" i="6" a="1"/>
  <c r="I32" i="6" s="1"/>
  <c r="G38" i="6" a="1"/>
  <c r="G38" i="6" s="1"/>
  <c r="I35" i="6" a="1"/>
  <c r="I35" i="6" s="1"/>
  <c r="C36" i="6" a="1"/>
  <c r="C36" i="6" s="1"/>
  <c r="I18" i="6" a="1"/>
  <c r="I18" i="6" s="1"/>
  <c r="H21" i="6" a="1"/>
  <c r="H21" i="6" s="1"/>
  <c r="G24" i="6" a="1"/>
  <c r="G24" i="6" s="1"/>
  <c r="F27" i="6" a="1"/>
  <c r="F27" i="6" s="1"/>
  <c r="E33" i="6" a="1"/>
  <c r="E33" i="6" s="1"/>
  <c r="D36" i="6" a="1"/>
  <c r="D36" i="6" s="1"/>
  <c r="J36" i="6" s="1"/>
  <c r="B64" i="6" a="1"/>
  <c r="B64" i="6" s="1"/>
  <c r="C20" i="6" a="1"/>
  <c r="C20" i="6" s="1"/>
  <c r="H25" i="6" a="1"/>
  <c r="H25" i="6" s="1"/>
  <c r="G28" i="6" a="1"/>
  <c r="G28" i="6" s="1"/>
  <c r="E37" i="6" a="1"/>
  <c r="E37" i="6" s="1"/>
  <c r="D11" i="6" a="1"/>
  <c r="D11" i="6" s="1"/>
  <c r="E20" i="6" a="1"/>
  <c r="E20" i="6" s="1"/>
  <c r="D23" i="6" a="1"/>
  <c r="D23" i="6" s="1"/>
  <c r="C26" i="6" a="1"/>
  <c r="C26" i="6" s="1"/>
  <c r="I28" i="6" a="1"/>
  <c r="I28" i="6" s="1"/>
  <c r="H34" i="6" a="1"/>
  <c r="H34" i="6" s="1"/>
  <c r="G37" i="6" a="1"/>
  <c r="G37" i="6" s="1"/>
  <c r="I34" i="6" a="1"/>
  <c r="I34" i="6" s="1"/>
  <c r="J34" i="6" s="1"/>
  <c r="C35" i="6" a="1"/>
  <c r="C35" i="6" s="1"/>
  <c r="D35" i="6" a="1"/>
  <c r="D35" i="6" s="1"/>
  <c r="D18" i="6" a="1"/>
  <c r="D18" i="6" s="1"/>
  <c r="C21" i="6" a="1"/>
  <c r="C21" i="6" s="1"/>
  <c r="I23" i="6" a="1"/>
  <c r="I23" i="6" s="1"/>
  <c r="H26" i="6" a="1"/>
  <c r="H26" i="6" s="1"/>
  <c r="G32" i="6" a="1"/>
  <c r="G32" i="6" s="1"/>
  <c r="F35" i="6" a="1"/>
  <c r="F35" i="6" s="1"/>
  <c r="E38" i="6" a="1"/>
  <c r="E38" i="6" s="1"/>
  <c r="D21" i="6" a="1"/>
  <c r="D21" i="6" s="1"/>
  <c r="C24" i="6" a="1"/>
  <c r="C24" i="6" s="1"/>
  <c r="I26" i="6" a="1"/>
  <c r="I26" i="6" s="1"/>
  <c r="H32" i="6" a="1"/>
  <c r="H32" i="6" s="1"/>
  <c r="G35" i="6" a="1"/>
  <c r="G35" i="6" s="1"/>
  <c r="H35" i="6" a="1"/>
  <c r="H35" i="6" s="1"/>
  <c r="G18" i="6" a="1"/>
  <c r="G18" i="6" s="1"/>
  <c r="F21" i="6" a="1"/>
  <c r="F21" i="6" s="1"/>
  <c r="E24" i="6" a="1"/>
  <c r="E24" i="6" s="1"/>
  <c r="D27" i="6" a="1"/>
  <c r="D27" i="6" s="1"/>
  <c r="J27" i="6" s="1"/>
  <c r="C33" i="6" a="1"/>
  <c r="C33" i="6" s="1"/>
  <c r="K33" i="6" s="1"/>
  <c r="H38" i="6" a="1"/>
  <c r="H38" i="6" s="1"/>
  <c r="H18" i="6" a="1"/>
  <c r="H18" i="6" s="1"/>
  <c r="G21" i="6" a="1"/>
  <c r="G21" i="6" s="1"/>
  <c r="F24" i="6" a="1"/>
  <c r="F24" i="6" s="1"/>
  <c r="E27" i="6" a="1"/>
  <c r="E27" i="6" s="1"/>
  <c r="D33" i="6" a="1"/>
  <c r="D33" i="6" s="1"/>
  <c r="J33" i="6" s="1"/>
  <c r="I38" i="6" a="1"/>
  <c r="I38" i="6" s="1"/>
  <c r="C19" i="6" a="1"/>
  <c r="C19" i="6" s="1"/>
  <c r="I21" i="6" a="1"/>
  <c r="I21" i="6" s="1"/>
  <c r="H24" i="6" a="1"/>
  <c r="H24" i="6" s="1"/>
  <c r="G27" i="6" a="1"/>
  <c r="G27" i="6" s="1"/>
  <c r="F33" i="6" a="1"/>
  <c r="F33" i="6" s="1"/>
  <c r="E36" i="6" a="1"/>
  <c r="E36" i="6" s="1"/>
  <c r="B73" i="6" a="1"/>
  <c r="B73" i="6" s="1"/>
  <c r="AI59" i="6"/>
  <c r="I59" i="6" s="1" a="1"/>
  <c r="I59" i="6" s="1"/>
  <c r="AI58" i="6"/>
  <c r="G58" i="6" s="1" a="1"/>
  <c r="G58" i="6" s="1"/>
  <c r="H58" i="6" s="1"/>
  <c r="AI57" i="6"/>
  <c r="AE18" i="7" s="1" a="1"/>
  <c r="AE18" i="7" s="1"/>
  <c r="L32" i="8" s="1"/>
  <c r="AI56" i="6"/>
  <c r="G56" i="6" s="1" a="1"/>
  <c r="G56" i="6" s="1"/>
  <c r="H56" i="6" s="1"/>
  <c r="AI55" i="6"/>
  <c r="J55" i="6" s="1" a="1"/>
  <c r="J55" i="6" s="1"/>
  <c r="AI54" i="6"/>
  <c r="G54" i="6" s="1" a="1"/>
  <c r="G54" i="6" s="1"/>
  <c r="H54" i="6" s="1"/>
  <c r="AI53" i="6"/>
  <c r="I53" i="6" s="1" a="1"/>
  <c r="I53" i="6" s="1"/>
  <c r="M93" i="1"/>
  <c r="I107" i="1"/>
  <c r="E107" i="1"/>
  <c r="F94" i="1"/>
  <c r="F107" i="1"/>
  <c r="GK20" i="3"/>
  <c r="E102" i="1"/>
  <c r="GK13" i="3"/>
  <c r="D102" i="1"/>
  <c r="D107" i="1"/>
  <c r="E106" i="1"/>
  <c r="E97" i="1"/>
  <c r="D96" i="1"/>
  <c r="H102" i="1"/>
  <c r="AR29" i="8" s="1"/>
  <c r="F102" i="1"/>
  <c r="GK21" i="3"/>
  <c r="E94" i="1"/>
  <c r="M105" i="1"/>
  <c r="M101" i="1"/>
  <c r="M94" i="1"/>
  <c r="F104" i="1"/>
  <c r="D101" i="1"/>
  <c r="L93" i="1"/>
  <c r="H104" i="1"/>
  <c r="K93" i="1"/>
  <c r="M103" i="1"/>
  <c r="L103" i="1"/>
  <c r="I93" i="1"/>
  <c r="I110" i="1"/>
  <c r="K103" i="1"/>
  <c r="G93" i="1"/>
  <c r="K98" i="1"/>
  <c r="H93" i="1"/>
  <c r="I103" i="1"/>
  <c r="GK22" i="3"/>
  <c r="G103" i="1"/>
  <c r="L98" i="1"/>
  <c r="G101" i="1"/>
  <c r="AP28" i="8" s="1"/>
  <c r="L108" i="1"/>
  <c r="D103" i="1"/>
  <c r="K97" i="1"/>
  <c r="GK17" i="3"/>
  <c r="K107" i="1"/>
  <c r="GM21" i="3"/>
  <c r="E104" i="1"/>
  <c r="G102" i="1"/>
  <c r="AP29" i="8" s="1"/>
  <c r="H94" i="1"/>
  <c r="F93" i="1"/>
  <c r="D106" i="1"/>
  <c r="F103" i="1"/>
  <c r="I101" i="1"/>
  <c r="D97" i="1"/>
  <c r="E93" i="1"/>
  <c r="E103" i="1"/>
  <c r="H101" i="1"/>
  <c r="F97" i="1"/>
  <c r="D93" i="1"/>
  <c r="D110" i="1"/>
  <c r="L105" i="1"/>
  <c r="H103" i="1"/>
  <c r="F101" i="1"/>
  <c r="E101" i="1"/>
  <c r="L95" i="1"/>
  <c r="M104" i="1"/>
  <c r="L102" i="1"/>
  <c r="I100" i="1"/>
  <c r="L94" i="1"/>
  <c r="K105" i="1"/>
  <c r="M102" i="1"/>
  <c r="I108" i="1"/>
  <c r="L104" i="1"/>
  <c r="K102" i="1"/>
  <c r="H100" i="1"/>
  <c r="K94" i="1"/>
  <c r="I105" i="1"/>
  <c r="K108" i="1"/>
  <c r="H108" i="1"/>
  <c r="K104" i="1"/>
  <c r="G100" i="1"/>
  <c r="AP27" i="8" s="1"/>
  <c r="G94" i="1"/>
  <c r="G108" i="1"/>
  <c r="AP35" i="8" s="1"/>
  <c r="G104" i="1"/>
  <c r="AP31" i="8" s="1"/>
  <c r="I102" i="1"/>
  <c r="D100" i="1"/>
  <c r="K61" i="6" a="1"/>
  <c r="K61" i="6" s="1"/>
  <c r="K52" i="6" a="1"/>
  <c r="K52" i="6" s="1"/>
  <c r="J52" i="6" a="1"/>
  <c r="J52" i="6" s="1"/>
  <c r="K60" i="6" a="1"/>
  <c r="K60" i="6" s="1"/>
  <c r="J60" i="6" a="1"/>
  <c r="J60" i="6" s="1"/>
  <c r="AI26" i="7" a="1"/>
  <c r="AI26" i="7" s="1"/>
  <c r="AG8" i="7" a="1"/>
  <c r="AG8" i="7" s="1"/>
  <c r="AG12" i="7" a="1"/>
  <c r="AG12" i="7" s="1"/>
  <c r="AI21" i="7" a="1"/>
  <c r="AI21" i="7" s="1"/>
  <c r="AI16" i="7" a="1"/>
  <c r="AI16" i="7" s="1"/>
  <c r="AI6" i="7" a="1"/>
  <c r="AI6" i="7" s="1"/>
  <c r="AH16" i="7" a="1"/>
  <c r="AH16" i="7" s="1"/>
  <c r="AH11" i="7" a="1"/>
  <c r="AH11" i="7" s="1"/>
  <c r="AG16" i="7" a="1"/>
  <c r="AG16" i="7" s="1"/>
  <c r="AF16" i="7" a="1"/>
  <c r="AF16" i="7" s="1"/>
  <c r="AE25" i="7" a="1"/>
  <c r="AE25" i="7" s="1"/>
  <c r="L39" i="8" s="1"/>
  <c r="AH20" i="7" a="1"/>
  <c r="AH20" i="7" s="1"/>
  <c r="AH15" i="7" a="1"/>
  <c r="AH15" i="7" s="1"/>
  <c r="AG20" i="7" a="1"/>
  <c r="AG20" i="7" s="1"/>
  <c r="AH24" i="7" a="1"/>
  <c r="AH24" i="7" s="1"/>
  <c r="AF24" i="7" a="1"/>
  <c r="AF24" i="7" s="1"/>
  <c r="AI14" i="7" a="1"/>
  <c r="AI14" i="7" s="1"/>
  <c r="AE24" i="7" a="1"/>
  <c r="AE24" i="7" s="1"/>
  <c r="L38" i="8" s="1"/>
  <c r="AG9" i="7" a="1"/>
  <c r="AG9" i="7" s="1"/>
  <c r="AG24" i="7" a="1"/>
  <c r="AG24" i="7" s="1"/>
  <c r="AI18" i="7" a="1"/>
  <c r="AI18" i="7" s="1"/>
  <c r="AH13" i="7" a="1"/>
  <c r="AH13" i="7" s="1"/>
  <c r="AH8" i="7" a="1"/>
  <c r="AH8" i="7" s="1"/>
  <c r="M95" i="1"/>
  <c r="I98" i="1"/>
  <c r="K95" i="1"/>
  <c r="B107" i="1"/>
  <c r="J105" i="1"/>
  <c r="D104" i="1"/>
  <c r="H98" i="1"/>
  <c r="B97" i="1"/>
  <c r="J95" i="1"/>
  <c r="D94" i="1"/>
  <c r="M99" i="1"/>
  <c r="G98" i="1"/>
  <c r="AP25" i="8" s="1"/>
  <c r="I95" i="1"/>
  <c r="L99" i="1"/>
  <c r="F98" i="1"/>
  <c r="H95" i="1"/>
  <c r="B94" i="1"/>
  <c r="I112" i="1"/>
  <c r="K109" i="1"/>
  <c r="E108" i="1"/>
  <c r="M106" i="1"/>
  <c r="G105" i="1"/>
  <c r="K99" i="1"/>
  <c r="E98" i="1"/>
  <c r="M96" i="1"/>
  <c r="G95" i="1"/>
  <c r="L109" i="1"/>
  <c r="F108" i="1"/>
  <c r="H105" i="1"/>
  <c r="B104" i="1"/>
  <c r="H112" i="1"/>
  <c r="O112" i="1" s="1"/>
  <c r="B111" i="1"/>
  <c r="J109" i="1"/>
  <c r="D108" i="1"/>
  <c r="L106" i="1"/>
  <c r="F105" i="1"/>
  <c r="B101" i="1"/>
  <c r="J99" i="1"/>
  <c r="D98" i="1"/>
  <c r="L96" i="1"/>
  <c r="F95" i="1"/>
  <c r="I109" i="1"/>
  <c r="K106" i="1"/>
  <c r="E105" i="1"/>
  <c r="I99" i="1"/>
  <c r="K96" i="1"/>
  <c r="E95" i="1"/>
  <c r="H109" i="1"/>
  <c r="J106" i="1"/>
  <c r="D105" i="1"/>
  <c r="H99" i="1"/>
  <c r="AR26" i="8" s="1"/>
  <c r="B98" i="1"/>
  <c r="J96" i="1"/>
  <c r="D95" i="1"/>
  <c r="M100" i="1"/>
  <c r="G99" i="1"/>
  <c r="I96" i="1"/>
  <c r="M110" i="1"/>
  <c r="G109" i="1"/>
  <c r="I106" i="1"/>
  <c r="L110" i="1"/>
  <c r="F109" i="1"/>
  <c r="H106" i="1"/>
  <c r="L100" i="1"/>
  <c r="F99" i="1"/>
  <c r="H96" i="1"/>
  <c r="M109" i="1"/>
  <c r="K110" i="1"/>
  <c r="E109" i="1"/>
  <c r="M107" i="1"/>
  <c r="G106" i="1"/>
  <c r="K100" i="1"/>
  <c r="E99" i="1"/>
  <c r="M97" i="1"/>
  <c r="G96" i="1"/>
  <c r="B110" i="1"/>
  <c r="J110" i="1"/>
  <c r="D109" i="1"/>
  <c r="L107" i="1"/>
  <c r="F106" i="1"/>
  <c r="J100" i="1"/>
  <c r="D99" i="1"/>
  <c r="L97" i="1"/>
  <c r="F96" i="1"/>
  <c r="E96" i="1"/>
  <c r="G110" i="1"/>
  <c r="L101" i="1"/>
  <c r="F100" i="1"/>
  <c r="H97" i="1"/>
  <c r="J94" i="1"/>
  <c r="K111" i="1"/>
  <c r="E110" i="1"/>
  <c r="M108" i="1"/>
  <c r="G107" i="1"/>
  <c r="AP34" i="8" s="1"/>
  <c r="I104" i="1"/>
  <c r="K101" i="1"/>
  <c r="E100" i="1"/>
  <c r="M98" i="1"/>
  <c r="G97" i="1"/>
  <c r="AP24" i="8" s="1"/>
  <c r="I94" i="1"/>
  <c r="H110" i="1"/>
  <c r="AR37" i="8" s="1"/>
  <c r="L111" i="1"/>
  <c r="F110" i="1"/>
  <c r="H107" i="1"/>
  <c r="J104" i="1"/>
  <c r="AE8" i="7" a="1"/>
  <c r="AE8" i="7" s="1"/>
  <c r="L22" i="8" s="1"/>
  <c r="AE13" i="7" a="1"/>
  <c r="AE13" i="7" s="1"/>
  <c r="L27" i="8" s="1"/>
  <c r="AE6" i="7" a="1"/>
  <c r="AE6" i="7" s="1"/>
  <c r="AE11" i="7" a="1"/>
  <c r="AE11" i="7" s="1"/>
  <c r="L25" i="8" s="1"/>
  <c r="AE15" i="7" a="1"/>
  <c r="AE15" i="7" s="1"/>
  <c r="L29" i="8" s="1"/>
  <c r="AE10" i="7" a="1"/>
  <c r="AE10" i="7" s="1"/>
  <c r="L24" i="8" s="1"/>
  <c r="AE9" i="7" a="1"/>
  <c r="AE9" i="7" s="1"/>
  <c r="L23" i="8" s="1"/>
  <c r="AE14" i="7" a="1"/>
  <c r="AE14" i="7" s="1"/>
  <c r="L28" i="8" s="1"/>
  <c r="AE20" i="7" a="1"/>
  <c r="AE20" i="7" s="1"/>
  <c r="L34" i="8" s="1"/>
  <c r="I61" i="6" a="1"/>
  <c r="I61" i="6" s="1"/>
  <c r="AE17" i="7" a="1"/>
  <c r="AE17" i="7" s="1"/>
  <c r="I52" i="6" a="1"/>
  <c r="I52" i="6" s="1"/>
  <c r="G61" i="6" a="1"/>
  <c r="G61" i="6" s="1"/>
  <c r="H61" i="6" s="1"/>
  <c r="AE19" i="7" a="1"/>
  <c r="AE19" i="7" s="1"/>
  <c r="L33" i="8" s="1"/>
  <c r="AE12" i="7" a="1"/>
  <c r="AE12" i="7" s="1"/>
  <c r="L26" i="8" s="1"/>
  <c r="AE21" i="7" a="1"/>
  <c r="AE21" i="7" s="1"/>
  <c r="L35" i="8" s="1"/>
  <c r="I60" i="6" a="1"/>
  <c r="I60" i="6" s="1"/>
  <c r="AE16" i="7" a="1"/>
  <c r="AE16" i="7" s="1"/>
  <c r="L30" i="8" s="1"/>
  <c r="AE22" i="7" a="1"/>
  <c r="AE22" i="7" s="1"/>
  <c r="L36" i="8" s="1"/>
  <c r="AI22" i="7" a="1"/>
  <c r="AI22" i="7" s="1"/>
  <c r="AF18" i="7" a="1"/>
  <c r="AF18" i="7" s="1"/>
  <c r="AF26" i="7" a="1"/>
  <c r="AF26" i="7" s="1"/>
  <c r="AH27" i="7" a="1"/>
  <c r="AH27" i="7" s="1"/>
  <c r="AI13" i="7" a="1"/>
  <c r="AI13" i="7" s="1"/>
  <c r="AI11" i="7" a="1"/>
  <c r="AI11" i="7" s="1"/>
  <c r="DZ28" i="3"/>
  <c r="AJ15" i="7" s="1" a="1"/>
  <c r="AJ15" i="7" s="1"/>
  <c r="AI25" i="7" a="1"/>
  <c r="AI25" i="7" s="1"/>
  <c r="AF23" i="7" a="1"/>
  <c r="AF23" i="7" s="1"/>
  <c r="AF27" i="7" a="1"/>
  <c r="AF27" i="7" s="1"/>
  <c r="AF10" i="7" a="1"/>
  <c r="AF10" i="7" s="1"/>
  <c r="AF11" i="7" a="1"/>
  <c r="AF11" i="7" s="1"/>
  <c r="AF12" i="7" a="1"/>
  <c r="AF12" i="7" s="1"/>
  <c r="AF19" i="7" a="1"/>
  <c r="AF19" i="7" s="1"/>
  <c r="AF20" i="7" a="1"/>
  <c r="AF20" i="7" s="1"/>
  <c r="AF9" i="7" a="1"/>
  <c r="AF9" i="7" s="1"/>
  <c r="AF13" i="7" a="1"/>
  <c r="AF13" i="7" s="1"/>
  <c r="AJ22" i="2"/>
  <c r="F75" i="1"/>
  <c r="B70" i="5"/>
  <c r="GN14" i="3"/>
  <c r="H15" i="7" s="1"/>
  <c r="D13" i="7"/>
  <c r="BE42" i="1" s="1"/>
  <c r="D6" i="7"/>
  <c r="BE35" i="1" s="1"/>
  <c r="D11" i="7"/>
  <c r="BE40" i="1" s="1"/>
  <c r="D16" i="7"/>
  <c r="BE45" i="1" s="1"/>
  <c r="GN20" i="3"/>
  <c r="H21" i="7" s="1"/>
  <c r="D7" i="7"/>
  <c r="D12" i="7"/>
  <c r="BE41" i="1" s="1"/>
  <c r="GN16" i="3"/>
  <c r="H17" i="7" s="1"/>
  <c r="GN21" i="3"/>
  <c r="H22" i="7" s="1"/>
  <c r="E7" i="7"/>
  <c r="BF36" i="1" s="1"/>
  <c r="D10" i="7"/>
  <c r="BE39" i="1" s="1"/>
  <c r="D20" i="7"/>
  <c r="BE49" i="1" s="1"/>
  <c r="D8" i="7"/>
  <c r="BE37" i="1" s="1"/>
  <c r="GN17" i="3"/>
  <c r="H18" i="7" s="1"/>
  <c r="D23" i="7"/>
  <c r="BE52" i="1" s="1"/>
  <c r="D9" i="7"/>
  <c r="BE38" i="1" s="1"/>
  <c r="D14" i="7"/>
  <c r="BE43" i="1" s="1"/>
  <c r="D42" i="6"/>
  <c r="EL28" i="3"/>
  <c r="AJ18" i="7" s="1" a="1"/>
  <c r="AJ18" i="7" s="1"/>
  <c r="F68" i="1"/>
  <c r="AJ15" i="4"/>
  <c r="AH15" i="4"/>
  <c r="AI15" i="4"/>
  <c r="AY35" i="1"/>
  <c r="AH18" i="7" a="1"/>
  <c r="AH18" i="7" s="1"/>
  <c r="AK8" i="4"/>
  <c r="AZ35" i="1"/>
  <c r="BA35" i="1"/>
  <c r="F70" i="1"/>
  <c r="AL49" i="1"/>
  <c r="AM49" i="1"/>
  <c r="BD35" i="1"/>
  <c r="B80" i="5"/>
  <c r="B42" i="6"/>
  <c r="GJ22" i="3"/>
  <c r="AR43" i="1"/>
  <c r="BC54" i="1"/>
  <c r="BE54" i="1"/>
  <c r="AY43" i="1"/>
  <c r="BF54" i="1"/>
  <c r="AW43" i="1"/>
  <c r="BG54" i="1"/>
  <c r="BB43" i="1"/>
  <c r="BH54" i="1"/>
  <c r="B14" i="7"/>
  <c r="AS43" i="1"/>
  <c r="BD43" i="1"/>
  <c r="AU54" i="1"/>
  <c r="B54" i="6"/>
  <c r="BA11" i="7"/>
  <c r="AZ43" i="1"/>
  <c r="E6" i="7"/>
  <c r="P6" i="7" s="1"/>
  <c r="AH8" i="4"/>
  <c r="B73" i="5"/>
  <c r="AI8" i="4"/>
  <c r="I121" i="5"/>
  <c r="B121" i="5"/>
  <c r="C123" i="5"/>
  <c r="O12" i="7"/>
  <c r="AP41" i="1"/>
  <c r="AL50" i="1"/>
  <c r="T87" i="5"/>
  <c r="BD44" i="1"/>
  <c r="BD36" i="1"/>
  <c r="AY41" i="1"/>
  <c r="AU50" i="1"/>
  <c r="C126" i="5"/>
  <c r="AQ38" i="1"/>
  <c r="BD41" i="1"/>
  <c r="AV47" i="1"/>
  <c r="BC51" i="1"/>
  <c r="D49" i="6"/>
  <c r="AP50" i="1"/>
  <c r="AT41" i="1"/>
  <c r="AW50" i="1"/>
  <c r="AU38" i="1"/>
  <c r="AV38" i="1"/>
  <c r="AZ47" i="1"/>
  <c r="BC52" i="1"/>
  <c r="G20" i="7"/>
  <c r="Q20" i="7" s="1"/>
  <c r="AH50" i="1" a="1"/>
  <c r="AH50" i="1" s="1"/>
  <c r="AO12" i="7"/>
  <c r="AP12" i="7" s="1"/>
  <c r="AZ36" i="1"/>
  <c r="AW41" i="1"/>
  <c r="AR50" i="1"/>
  <c r="AH18" i="4"/>
  <c r="AT50" i="1"/>
  <c r="AI18" i="4"/>
  <c r="AO20" i="7"/>
  <c r="AG12" i="2"/>
  <c r="AI12" i="2" s="1"/>
  <c r="AJ12" i="2" s="1"/>
  <c r="BC47" i="1"/>
  <c r="F49" i="6" a="1"/>
  <c r="F49" i="6" s="1"/>
  <c r="AU41" i="1"/>
  <c r="BA36" i="1"/>
  <c r="BA41" i="1"/>
  <c r="AU47" i="1"/>
  <c r="AI19" i="4"/>
  <c r="E49" i="6" a="1"/>
  <c r="E49" i="6" s="1"/>
  <c r="AW38" i="1"/>
  <c r="AI50" i="1"/>
  <c r="AX36" i="1"/>
  <c r="AQ50" i="1"/>
  <c r="AX41" i="1"/>
  <c r="AV35" i="1"/>
  <c r="AZ38" i="1"/>
  <c r="AT43" i="1"/>
  <c r="F65" i="1"/>
  <c r="EX28" i="3"/>
  <c r="AJ21" i="7" s="1" a="1"/>
  <c r="AJ21" i="7" s="1"/>
  <c r="AK7" i="4"/>
  <c r="AO17" i="7"/>
  <c r="AQ17" i="7" s="1"/>
  <c r="AW36" i="1"/>
  <c r="AZ41" i="1"/>
  <c r="F62" i="1"/>
  <c r="AW47" i="1"/>
  <c r="BD52" i="1"/>
  <c r="AQ41" i="1"/>
  <c r="AO50" i="1"/>
  <c r="BA12" i="7"/>
  <c r="AT47" i="1"/>
  <c r="AQ35" i="1"/>
  <c r="AX38" i="1"/>
  <c r="AW35" i="1"/>
  <c r="BA38" i="1"/>
  <c r="AU43" i="1"/>
  <c r="F66" i="1"/>
  <c r="AX35" i="1"/>
  <c r="BB38" i="1"/>
  <c r="AV43" i="1"/>
  <c r="B43" i="6"/>
  <c r="AM40" i="1"/>
  <c r="AH9" i="4"/>
  <c r="AJ16" i="4"/>
  <c r="AH21" i="4"/>
  <c r="D57" i="6"/>
  <c r="AO9" i="7"/>
  <c r="AS9" i="7" s="1"/>
  <c r="Y13" i="7"/>
  <c r="E23" i="7"/>
  <c r="P23" i="7" s="1"/>
  <c r="AK52" i="1"/>
  <c r="BD38" i="1"/>
  <c r="AG17" i="2"/>
  <c r="AI17" i="2" s="1"/>
  <c r="AJ17" i="2" s="1"/>
  <c r="AG10" i="2"/>
  <c r="AI10" i="2" s="1"/>
  <c r="AJ10" i="2" s="1"/>
  <c r="AK17" i="4"/>
  <c r="O14" i="7"/>
  <c r="AK51" i="1"/>
  <c r="AI23" i="4"/>
  <c r="AO36" i="1"/>
  <c r="AI38" i="1"/>
  <c r="AK39" i="1"/>
  <c r="AV40" i="1"/>
  <c r="AG43" i="1" a="1"/>
  <c r="AG43" i="1" s="1"/>
  <c r="AM44" i="1"/>
  <c r="AL47" i="1"/>
  <c r="AN51" i="1"/>
  <c r="AQ52" i="1"/>
  <c r="AK54" i="1"/>
  <c r="F79" i="1"/>
  <c r="H79" i="1" s="1"/>
  <c r="AJ23" i="4"/>
  <c r="D47" i="6"/>
  <c r="AO40" i="1"/>
  <c r="BB45" i="1"/>
  <c r="AK9" i="4"/>
  <c r="AK23" i="4"/>
  <c r="E15" i="7"/>
  <c r="BF44" i="1" s="1"/>
  <c r="AJ52" i="1"/>
  <c r="AH48" i="1" a="1"/>
  <c r="AH48" i="1" s="1"/>
  <c r="AL53" i="1"/>
  <c r="AG36" i="1" a="1"/>
  <c r="AG36" i="1" s="1"/>
  <c r="AJ36" i="1"/>
  <c r="AI47" i="1"/>
  <c r="AJ20" i="4"/>
  <c r="D74" i="5"/>
  <c r="I74" i="5" s="1" a="1"/>
  <c r="I74" i="5" s="1"/>
  <c r="T74" i="5" s="1"/>
  <c r="AU45" i="1"/>
  <c r="AH52" i="1" a="1"/>
  <c r="AH52" i="1" s="1"/>
  <c r="AW45" i="1"/>
  <c r="AJ53" i="1"/>
  <c r="E76" i="5"/>
  <c r="V32" i="8" s="1"/>
  <c r="F71" i="1"/>
  <c r="AQ40" i="1"/>
  <c r="F60" i="1"/>
  <c r="E9" i="7"/>
  <c r="BF38" i="1" s="1"/>
  <c r="AG51" i="1" a="1"/>
  <c r="AG51" i="1" s="1"/>
  <c r="AN52" i="1"/>
  <c r="AG7" i="2"/>
  <c r="AI7" i="2" s="1"/>
  <c r="AJ7" i="2" s="1"/>
  <c r="AH44" i="1" a="1"/>
  <c r="AH44" i="1" s="1"/>
  <c r="AI43" i="1"/>
  <c r="AK35" i="1"/>
  <c r="AQ36" i="1"/>
  <c r="AX39" i="1"/>
  <c r="AX40" i="1"/>
  <c r="AL43" i="1"/>
  <c r="AV44" i="1"/>
  <c r="AN47" i="1"/>
  <c r="AR51" i="1"/>
  <c r="AR36" i="1"/>
  <c r="AZ40" i="1"/>
  <c r="AS51" i="1"/>
  <c r="AV52" i="1"/>
  <c r="AN54" i="1"/>
  <c r="AJ18" i="4"/>
  <c r="E48" i="6" a="1"/>
  <c r="E48" i="6" s="1"/>
  <c r="D54" i="6"/>
  <c r="BA7" i="7"/>
  <c r="AD82" i="5"/>
  <c r="AG40" i="1" a="1"/>
  <c r="AG40" i="1" s="1"/>
  <c r="AI40" i="1"/>
  <c r="F56" i="6" a="1"/>
  <c r="F56" i="6" s="1"/>
  <c r="F44" i="6" a="1"/>
  <c r="F44" i="6" s="1"/>
  <c r="O9" i="7"/>
  <c r="CX28" i="3"/>
  <c r="AJ8" i="7" s="1" a="1"/>
  <c r="AJ8" i="7" s="1"/>
  <c r="AG37" i="1" a="1"/>
  <c r="AG37" i="1" s="1"/>
  <c r="AR40" i="1"/>
  <c r="D52" i="6"/>
  <c r="F24" i="7"/>
  <c r="C128" i="5"/>
  <c r="I128" i="5" s="1"/>
  <c r="AM36" i="1"/>
  <c r="AG38" i="1" a="1"/>
  <c r="AG38" i="1" s="1"/>
  <c r="AS40" i="1"/>
  <c r="AJ47" i="1"/>
  <c r="AI51" i="1"/>
  <c r="AI54" i="1"/>
  <c r="AA10" i="7"/>
  <c r="AH38" i="1" a="1"/>
  <c r="AH38" i="1" s="1"/>
  <c r="AT40" i="1"/>
  <c r="AZ48" i="1"/>
  <c r="AJ54" i="1"/>
  <c r="AP36" i="1"/>
  <c r="AJ38" i="1"/>
  <c r="AS39" i="1"/>
  <c r="AW40" i="1"/>
  <c r="AS44" i="1"/>
  <c r="AM47" i="1"/>
  <c r="AO51" i="1"/>
  <c r="AR52" i="1"/>
  <c r="AL54" i="1"/>
  <c r="AK38" i="1"/>
  <c r="AU52" i="1"/>
  <c r="AM54" i="1"/>
  <c r="AL35" i="1"/>
  <c r="AL38" i="1"/>
  <c r="AY39" i="1"/>
  <c r="AM43" i="1"/>
  <c r="AW44" i="1"/>
  <c r="AO47" i="1"/>
  <c r="AM35" i="1"/>
  <c r="AS36" i="1"/>
  <c r="AM38" i="1"/>
  <c r="AZ39" i="1"/>
  <c r="BA40" i="1"/>
  <c r="AN43" i="1"/>
  <c r="AX44" i="1"/>
  <c r="AP47" i="1"/>
  <c r="AG50" i="1" a="1"/>
  <c r="AG50" i="1" s="1"/>
  <c r="AT51" i="1"/>
  <c r="AW52" i="1"/>
  <c r="AP54" i="1"/>
  <c r="F63" i="1"/>
  <c r="AG8" i="2"/>
  <c r="E16" i="7"/>
  <c r="P16" i="7" s="1"/>
  <c r="AI7" i="4"/>
  <c r="E54" i="6" a="1"/>
  <c r="E54" i="6" s="1"/>
  <c r="B16" i="7"/>
  <c r="O20" i="7"/>
  <c r="AG52" i="1" a="1"/>
  <c r="AG52" i="1" s="1"/>
  <c r="AL40" i="1"/>
  <c r="AL45" i="1"/>
  <c r="AG9" i="2"/>
  <c r="AI9" i="2" s="1"/>
  <c r="AJ9" i="2" s="1"/>
  <c r="AI52" i="1"/>
  <c r="AP40" i="1"/>
  <c r="AI21" i="4"/>
  <c r="F45" i="6" a="1"/>
  <c r="F45" i="6" s="1"/>
  <c r="AV48" i="1"/>
  <c r="AG54" i="1" a="1"/>
  <c r="AG54" i="1" s="1"/>
  <c r="F73" i="1"/>
  <c r="E19" i="7"/>
  <c r="BF48" i="1" s="1"/>
  <c r="AO52" i="1"/>
  <c r="AW48" i="1"/>
  <c r="AN36" i="1"/>
  <c r="AG39" i="1" a="1"/>
  <c r="AG39" i="1" s="1"/>
  <c r="AK47" i="1"/>
  <c r="AP52" i="1"/>
  <c r="AT36" i="1"/>
  <c r="AN38" i="1"/>
  <c r="BA39" i="1"/>
  <c r="BC40" i="1"/>
  <c r="AO43" i="1"/>
  <c r="AZ44" i="1"/>
  <c r="AQ47" i="1"/>
  <c r="AU51" i="1"/>
  <c r="AQ54" i="1"/>
  <c r="AP43" i="1"/>
  <c r="BA44" i="1"/>
  <c r="AR47" i="1"/>
  <c r="AZ52" i="1"/>
  <c r="AH14" i="4"/>
  <c r="E42" i="6" a="1"/>
  <c r="E42" i="6" s="1"/>
  <c r="AN40" i="1"/>
  <c r="G6" i="5" a="1"/>
  <c r="G6" i="5" s="1"/>
  <c r="AL52" i="1"/>
  <c r="AX52" i="1"/>
  <c r="E14" i="7"/>
  <c r="BF43" i="1" s="1"/>
  <c r="AR35" i="1"/>
  <c r="AU36" i="1"/>
  <c r="AO38" i="1"/>
  <c r="BC39" i="1"/>
  <c r="AW51" i="1"/>
  <c r="AR54" i="1"/>
  <c r="B82" i="5"/>
  <c r="AS35" i="1"/>
  <c r="AV36" i="1"/>
  <c r="AP38" i="1"/>
  <c r="AO41" i="1"/>
  <c r="AQ43" i="1"/>
  <c r="AS47" i="1"/>
  <c r="AJ50" i="1"/>
  <c r="AZ51" i="1"/>
  <c r="BA52" i="1"/>
  <c r="AS54" i="1"/>
  <c r="AH19" i="4"/>
  <c r="Z8" i="7"/>
  <c r="G15" i="5"/>
  <c r="FF28" i="3"/>
  <c r="AJ23" i="7" s="1" a="1"/>
  <c r="AJ23" i="7" s="1"/>
  <c r="B45" i="6"/>
  <c r="E56" i="6" a="1"/>
  <c r="E56" i="6" s="1"/>
  <c r="BJ6" i="7"/>
  <c r="Z26" i="7"/>
  <c r="F64" i="1"/>
  <c r="F76" i="5"/>
  <c r="C120" i="5"/>
  <c r="I120" i="5" s="1"/>
  <c r="F66" i="5" s="1"/>
  <c r="AP35" i="1"/>
  <c r="AR41" i="1"/>
  <c r="AV45" i="1"/>
  <c r="AH54" i="1" a="1"/>
  <c r="AH54" i="1" s="1"/>
  <c r="BD54" i="1"/>
  <c r="B52" i="6"/>
  <c r="B15" i="7"/>
  <c r="AH21" i="7" a="1"/>
  <c r="AH21" i="7" s="1"/>
  <c r="B24" i="7"/>
  <c r="B7" i="7"/>
  <c r="AI27" i="7" a="1"/>
  <c r="AI27" i="7" s="1"/>
  <c r="AG20" i="2"/>
  <c r="AI20" i="2" s="1"/>
  <c r="AJ20" i="2" s="1"/>
  <c r="B49" i="6"/>
  <c r="E52" i="6" a="1"/>
  <c r="E52" i="6" s="1"/>
  <c r="B12" i="7"/>
  <c r="G24" i="7"/>
  <c r="B57" i="6"/>
  <c r="H24" i="7"/>
  <c r="B46" i="6"/>
  <c r="E66" i="5"/>
  <c r="AH46" i="1" a="1"/>
  <c r="AH46" i="1" s="1"/>
  <c r="AQ49" i="1"/>
  <c r="AR53" i="1"/>
  <c r="AO46" i="1"/>
  <c r="AQ53" i="1"/>
  <c r="DB28" i="3"/>
  <c r="AJ9" i="7" s="1" a="1"/>
  <c r="AJ9" i="7" s="1"/>
  <c r="E46" i="6" a="1"/>
  <c r="E46" i="6" s="1"/>
  <c r="AO49" i="1"/>
  <c r="AO24" i="7"/>
  <c r="AQ24" i="7" s="1"/>
  <c r="F81" i="5"/>
  <c r="AX46" i="1"/>
  <c r="AT49" i="1"/>
  <c r="AT53" i="1"/>
  <c r="AG18" i="2"/>
  <c r="AI18" i="2" s="1"/>
  <c r="GJ8" i="3"/>
  <c r="D43" i="6"/>
  <c r="F57" i="6" a="1"/>
  <c r="F57" i="6" s="1"/>
  <c r="O10" i="7"/>
  <c r="O16" i="7"/>
  <c r="C28" i="5"/>
  <c r="DV28" i="3"/>
  <c r="AJ14" i="7" s="1" a="1"/>
  <c r="AJ14" i="7" s="1"/>
  <c r="E43" i="6" a="1"/>
  <c r="E43" i="6" s="1"/>
  <c r="B47" i="6"/>
  <c r="Z10" i="7"/>
  <c r="C27" i="5"/>
  <c r="AS46" i="1"/>
  <c r="F46" i="6" a="1"/>
  <c r="F46" i="6" s="1"/>
  <c r="E57" i="6" a="1"/>
  <c r="E57" i="6" s="1"/>
  <c r="C134" i="5"/>
  <c r="I134" i="5" s="1"/>
  <c r="AB82" i="5"/>
  <c r="C135" i="5"/>
  <c r="AI45" i="1"/>
  <c r="AY46" i="1"/>
  <c r="AU49" i="1"/>
  <c r="AU53" i="1"/>
  <c r="AC82" i="5"/>
  <c r="BB36" i="1"/>
  <c r="BB40" i="1"/>
  <c r="BA43" i="1"/>
  <c r="AK45" i="1"/>
  <c r="AZ46" i="1"/>
  <c r="AW49" i="1"/>
  <c r="AV50" i="1"/>
  <c r="AY51" i="1"/>
  <c r="AX53" i="1"/>
  <c r="AT54" i="1"/>
  <c r="AG6" i="2"/>
  <c r="AI6" i="2" s="1"/>
  <c r="B50" i="6"/>
  <c r="O23" i="7"/>
  <c r="C26" i="5"/>
  <c r="J9" i="5"/>
  <c r="E81" i="5"/>
  <c r="D72" i="5"/>
  <c r="K72" i="5" s="1" a="1"/>
  <c r="K72" i="5" s="1"/>
  <c r="AH36" i="1" a="1"/>
  <c r="AH36" i="1" s="1"/>
  <c r="AH40" i="1" a="1"/>
  <c r="AH40" i="1" s="1"/>
  <c r="BD40" i="1"/>
  <c r="AH43" i="1" a="1"/>
  <c r="AH43" i="1" s="1"/>
  <c r="BC43" i="1"/>
  <c r="AM45" i="1"/>
  <c r="BD46" i="1"/>
  <c r="BA47" i="1"/>
  <c r="AY49" i="1"/>
  <c r="AX50" i="1"/>
  <c r="BA51" i="1"/>
  <c r="AZ53" i="1"/>
  <c r="AV54" i="1"/>
  <c r="F76" i="1"/>
  <c r="AI15" i="2"/>
  <c r="AJ15" i="2" s="1"/>
  <c r="AT16" i="7" s="1"/>
  <c r="AJ19" i="4"/>
  <c r="E47" i="6" a="1"/>
  <c r="E47" i="6" s="1"/>
  <c r="D50" i="6"/>
  <c r="BJ16" i="7"/>
  <c r="AA23" i="7"/>
  <c r="P9" i="5"/>
  <c r="AP53" i="1"/>
  <c r="AG5" i="2"/>
  <c r="F69" i="5"/>
  <c r="AH10" i="4"/>
  <c r="B44" i="6"/>
  <c r="E50" i="6" a="1"/>
  <c r="E50" i="6" s="1"/>
  <c r="AO8" i="7"/>
  <c r="AS8" i="7" s="1"/>
  <c r="BJ20" i="7"/>
  <c r="O25" i="7"/>
  <c r="G12" i="5"/>
  <c r="AN49" i="1"/>
  <c r="F72" i="5"/>
  <c r="AG41" i="1" a="1"/>
  <c r="AG41" i="1" s="1"/>
  <c r="AJ43" i="1"/>
  <c r="AO45" i="1"/>
  <c r="BA49" i="1"/>
  <c r="AG19" i="2"/>
  <c r="GN18" i="3"/>
  <c r="H19" i="7" s="1"/>
  <c r="BH48" i="1" s="1"/>
  <c r="AI10" i="4"/>
  <c r="F47" i="6" a="1"/>
  <c r="F47" i="6" s="1"/>
  <c r="F50" i="6" a="1"/>
  <c r="F50" i="6" s="1"/>
  <c r="O6" i="7"/>
  <c r="AO23" i="7"/>
  <c r="P12" i="5"/>
  <c r="AJ46" i="1"/>
  <c r="AI8" i="7" a="1"/>
  <c r="AI8" i="7" s="1"/>
  <c r="BA10" i="7"/>
  <c r="E72" i="5"/>
  <c r="V28" i="8" s="1"/>
  <c r="AN45" i="1"/>
  <c r="AZ49" i="1"/>
  <c r="AZ50" i="1"/>
  <c r="BC53" i="1"/>
  <c r="AW54" i="1"/>
  <c r="F77" i="1"/>
  <c r="G87" i="5"/>
  <c r="AG35" i="1" a="1"/>
  <c r="AG35" i="1" s="1"/>
  <c r="AK36" i="1"/>
  <c r="AJ40" i="1"/>
  <c r="BD47" i="1"/>
  <c r="BA50" i="1"/>
  <c r="BE53" i="1"/>
  <c r="AX54" i="1"/>
  <c r="B76" i="5"/>
  <c r="BC38" i="1"/>
  <c r="AK40" i="1"/>
  <c r="AK43" i="1"/>
  <c r="AP45" i="1"/>
  <c r="AG47" i="1" a="1"/>
  <c r="AG47" i="1" s="1"/>
  <c r="BB49" i="1"/>
  <c r="BB50" i="1"/>
  <c r="BF53" i="1"/>
  <c r="AZ54" i="1"/>
  <c r="AG16" i="2"/>
  <c r="AI16" i="2" s="1"/>
  <c r="AJ16" i="2" s="1"/>
  <c r="AJ10" i="4"/>
  <c r="AI16" i="4"/>
  <c r="E44" i="6" a="1"/>
  <c r="E44" i="6" s="1"/>
  <c r="B56" i="6"/>
  <c r="D81" i="5"/>
  <c r="L81" i="5" s="1" a="1"/>
  <c r="L81" i="5" s="1"/>
  <c r="W81" i="5" s="1"/>
  <c r="AS53" i="1"/>
  <c r="AQ45" i="1"/>
  <c r="BC49" i="1"/>
  <c r="BC50" i="1"/>
  <c r="BG53" i="1"/>
  <c r="BA54" i="1"/>
  <c r="AG13" i="2"/>
  <c r="AR14" i="7" s="1"/>
  <c r="AO6" i="7"/>
  <c r="AQ6" i="7" s="1"/>
  <c r="AW46" i="1"/>
  <c r="AS49" i="1"/>
  <c r="B64" i="5"/>
  <c r="S87" i="5"/>
  <c r="AT45" i="1"/>
  <c r="BD50" i="1"/>
  <c r="BB54" i="1"/>
  <c r="AK16" i="4"/>
  <c r="O21" i="7"/>
  <c r="S12" i="5"/>
  <c r="B95" i="5"/>
  <c r="B94" i="5"/>
  <c r="B93" i="5"/>
  <c r="B90" i="5"/>
  <c r="J15" i="5"/>
  <c r="M15" i="5"/>
  <c r="P15" i="5"/>
  <c r="C30" i="5"/>
  <c r="C25" i="5"/>
  <c r="M12" i="5"/>
  <c r="C29" i="5"/>
  <c r="B98" i="5"/>
  <c r="B92" i="5"/>
  <c r="M9" i="5"/>
  <c r="G9" i="5"/>
  <c r="AB88" i="5"/>
  <c r="B91" i="5"/>
  <c r="B89" i="5"/>
  <c r="B88" i="5"/>
  <c r="S9" i="5"/>
  <c r="S15" i="5"/>
  <c r="C34" i="5"/>
  <c r="C35" i="5"/>
  <c r="C33" i="5"/>
  <c r="B97" i="5"/>
  <c r="B96" i="5"/>
  <c r="C32" i="5"/>
  <c r="J12" i="5"/>
  <c r="AB94" i="5"/>
  <c r="AA6" i="7"/>
  <c r="AB7" i="7" s="1"/>
  <c r="Y19" i="7"/>
  <c r="Y16" i="7"/>
  <c r="Y11" i="7"/>
  <c r="Y20" i="7"/>
  <c r="Y9" i="7"/>
  <c r="Y17" i="7"/>
  <c r="Y7" i="7"/>
  <c r="Y12" i="7"/>
  <c r="B35" i="8"/>
  <c r="V30" i="8"/>
  <c r="F74" i="5"/>
  <c r="M87" i="5"/>
  <c r="E71" i="5"/>
  <c r="V27" i="8" s="1"/>
  <c r="E73" i="5"/>
  <c r="V29" i="8" s="1"/>
  <c r="D73" i="5"/>
  <c r="J73" i="5" s="1" a="1"/>
  <c r="J73" i="5" s="1"/>
  <c r="U73" i="5" s="1"/>
  <c r="C127" i="5"/>
  <c r="L87" i="5"/>
  <c r="N76" i="5" a="1"/>
  <c r="N76" i="5" s="1"/>
  <c r="Y76" i="5" s="1"/>
  <c r="E83" i="5"/>
  <c r="V39" i="8" s="1"/>
  <c r="C132" i="5"/>
  <c r="AR37" i="1"/>
  <c r="AP37" i="1"/>
  <c r="AO37" i="1"/>
  <c r="AV37" i="1"/>
  <c r="AS37" i="1"/>
  <c r="AQ37" i="1"/>
  <c r="AN37" i="1"/>
  <c r="AL37" i="1"/>
  <c r="AK37" i="1"/>
  <c r="AJ37" i="1"/>
  <c r="BD37" i="1"/>
  <c r="BB37" i="1"/>
  <c r="BC37" i="1"/>
  <c r="AZ37" i="1"/>
  <c r="AT37" i="1"/>
  <c r="AG42" i="1" a="1"/>
  <c r="AG42" i="1" s="1"/>
  <c r="P76" i="5" a="1"/>
  <c r="P76" i="5" s="1"/>
  <c r="AA76" i="5" s="1"/>
  <c r="E82" i="5"/>
  <c r="V38" i="8" s="1"/>
  <c r="AH37" i="1" a="1"/>
  <c r="AH37" i="1" s="1"/>
  <c r="AL42" i="1"/>
  <c r="F71" i="5"/>
  <c r="C125" i="5"/>
  <c r="J87" i="5"/>
  <c r="V35" i="8"/>
  <c r="R87" i="5"/>
  <c r="B79" i="5"/>
  <c r="C133" i="5"/>
  <c r="D82" i="5"/>
  <c r="B78" i="5"/>
  <c r="F79" i="5"/>
  <c r="P83" i="5" a="1"/>
  <c r="P83" i="5" s="1"/>
  <c r="AA83" i="5" s="1"/>
  <c r="AI37" i="1"/>
  <c r="AN42" i="1"/>
  <c r="O76" i="5" a="1"/>
  <c r="O76" i="5" s="1"/>
  <c r="Z76" i="5" s="1"/>
  <c r="F82" i="5"/>
  <c r="C136" i="5"/>
  <c r="I82" i="5" a="1"/>
  <c r="I82" i="5" s="1"/>
  <c r="T82" i="5" s="1"/>
  <c r="O82" i="5" a="1"/>
  <c r="O82" i="5" s="1"/>
  <c r="Z82" i="5" s="1"/>
  <c r="U87" i="5"/>
  <c r="M82" i="5" a="1"/>
  <c r="M82" i="5" s="1"/>
  <c r="X82" i="5" s="1"/>
  <c r="P82" i="5" a="1"/>
  <c r="P82" i="5" s="1"/>
  <c r="AA82" i="5" s="1"/>
  <c r="N82" i="5" a="1"/>
  <c r="N82" i="5" s="1"/>
  <c r="Y82" i="5" s="1"/>
  <c r="L82" i="5" a="1"/>
  <c r="L82" i="5" s="1"/>
  <c r="W82" i="5" s="1"/>
  <c r="K82" i="5" a="1"/>
  <c r="K82" i="5" s="1"/>
  <c r="V82" i="5" s="1"/>
  <c r="AI42" i="1"/>
  <c r="D68" i="5"/>
  <c r="BC42" i="1"/>
  <c r="AP16" i="7"/>
  <c r="AP14" i="7"/>
  <c r="AS16" i="7"/>
  <c r="AQ16" i="7"/>
  <c r="F75" i="5"/>
  <c r="E75" i="5"/>
  <c r="V31" i="8" s="1"/>
  <c r="D75" i="5"/>
  <c r="P75" i="5" s="1" a="1"/>
  <c r="P75" i="5" s="1"/>
  <c r="AA75" i="5" s="1"/>
  <c r="B75" i="5"/>
  <c r="N87" i="5"/>
  <c r="H82" i="5" a="1"/>
  <c r="H82" i="5" s="1"/>
  <c r="S82" i="5" s="1"/>
  <c r="D65" i="5"/>
  <c r="L65" i="5" s="1" a="1"/>
  <c r="L65" i="5" s="1"/>
  <c r="W65" i="5" s="1"/>
  <c r="E68" i="5"/>
  <c r="AU37" i="1"/>
  <c r="J82" i="5" a="1"/>
  <c r="J82" i="5" s="1"/>
  <c r="U82" i="5" s="1"/>
  <c r="D64" i="5"/>
  <c r="M64" i="5" s="1" a="1"/>
  <c r="M64" i="5" s="1"/>
  <c r="X64" i="5" s="1"/>
  <c r="AX37" i="1"/>
  <c r="H83" i="5" a="1"/>
  <c r="H83" i="5" s="1"/>
  <c r="S83" i="5" s="1"/>
  <c r="V87" i="5"/>
  <c r="AC83" i="5"/>
  <c r="AD83" i="5"/>
  <c r="AB83" i="5"/>
  <c r="I83" i="5" a="1"/>
  <c r="I83" i="5" s="1"/>
  <c r="T83" i="5" s="1"/>
  <c r="F83" i="5"/>
  <c r="N83" i="5" a="1"/>
  <c r="N83" i="5" s="1"/>
  <c r="Y83" i="5" s="1"/>
  <c r="M83" i="5" a="1"/>
  <c r="M83" i="5" s="1"/>
  <c r="X83" i="5" s="1"/>
  <c r="L83" i="5" a="1"/>
  <c r="L83" i="5" s="1"/>
  <c r="W83" i="5" s="1"/>
  <c r="J83" i="5" a="1"/>
  <c r="J83" i="5" s="1"/>
  <c r="U83" i="5" s="1"/>
  <c r="B83" i="5"/>
  <c r="G83" i="5" a="1"/>
  <c r="G83" i="5" s="1"/>
  <c r="R83" i="5" s="1"/>
  <c r="C119" i="5"/>
  <c r="E65" i="5"/>
  <c r="V21" i="8" s="1"/>
  <c r="F65" i="5"/>
  <c r="B65" i="5"/>
  <c r="AO42" i="1"/>
  <c r="D78" i="5"/>
  <c r="P87" i="5"/>
  <c r="B77" i="5"/>
  <c r="C131" i="5"/>
  <c r="D77" i="5"/>
  <c r="I77" i="5" s="1" a="1"/>
  <c r="I77" i="5" s="1"/>
  <c r="T77" i="5" s="1"/>
  <c r="E77" i="5"/>
  <c r="D87" i="5"/>
  <c r="C137" i="5"/>
  <c r="AY37" i="1"/>
  <c r="AJ22" i="4"/>
  <c r="AI22" i="4"/>
  <c r="AH22" i="4"/>
  <c r="C129" i="5"/>
  <c r="C124" i="5"/>
  <c r="D70" i="5"/>
  <c r="K70" i="5" s="1" a="1"/>
  <c r="K70" i="5" s="1"/>
  <c r="V70" i="5" s="1"/>
  <c r="F70" i="5"/>
  <c r="E70" i="5"/>
  <c r="K83" i="5" a="1"/>
  <c r="K83" i="5" s="1"/>
  <c r="V83" i="5" s="1"/>
  <c r="O83" i="5" a="1"/>
  <c r="O83" i="5" s="1"/>
  <c r="Z83" i="5" s="1"/>
  <c r="E78" i="5"/>
  <c r="Q87" i="5"/>
  <c r="F67" i="5"/>
  <c r="E67" i="5"/>
  <c r="V20" i="8"/>
  <c r="F64" i="5"/>
  <c r="C118" i="5"/>
  <c r="C87" i="5"/>
  <c r="D67" i="5"/>
  <c r="G67" i="5" s="1" a="1"/>
  <c r="G67" i="5" s="1"/>
  <c r="R67" i="5" s="1"/>
  <c r="F68" i="5"/>
  <c r="BA37" i="1"/>
  <c r="AW42" i="1"/>
  <c r="AK42" i="1"/>
  <c r="AJ42" i="1"/>
  <c r="AV42" i="1"/>
  <c r="AP42" i="1"/>
  <c r="BA42" i="1"/>
  <c r="AY42" i="1"/>
  <c r="AX42" i="1"/>
  <c r="AU42" i="1"/>
  <c r="AS42" i="1"/>
  <c r="AR42" i="1"/>
  <c r="AQ42" i="1"/>
  <c r="BD42" i="1"/>
  <c r="BB42" i="1"/>
  <c r="AZ42" i="1"/>
  <c r="AM42" i="1"/>
  <c r="D71" i="5"/>
  <c r="L71" i="5" s="1" a="1"/>
  <c r="L71" i="5" s="1"/>
  <c r="W71" i="5" s="1"/>
  <c r="D83" i="5"/>
  <c r="AH42" i="1" a="1"/>
  <c r="AH42" i="1" s="1"/>
  <c r="D79" i="5"/>
  <c r="K79" i="5" s="1" a="1"/>
  <c r="K79" i="5" s="1"/>
  <c r="V79" i="5" s="1"/>
  <c r="C122" i="5"/>
  <c r="AW37" i="1"/>
  <c r="F87" i="5"/>
  <c r="BC48" i="1"/>
  <c r="AI48" i="1"/>
  <c r="BB48" i="1"/>
  <c r="BA48" i="1"/>
  <c r="AG48" i="1" a="1"/>
  <c r="AG48" i="1" s="1"/>
  <c r="AS48" i="1"/>
  <c r="AO48" i="1"/>
  <c r="AM48" i="1"/>
  <c r="AU48" i="1"/>
  <c r="AR48" i="1"/>
  <c r="AQ48" i="1"/>
  <c r="AP48" i="1"/>
  <c r="AL48" i="1"/>
  <c r="AK48" i="1"/>
  <c r="AJ48" i="1"/>
  <c r="BD48" i="1"/>
  <c r="AY48" i="1"/>
  <c r="AX48" i="1"/>
  <c r="AN48" i="1"/>
  <c r="O87" i="5"/>
  <c r="H76" i="5" a="1"/>
  <c r="H76" i="5" s="1"/>
  <c r="S76" i="5" s="1"/>
  <c r="K76" i="5" a="1"/>
  <c r="K76" i="5" s="1"/>
  <c r="J76" i="5" a="1"/>
  <c r="J76" i="5" s="1"/>
  <c r="U76" i="5" s="1"/>
  <c r="I76" i="5" a="1"/>
  <c r="I76" i="5" s="1"/>
  <c r="T76" i="5" s="1"/>
  <c r="C130" i="5"/>
  <c r="AT39" i="1"/>
  <c r="AW39" i="1"/>
  <c r="AV39" i="1"/>
  <c r="AM39" i="1"/>
  <c r="BB39" i="1"/>
  <c r="AQ39" i="1"/>
  <c r="AO39" i="1"/>
  <c r="AN39" i="1"/>
  <c r="AL39" i="1"/>
  <c r="AJ39" i="1"/>
  <c r="AI39" i="1"/>
  <c r="AH39" i="1" a="1"/>
  <c r="AH39" i="1" s="1"/>
  <c r="AE7" i="7" a="1"/>
  <c r="AE7" i="7" s="1"/>
  <c r="B69" i="5"/>
  <c r="D69" i="5"/>
  <c r="M69" i="5" s="1" a="1"/>
  <c r="M69" i="5" s="1"/>
  <c r="AP39" i="1"/>
  <c r="AY44" i="1"/>
  <c r="AP44" i="1"/>
  <c r="AO44" i="1"/>
  <c r="BB44" i="1"/>
  <c r="AU44" i="1"/>
  <c r="AT44" i="1"/>
  <c r="AR44" i="1"/>
  <c r="AQ44" i="1"/>
  <c r="AN44" i="1"/>
  <c r="AL44" i="1"/>
  <c r="AK44" i="1"/>
  <c r="AJ44" i="1"/>
  <c r="BA46" i="1"/>
  <c r="AV46" i="1"/>
  <c r="AU46" i="1"/>
  <c r="AM46" i="1"/>
  <c r="BB46" i="1"/>
  <c r="AG46" i="1" a="1"/>
  <c r="AG46" i="1" s="1"/>
  <c r="AT46" i="1"/>
  <c r="AR46" i="1"/>
  <c r="AQ46" i="1"/>
  <c r="AP46" i="1"/>
  <c r="AN46" i="1"/>
  <c r="AL46" i="1"/>
  <c r="AK46" i="1"/>
  <c r="AK11" i="4"/>
  <c r="AJ11" i="4"/>
  <c r="AI11" i="4"/>
  <c r="AH11" i="4"/>
  <c r="E69" i="5"/>
  <c r="G76" i="5" a="1"/>
  <c r="G76" i="5" s="1"/>
  <c r="R76" i="5" s="1"/>
  <c r="AR39" i="1"/>
  <c r="AG44" i="1" a="1"/>
  <c r="AG44" i="1" s="1"/>
  <c r="G78" i="1"/>
  <c r="I78" i="1"/>
  <c r="H78" i="1"/>
  <c r="L76" i="5" a="1"/>
  <c r="L76" i="5" s="1"/>
  <c r="AU39" i="1"/>
  <c r="AI44" i="1"/>
  <c r="AI46" i="1"/>
  <c r="AG6" i="7" a="1"/>
  <c r="AG6" i="7" s="1"/>
  <c r="D6" i="5" a="1"/>
  <c r="D6" i="5" s="1"/>
  <c r="D12" i="5" s="1"/>
  <c r="AH6" i="7" a="1"/>
  <c r="AH6" i="7" s="1"/>
  <c r="CP28" i="3"/>
  <c r="AH26" i="7" a="1"/>
  <c r="AH26" i="7" s="1"/>
  <c r="FR28" i="3"/>
  <c r="AJ26" i="7" s="1" a="1"/>
  <c r="AJ26" i="7" s="1"/>
  <c r="AI24" i="7" a="1"/>
  <c r="AI24" i="7" s="1"/>
  <c r="FJ28" i="3"/>
  <c r="AJ24" i="7" s="1" a="1"/>
  <c r="AJ24" i="7" s="1"/>
  <c r="D53" i="6"/>
  <c r="B53" i="6"/>
  <c r="F53" i="6" a="1"/>
  <c r="F53" i="6" s="1"/>
  <c r="E53" i="6" a="1"/>
  <c r="E53" i="6" s="1"/>
  <c r="E20" i="7"/>
  <c r="BF49" i="1" s="1"/>
  <c r="AG21" i="2"/>
  <c r="AT35" i="1"/>
  <c r="AO35" i="1"/>
  <c r="AN35" i="1"/>
  <c r="AU35" i="1"/>
  <c r="BB35" i="1"/>
  <c r="AV41" i="1"/>
  <c r="BC41" i="1"/>
  <c r="AH41" i="1" a="1"/>
  <c r="AH41" i="1" s="1"/>
  <c r="BB41" i="1"/>
  <c r="AS41" i="1"/>
  <c r="AM41" i="1"/>
  <c r="AY45" i="1"/>
  <c r="AL51" i="1"/>
  <c r="AQ51" i="1"/>
  <c r="AP51" i="1"/>
  <c r="BB51" i="1"/>
  <c r="AX51" i="1"/>
  <c r="AV51" i="1"/>
  <c r="BC35" i="1"/>
  <c r="BA45" i="1"/>
  <c r="BH53" i="1"/>
  <c r="AN53" i="1"/>
  <c r="AW53" i="1"/>
  <c r="AV53" i="1"/>
  <c r="AM53" i="1"/>
  <c r="BD53" i="1"/>
  <c r="AI53" i="1"/>
  <c r="BB53" i="1"/>
  <c r="BA53" i="1"/>
  <c r="AG53" i="1" a="1"/>
  <c r="AG53" i="1" s="1"/>
  <c r="B66" i="5"/>
  <c r="V36" i="8"/>
  <c r="D80" i="5"/>
  <c r="AI41" i="1"/>
  <c r="BD49" i="1"/>
  <c r="AJ49" i="1"/>
  <c r="AK49" i="1"/>
  <c r="AI49" i="1"/>
  <c r="AV49" i="1"/>
  <c r="AR49" i="1"/>
  <c r="AP49" i="1"/>
  <c r="AH51" i="1" a="1"/>
  <c r="AH51" i="1" s="1"/>
  <c r="AH53" i="1" a="1"/>
  <c r="AH53" i="1" s="1"/>
  <c r="AG11" i="2"/>
  <c r="EH28" i="3"/>
  <c r="AJ17" i="7" s="1" a="1"/>
  <c r="AJ17" i="7" s="1"/>
  <c r="AH17" i="7" a="1"/>
  <c r="AH17" i="7" s="1"/>
  <c r="AH35" i="1" a="1"/>
  <c r="AH35" i="1" s="1"/>
  <c r="AJ41" i="1"/>
  <c r="AZ45" i="1"/>
  <c r="AG45" i="1" a="1"/>
  <c r="AG45" i="1" s="1"/>
  <c r="AS45" i="1"/>
  <c r="AR45" i="1"/>
  <c r="AJ45" i="1"/>
  <c r="AX45" i="1"/>
  <c r="BD45" i="1"/>
  <c r="D66" i="5"/>
  <c r="H66" i="5" s="1" a="1"/>
  <c r="H66" i="5" s="1"/>
  <c r="F80" i="5"/>
  <c r="AI35" i="1"/>
  <c r="AK41" i="1"/>
  <c r="AG49" i="1" a="1"/>
  <c r="AG49" i="1" s="1"/>
  <c r="AJ51" i="1"/>
  <c r="AK53" i="1"/>
  <c r="AL25" i="4"/>
  <c r="AJ25" i="4"/>
  <c r="AI25" i="4"/>
  <c r="AH25" i="4"/>
  <c r="AK25" i="4"/>
  <c r="AN41" i="1"/>
  <c r="AH45" i="1" a="1"/>
  <c r="AH45" i="1" s="1"/>
  <c r="AH49" i="1" a="1"/>
  <c r="AH49" i="1" s="1"/>
  <c r="AM51" i="1"/>
  <c r="AO53" i="1"/>
  <c r="E60" i="6" a="1"/>
  <c r="E60" i="6" s="1"/>
  <c r="D60" i="6"/>
  <c r="B60" i="6"/>
  <c r="AY38" i="1"/>
  <c r="AM52" i="1"/>
  <c r="AY52" i="1"/>
  <c r="EP28" i="3"/>
  <c r="AJ19" i="7" s="1" a="1"/>
  <c r="AJ19" i="7" s="1"/>
  <c r="AH19" i="7" a="1"/>
  <c r="AH19" i="7" s="1"/>
  <c r="BA13" i="7"/>
  <c r="BJ13" i="7"/>
  <c r="E13" i="7"/>
  <c r="P13" i="7" s="1"/>
  <c r="AA8" i="7"/>
  <c r="B13" i="7"/>
  <c r="AA13" i="7"/>
  <c r="O13" i="7"/>
  <c r="AO13" i="7"/>
  <c r="ET28" i="3"/>
  <c r="AJ20" i="7" s="1" a="1"/>
  <c r="AJ20" i="7" s="1"/>
  <c r="AI20" i="7" a="1"/>
  <c r="AI20" i="7" s="1"/>
  <c r="AK6" i="4"/>
  <c r="AJ6" i="4"/>
  <c r="AH6" i="4"/>
  <c r="BA22" i="7"/>
  <c r="AO22" i="7"/>
  <c r="BJ22" i="7"/>
  <c r="E22" i="7"/>
  <c r="BF51" i="1" s="1"/>
  <c r="B22" i="7"/>
  <c r="AA22" i="7"/>
  <c r="O22" i="7"/>
  <c r="AL24" i="4"/>
  <c r="AJ24" i="4"/>
  <c r="AI24" i="4"/>
  <c r="AH24" i="4"/>
  <c r="AK50" i="1"/>
  <c r="AY50" i="1"/>
  <c r="AG14" i="2"/>
  <c r="AI14" i="2" s="1"/>
  <c r="E12" i="7"/>
  <c r="AK24" i="4"/>
  <c r="B59" i="6"/>
  <c r="F59" i="6" a="1"/>
  <c r="F59" i="6" s="1"/>
  <c r="E59" i="6" a="1"/>
  <c r="E59" i="6" s="1"/>
  <c r="D59" i="6"/>
  <c r="AF6" i="7" a="1"/>
  <c r="AF6" i="7" s="1"/>
  <c r="AK12" i="4"/>
  <c r="AI12" i="4"/>
  <c r="AH12" i="4"/>
  <c r="AJ12" i="4"/>
  <c r="AH13" i="4"/>
  <c r="AK13" i="4"/>
  <c r="AJ13" i="4"/>
  <c r="AA14" i="7"/>
  <c r="B72" i="5"/>
  <c r="B81" i="5"/>
  <c r="BC36" i="1"/>
  <c r="AI36" i="1"/>
  <c r="AY36" i="1"/>
  <c r="AR38" i="1"/>
  <c r="AY40" i="1"/>
  <c r="AM50" i="1"/>
  <c r="AS52" i="1"/>
  <c r="AY54" i="1"/>
  <c r="AI13" i="4"/>
  <c r="F61" i="6" a="1"/>
  <c r="F61" i="6" s="1"/>
  <c r="D61" i="6"/>
  <c r="B61" i="6"/>
  <c r="E61" i="6" a="1"/>
  <c r="E61" i="6" s="1"/>
  <c r="AT38" i="1"/>
  <c r="BB47" i="1"/>
  <c r="AH47" i="1" a="1"/>
  <c r="AH47" i="1" s="1"/>
  <c r="AY47" i="1"/>
  <c r="AN50" i="1"/>
  <c r="AT52" i="1"/>
  <c r="GJ21" i="3"/>
  <c r="AA11" i="7"/>
  <c r="D55" i="6"/>
  <c r="B55" i="6"/>
  <c r="F55" i="6" a="1"/>
  <c r="F55" i="6" s="1"/>
  <c r="E55" i="6" a="1"/>
  <c r="E55" i="6" s="1"/>
  <c r="E58" i="6" a="1"/>
  <c r="E58" i="6" s="1"/>
  <c r="D58" i="6"/>
  <c r="B58" i="6"/>
  <c r="BD2" i="7"/>
  <c r="BD1" i="7"/>
  <c r="DN28" i="3"/>
  <c r="AJ12" i="7" s="1" a="1"/>
  <c r="AJ12" i="7" s="1"/>
  <c r="AH12" i="7" a="1"/>
  <c r="AH12" i="7" s="1"/>
  <c r="AI10" i="7" a="1"/>
  <c r="AI10" i="7" s="1"/>
  <c r="DF28" i="3"/>
  <c r="AJ10" i="7" s="1" a="1"/>
  <c r="AJ10" i="7" s="1"/>
  <c r="D51" i="6"/>
  <c r="B51" i="6"/>
  <c r="F51" i="6" a="1"/>
  <c r="F51" i="6" s="1"/>
  <c r="E51" i="6" a="1"/>
  <c r="E51" i="6" s="1"/>
  <c r="BA8" i="7"/>
  <c r="BA17" i="7"/>
  <c r="D17" i="7"/>
  <c r="BE46" i="1" s="1"/>
  <c r="O17" i="7"/>
  <c r="AO7" i="7"/>
  <c r="O7" i="7"/>
  <c r="AA7" i="7"/>
  <c r="AO10" i="7"/>
  <c r="BJ10" i="7"/>
  <c r="Z11" i="7"/>
  <c r="AH14" i="7" a="1"/>
  <c r="AH14" i="7" s="1"/>
  <c r="E17" i="7"/>
  <c r="O19" i="7"/>
  <c r="Q24" i="7"/>
  <c r="BA24" i="7"/>
  <c r="D24" i="7"/>
  <c r="AA24" i="7"/>
  <c r="O24" i="7"/>
  <c r="BJ24" i="7"/>
  <c r="CT28" i="3"/>
  <c r="AJ7" i="7" s="1" a="1"/>
  <c r="AJ7" i="7" s="1"/>
  <c r="E8" i="7"/>
  <c r="P8" i="7" s="1"/>
  <c r="AA12" i="7"/>
  <c r="BA14" i="7"/>
  <c r="BJ14" i="7"/>
  <c r="BJ17" i="7"/>
  <c r="Y22" i="7"/>
  <c r="E24" i="7"/>
  <c r="AA19" i="7"/>
  <c r="BL25" i="7"/>
  <c r="BA18" i="7"/>
  <c r="B18" i="7"/>
  <c r="BA21" i="7"/>
  <c r="BJ21" i="7"/>
  <c r="AO21" i="7"/>
  <c r="Q25" i="7"/>
  <c r="BA25" i="7"/>
  <c r="D25" i="7"/>
  <c r="F25" i="7"/>
  <c r="E25" i="7"/>
  <c r="B25" i="7"/>
  <c r="AI14" i="4"/>
  <c r="AI17" i="4"/>
  <c r="AH20" i="4"/>
  <c r="AQ14" i="7"/>
  <c r="AA16" i="7"/>
  <c r="E18" i="7"/>
  <c r="BF47" i="1" s="1"/>
  <c r="E21" i="7"/>
  <c r="BF50" i="1" s="1"/>
  <c r="G25" i="7"/>
  <c r="AO25" i="7"/>
  <c r="BM25" i="7" a="1"/>
  <c r="BM25" i="7" s="1"/>
  <c r="AJ14" i="4"/>
  <c r="AJ17" i="4"/>
  <c r="AI20" i="4"/>
  <c r="AH23" i="4"/>
  <c r="D44" i="6"/>
  <c r="D48" i="6"/>
  <c r="AS14" i="7"/>
  <c r="BA15" i="7"/>
  <c r="BJ18" i="7"/>
  <c r="Y23" i="7"/>
  <c r="J24" i="7"/>
  <c r="H25" i="7"/>
  <c r="Y26" i="7"/>
  <c r="O8" i="7"/>
  <c r="BJ8" i="7"/>
  <c r="BJ11" i="7"/>
  <c r="AO18" i="7"/>
  <c r="J25" i="7"/>
  <c r="H7" i="8"/>
  <c r="A11" i="8" s="1"/>
  <c r="ED28" i="3"/>
  <c r="AJ16" i="7" s="1" a="1"/>
  <c r="AJ16" i="7" s="1"/>
  <c r="AI9" i="4"/>
  <c r="F48" i="6" a="1"/>
  <c r="F48" i="6" s="1"/>
  <c r="BJ7" i="7"/>
  <c r="Z9" i="7"/>
  <c r="E11" i="7"/>
  <c r="BF40" i="1" s="1"/>
  <c r="AO15" i="7"/>
  <c r="AA17" i="7"/>
  <c r="AA20" i="7"/>
  <c r="P24" i="7"/>
  <c r="BA19" i="7"/>
  <c r="D19" i="7"/>
  <c r="BE48" i="1" s="1"/>
  <c r="P25" i="7"/>
  <c r="AJ21" i="4"/>
  <c r="Z25" i="7"/>
  <c r="Z24" i="7"/>
  <c r="Z23" i="7"/>
  <c r="Z22" i="7"/>
  <c r="Z21" i="7"/>
  <c r="Z20" i="7"/>
  <c r="Z19" i="7"/>
  <c r="Z18" i="7"/>
  <c r="Z17" i="7"/>
  <c r="Z16" i="7"/>
  <c r="Z15" i="7"/>
  <c r="Z14" i="7"/>
  <c r="Z13" i="7"/>
  <c r="Y27" i="7"/>
  <c r="Y15" i="7"/>
  <c r="Y10" i="7"/>
  <c r="Y8" i="7"/>
  <c r="Z6" i="7"/>
  <c r="Y24" i="7"/>
  <c r="Z7" i="7"/>
  <c r="Z12" i="7"/>
  <c r="O18" i="7"/>
  <c r="BJ19" i="7"/>
  <c r="Y21" i="7"/>
  <c r="Y25" i="7"/>
  <c r="AH7" i="4"/>
  <c r="D45" i="6"/>
  <c r="B9" i="7"/>
  <c r="BJ9" i="7"/>
  <c r="AA9" i="7"/>
  <c r="E10" i="7"/>
  <c r="BF39" i="1" s="1"/>
  <c r="AO11" i="7"/>
  <c r="AA21" i="7"/>
  <c r="B23" i="7"/>
  <c r="AH23" i="7" a="1"/>
  <c r="AH23" i="7" s="1"/>
  <c r="AA25" i="7"/>
  <c r="Y6" i="7"/>
  <c r="O15" i="7"/>
  <c r="AR16" i="7"/>
  <c r="Y18" i="7"/>
  <c r="AO19" i="7"/>
  <c r="BA23" i="7"/>
  <c r="Z27" i="7"/>
  <c r="O11" i="7"/>
  <c r="AA15" i="7"/>
  <c r="AA18" i="7"/>
  <c r="BA20" i="7"/>
  <c r="BA16" i="7"/>
  <c r="E4" i="8" l="1"/>
  <c r="AT71" i="5"/>
  <c r="AT74" i="5"/>
  <c r="AT77" i="5"/>
  <c r="AT80" i="5"/>
  <c r="AT83" i="5"/>
  <c r="AT66" i="5"/>
  <c r="AT69" i="5"/>
  <c r="AT72" i="5"/>
  <c r="AT75" i="5"/>
  <c r="H161" i="5"/>
  <c r="AT64" i="5"/>
  <c r="G161" i="5"/>
  <c r="AT70" i="5"/>
  <c r="AT73" i="5"/>
  <c r="I161" i="5"/>
  <c r="AT81" i="5"/>
  <c r="AT67" i="5"/>
  <c r="AT76" i="5"/>
  <c r="AT79" i="5"/>
  <c r="AT82" i="5"/>
  <c r="AT65" i="5"/>
  <c r="AT68" i="5"/>
  <c r="I151" i="5"/>
  <c r="H151" i="5"/>
  <c r="G151" i="5"/>
  <c r="AL76" i="5"/>
  <c r="AL79" i="5"/>
  <c r="AL75" i="5"/>
  <c r="AL69" i="5"/>
  <c r="AL64" i="5"/>
  <c r="AL70" i="5"/>
  <c r="AL74" i="5"/>
  <c r="AL73" i="5"/>
  <c r="AL71" i="5"/>
  <c r="AL81" i="5"/>
  <c r="AL66" i="5"/>
  <c r="AL72" i="5"/>
  <c r="AL78" i="5"/>
  <c r="AL67" i="5"/>
  <c r="AL65" i="5"/>
  <c r="AL83" i="5"/>
  <c r="AL82" i="5"/>
  <c r="AL77" i="5"/>
  <c r="AL80" i="5"/>
  <c r="AL68" i="5"/>
  <c r="GN12" i="3"/>
  <c r="H13" i="7" s="1"/>
  <c r="J13" i="7" s="1"/>
  <c r="N99" i="1"/>
  <c r="AP26" i="8"/>
  <c r="O95" i="1"/>
  <c r="AR22" i="8"/>
  <c r="N96" i="1"/>
  <c r="AP23" i="8"/>
  <c r="O94" i="1"/>
  <c r="AR21" i="8"/>
  <c r="O104" i="1"/>
  <c r="AR31" i="8"/>
  <c r="O105" i="1"/>
  <c r="AR32" i="8"/>
  <c r="O97" i="1"/>
  <c r="AR24" i="8"/>
  <c r="O109" i="1"/>
  <c r="AR36" i="8"/>
  <c r="N94" i="1"/>
  <c r="AP21" i="8"/>
  <c r="O103" i="1"/>
  <c r="AR30" i="8"/>
  <c r="N106" i="1"/>
  <c r="AP33" i="8"/>
  <c r="O98" i="1"/>
  <c r="AR25" i="8"/>
  <c r="N110" i="1"/>
  <c r="AP37" i="8"/>
  <c r="O96" i="1"/>
  <c r="AR23" i="8"/>
  <c r="N95" i="1"/>
  <c r="AP22" i="8"/>
  <c r="O108" i="1"/>
  <c r="AR35" i="8"/>
  <c r="O107" i="1"/>
  <c r="AR34" i="8"/>
  <c r="N103" i="1"/>
  <c r="AP30" i="8"/>
  <c r="N105" i="1"/>
  <c r="AP32" i="8"/>
  <c r="O100" i="1"/>
  <c r="AR27" i="8"/>
  <c r="O93" i="1"/>
  <c r="AR20" i="8"/>
  <c r="O106" i="1"/>
  <c r="AR33" i="8"/>
  <c r="O101" i="1"/>
  <c r="AR28" i="8"/>
  <c r="N93" i="1"/>
  <c r="AP20" i="8"/>
  <c r="N109" i="1"/>
  <c r="AP36" i="8"/>
  <c r="K24" i="6"/>
  <c r="K20" i="6"/>
  <c r="K21" i="6"/>
  <c r="K23" i="6"/>
  <c r="K35" i="6"/>
  <c r="K36" i="6"/>
  <c r="K26" i="6"/>
  <c r="G8" i="7"/>
  <c r="BG37" i="1" s="1"/>
  <c r="G11" i="7"/>
  <c r="BG40" i="1" s="1"/>
  <c r="G10" i="7"/>
  <c r="Q10" i="7" s="1"/>
  <c r="G7" i="7"/>
  <c r="Q7" i="7" s="1"/>
  <c r="K22" i="6"/>
  <c r="G17" i="7"/>
  <c r="BG46" i="1" s="1"/>
  <c r="K25" i="6"/>
  <c r="K34" i="6"/>
  <c r="K27" i="6"/>
  <c r="O110" i="1"/>
  <c r="G19" i="7"/>
  <c r="BG48" i="1" s="1"/>
  <c r="N98" i="1"/>
  <c r="N100" i="1"/>
  <c r="N104" i="1"/>
  <c r="O102" i="1"/>
  <c r="N102" i="1"/>
  <c r="O99" i="1"/>
  <c r="N108" i="1"/>
  <c r="N97" i="1"/>
  <c r="G13" i="7"/>
  <c r="Q13" i="7" s="1"/>
  <c r="J28" i="6"/>
  <c r="G12" i="7"/>
  <c r="BG41" i="1" s="1"/>
  <c r="G9" i="7"/>
  <c r="BG38" i="1" s="1"/>
  <c r="G15" i="7"/>
  <c r="BG44" i="1" s="1"/>
  <c r="N107" i="1"/>
  <c r="J51" i="6" a="1"/>
  <c r="J51" i="6" s="1"/>
  <c r="G46" i="6" a="1"/>
  <c r="G46" i="6" s="1"/>
  <c r="H46" i="6" s="1"/>
  <c r="I50" i="6" a="1"/>
  <c r="I50" i="6" s="1"/>
  <c r="J19" i="6"/>
  <c r="J47" i="6" a="1"/>
  <c r="J47" i="6" s="1"/>
  <c r="G22" i="7"/>
  <c r="Q22" i="7" s="1"/>
  <c r="G23" i="7"/>
  <c r="Q23" i="7" s="1"/>
  <c r="J50" i="6" a="1"/>
  <c r="J50" i="6" s="1"/>
  <c r="K50" i="6" a="1"/>
  <c r="K50" i="6" s="1"/>
  <c r="K43" i="6" a="1"/>
  <c r="K43" i="6" s="1"/>
  <c r="I46" i="6" a="1"/>
  <c r="I46" i="6" s="1"/>
  <c r="G18" i="7"/>
  <c r="BG47" i="1" s="1"/>
  <c r="J42" i="6" a="1"/>
  <c r="J42" i="6" s="1"/>
  <c r="I42" i="6" a="1"/>
  <c r="I42" i="6" s="1"/>
  <c r="J18" i="6"/>
  <c r="G21" i="7"/>
  <c r="BG50" i="1" s="1"/>
  <c r="G14" i="7"/>
  <c r="BG43" i="1" s="1"/>
  <c r="G44" i="6" a="1"/>
  <c r="G44" i="6" s="1"/>
  <c r="H44" i="6" s="1"/>
  <c r="J32" i="6"/>
  <c r="G51" i="6" a="1"/>
  <c r="G51" i="6" s="1"/>
  <c r="H51" i="6" s="1"/>
  <c r="I43" i="6" a="1"/>
  <c r="I43" i="6" s="1"/>
  <c r="J35" i="6"/>
  <c r="K19" i="6"/>
  <c r="K47" i="6" a="1"/>
  <c r="K47" i="6" s="1"/>
  <c r="K51" i="6" a="1"/>
  <c r="K51" i="6" s="1"/>
  <c r="J20" i="6"/>
  <c r="J37" i="6"/>
  <c r="I44" i="6" a="1"/>
  <c r="I44" i="6" s="1"/>
  <c r="G59" i="6" a="1"/>
  <c r="G59" i="6" s="1"/>
  <c r="H59" i="6" s="1"/>
  <c r="J59" i="6" a="1"/>
  <c r="J59" i="6" s="1"/>
  <c r="K59" i="6" a="1"/>
  <c r="K59" i="6" s="1"/>
  <c r="J23" i="6"/>
  <c r="K57" i="6" a="1"/>
  <c r="K57" i="6" s="1"/>
  <c r="G45" i="6" a="1"/>
  <c r="G45" i="6" s="1"/>
  <c r="H45" i="6" s="1"/>
  <c r="I49" i="6" a="1"/>
  <c r="I49" i="6" s="1"/>
  <c r="K49" i="6" a="1"/>
  <c r="K49" i="6" s="1"/>
  <c r="J21" i="6"/>
  <c r="J38" i="6"/>
  <c r="I47" i="6" a="1"/>
  <c r="I47" i="6" s="1"/>
  <c r="I45" i="6" a="1"/>
  <c r="I45" i="6" s="1"/>
  <c r="K46" i="6" a="1"/>
  <c r="K46" i="6" s="1"/>
  <c r="K32" i="6"/>
  <c r="I57" i="6" a="1"/>
  <c r="I57" i="6" s="1"/>
  <c r="J57" i="6" a="1"/>
  <c r="J57" i="6" s="1"/>
  <c r="J26" i="6"/>
  <c r="K54" i="6" a="1"/>
  <c r="K54" i="6" s="1"/>
  <c r="K18" i="6"/>
  <c r="I48" i="6" a="1"/>
  <c r="I48" i="6" s="1"/>
  <c r="J49" i="6" a="1"/>
  <c r="J49" i="6" s="1"/>
  <c r="G57" i="6" a="1"/>
  <c r="G57" i="6" s="1"/>
  <c r="H57" i="6" s="1"/>
  <c r="J48" i="6" a="1"/>
  <c r="J48" i="6" s="1"/>
  <c r="J53" i="6" a="1"/>
  <c r="J53" i="6" s="1"/>
  <c r="K48" i="6" a="1"/>
  <c r="K48" i="6" s="1"/>
  <c r="K53" i="6" a="1"/>
  <c r="K53" i="6" s="1"/>
  <c r="I56" i="6" a="1"/>
  <c r="I56" i="6" s="1"/>
  <c r="K42" i="6" a="1"/>
  <c r="K42" i="6" s="1"/>
  <c r="K58" i="6" a="1"/>
  <c r="K58" i="6" s="1"/>
  <c r="G53" i="6" a="1"/>
  <c r="G53" i="6" s="1"/>
  <c r="H53" i="6" s="1"/>
  <c r="J54" i="6" a="1"/>
  <c r="J54" i="6" s="1"/>
  <c r="I55" i="6" a="1"/>
  <c r="I55" i="6" s="1"/>
  <c r="K55" i="6" a="1"/>
  <c r="K55" i="6" s="1"/>
  <c r="J58" i="6" a="1"/>
  <c r="J58" i="6" s="1"/>
  <c r="I58" i="6" a="1"/>
  <c r="I58" i="6" s="1"/>
  <c r="K44" i="6" a="1"/>
  <c r="K44" i="6" s="1"/>
  <c r="K56" i="6" a="1"/>
  <c r="K56" i="6" s="1"/>
  <c r="G43" i="6" a="1"/>
  <c r="G43" i="6" s="1"/>
  <c r="H43" i="6" s="1"/>
  <c r="G55" i="6" a="1"/>
  <c r="G55" i="6" s="1"/>
  <c r="H55" i="6" s="1"/>
  <c r="J45" i="6" a="1"/>
  <c r="J45" i="6" s="1"/>
  <c r="I54" i="6" a="1"/>
  <c r="I54" i="6" s="1"/>
  <c r="J56" i="6" a="1"/>
  <c r="J56" i="6" s="1"/>
  <c r="N101" i="1"/>
  <c r="L21" i="8"/>
  <c r="L31" i="8"/>
  <c r="E6" i="5" a="1"/>
  <c r="E6" i="5" s="1"/>
  <c r="D13" i="5" s="1"/>
  <c r="GF9" i="3" a="1"/>
  <c r="GF9" i="3" s="1"/>
  <c r="F10" i="7" s="1"/>
  <c r="GF12" i="3" a="1"/>
  <c r="GF12" i="3" s="1"/>
  <c r="F13" i="7" s="1"/>
  <c r="GF14" i="3" a="1"/>
  <c r="GF14" i="3" s="1"/>
  <c r="BL15" i="7" s="1"/>
  <c r="GF8" i="3" a="1"/>
  <c r="GF8" i="3" s="1"/>
  <c r="F9" i="7" s="1"/>
  <c r="GF20" i="3" a="1"/>
  <c r="GF20" i="3" s="1"/>
  <c r="F21" i="7" s="1"/>
  <c r="GF11" i="3" a="1"/>
  <c r="GF11" i="3" s="1"/>
  <c r="F12" i="7" s="1"/>
  <c r="GF15" i="3" a="1"/>
  <c r="GF15" i="3" s="1"/>
  <c r="GF13" i="3" a="1"/>
  <c r="GF13" i="3" s="1"/>
  <c r="BL14" i="7" s="1"/>
  <c r="GF10" i="3" a="1"/>
  <c r="GF10" i="3" s="1"/>
  <c r="BL11" i="7" s="1"/>
  <c r="GF5" i="3" a="1"/>
  <c r="GF5" i="3" s="1"/>
  <c r="GF6" i="3" a="1"/>
  <c r="GF6" i="3" s="1"/>
  <c r="BL7" i="7" s="1"/>
  <c r="GF17" i="3" a="1"/>
  <c r="GF17" i="3" s="1"/>
  <c r="F18" i="7" s="1"/>
  <c r="GF18" i="3" a="1"/>
  <c r="GF18" i="3" s="1"/>
  <c r="F19" i="7" s="1"/>
  <c r="GF7" i="3" a="1"/>
  <c r="GF7" i="3" s="1"/>
  <c r="GF21" i="3" a="1"/>
  <c r="GF21" i="3" s="1"/>
  <c r="F22" i="7" s="1"/>
  <c r="GF19" i="3" a="1"/>
  <c r="GF19" i="3" s="1"/>
  <c r="BL20" i="7" s="1"/>
  <c r="GF16" i="3" a="1"/>
  <c r="GF16" i="3" s="1"/>
  <c r="F17" i="7" s="1"/>
  <c r="GF22" i="3" a="1"/>
  <c r="GF22" i="3" s="1"/>
  <c r="F23" i="7" s="1"/>
  <c r="FV28" i="3"/>
  <c r="AJ27" i="7" s="1" a="1"/>
  <c r="AJ27" i="7" s="1"/>
  <c r="FB28" i="3"/>
  <c r="AJ22" i="7" s="1" a="1"/>
  <c r="AJ22" i="7" s="1"/>
  <c r="AI15" i="7" a="1"/>
  <c r="AI15" i="7" s="1"/>
  <c r="FN28" i="3"/>
  <c r="AJ25" i="7" s="1" a="1"/>
  <c r="AJ25" i="7" s="1"/>
  <c r="DR28" i="3"/>
  <c r="AJ13" i="7" s="1" a="1"/>
  <c r="AJ13" i="7" s="1"/>
  <c r="DJ28" i="3"/>
  <c r="AJ11" i="7" s="1" a="1"/>
  <c r="AJ11" i="7" s="1"/>
  <c r="GN11" i="3"/>
  <c r="H12" i="7" s="1"/>
  <c r="BH41" i="1" s="1"/>
  <c r="AV9" i="7"/>
  <c r="AL15" i="4"/>
  <c r="AC73" i="5" s="1"/>
  <c r="D21" i="7"/>
  <c r="BE50" i="1" s="1"/>
  <c r="GN15" i="3"/>
  <c r="H16" i="7" s="1"/>
  <c r="J16" i="7" s="1"/>
  <c r="AT24" i="7"/>
  <c r="AS6" i="7"/>
  <c r="AL7" i="4"/>
  <c r="AC65" i="5" s="1"/>
  <c r="P14" i="7"/>
  <c r="P15" i="7"/>
  <c r="D15" i="7"/>
  <c r="BE44" i="1" s="1"/>
  <c r="BG35" i="1"/>
  <c r="AR6" i="7"/>
  <c r="GN8" i="3"/>
  <c r="H9" i="7" s="1"/>
  <c r="J9" i="7" s="1"/>
  <c r="I63" i="1"/>
  <c r="GN5" i="3"/>
  <c r="H6" i="7" s="1"/>
  <c r="J6" i="7" s="1"/>
  <c r="P7" i="7"/>
  <c r="GN13" i="3"/>
  <c r="H14" i="7" s="1"/>
  <c r="J14" i="7" s="1"/>
  <c r="AR8" i="7"/>
  <c r="D22" i="7"/>
  <c r="BE51" i="1" s="1"/>
  <c r="GN22" i="3"/>
  <c r="H23" i="7" s="1"/>
  <c r="J23" i="7" s="1"/>
  <c r="AQ8" i="7"/>
  <c r="GN10" i="3"/>
  <c r="H11" i="7" s="1"/>
  <c r="J11" i="7" s="1"/>
  <c r="AP8" i="7"/>
  <c r="GN6" i="3"/>
  <c r="H7" i="7" s="1"/>
  <c r="J7" i="7" s="1"/>
  <c r="BF45" i="1"/>
  <c r="BH46" i="1"/>
  <c r="J17" i="7"/>
  <c r="D18" i="7"/>
  <c r="BE47" i="1" s="1"/>
  <c r="AI5" i="2"/>
  <c r="AJ5" i="2" s="1"/>
  <c r="AT6" i="7" s="1"/>
  <c r="AV12" i="7"/>
  <c r="I66" i="1" s="1"/>
  <c r="BG49" i="1"/>
  <c r="GN9" i="3"/>
  <c r="H10" i="7" s="1"/>
  <c r="BH39" i="1" s="1"/>
  <c r="AP17" i="7"/>
  <c r="AP9" i="7"/>
  <c r="AL9" i="4"/>
  <c r="AC67" i="5" s="1"/>
  <c r="GN19" i="3"/>
  <c r="H20" i="7" s="1"/>
  <c r="J20" i="7" s="1"/>
  <c r="K74" i="5" a="1"/>
  <c r="K74" i="5" s="1"/>
  <c r="V74" i="5" s="1"/>
  <c r="AL21" i="4"/>
  <c r="AC79" i="5" s="1"/>
  <c r="GN7" i="3"/>
  <c r="H8" i="7" s="1"/>
  <c r="J8" i="7" s="1"/>
  <c r="M74" i="5" a="1"/>
  <c r="M74" i="5" s="1"/>
  <c r="X74" i="5" s="1"/>
  <c r="P74" i="5" a="1"/>
  <c r="P74" i="5" s="1"/>
  <c r="AA74" i="5" s="1"/>
  <c r="AS12" i="7"/>
  <c r="AQ9" i="7"/>
  <c r="H74" i="5" a="1"/>
  <c r="H74" i="5" s="1"/>
  <c r="S74" i="5" s="1"/>
  <c r="AL8" i="4"/>
  <c r="AC66" i="5" s="1"/>
  <c r="AQ12" i="7"/>
  <c r="J74" i="5" a="1"/>
  <c r="J74" i="5" s="1"/>
  <c r="AR9" i="7"/>
  <c r="AW24" i="7"/>
  <c r="AL14" i="4"/>
  <c r="AC72" i="5" s="1"/>
  <c r="AD38" i="8"/>
  <c r="N74" i="5" a="1"/>
  <c r="N74" i="5" s="1"/>
  <c r="Y74" i="5" s="1"/>
  <c r="AL23" i="4"/>
  <c r="AC81" i="5" s="1"/>
  <c r="B128" i="5"/>
  <c r="V22" i="8"/>
  <c r="AL19" i="4"/>
  <c r="AC77" i="5" s="1"/>
  <c r="AJ6" i="2"/>
  <c r="AT7" i="7" s="1"/>
  <c r="P19" i="7"/>
  <c r="BF52" i="1"/>
  <c r="K81" i="5" a="1"/>
  <c r="K81" i="5" s="1"/>
  <c r="V81" i="5" s="1"/>
  <c r="P81" i="5" a="1"/>
  <c r="P81" i="5" s="1"/>
  <c r="N81" i="5" a="1"/>
  <c r="N81" i="5" s="1"/>
  <c r="O81" i="5" a="1"/>
  <c r="O81" i="5" s="1"/>
  <c r="H81" i="5" a="1"/>
  <c r="H81" i="5" s="1"/>
  <c r="S81" i="5" s="1"/>
  <c r="G81" i="5" a="1"/>
  <c r="G81" i="5" s="1"/>
  <c r="R81" i="5" s="1"/>
  <c r="T88" i="5" s="1"/>
  <c r="AQ23" i="7"/>
  <c r="V37" i="8"/>
  <c r="M81" i="5" a="1"/>
  <c r="M81" i="5" s="1"/>
  <c r="X81" i="5" s="1"/>
  <c r="I81" i="5" a="1"/>
  <c r="I81" i="5" s="1"/>
  <c r="T81" i="5" s="1"/>
  <c r="J81" i="5" a="1"/>
  <c r="J81" i="5" s="1"/>
  <c r="U81" i="5" s="1"/>
  <c r="D135" i="5"/>
  <c r="AW8" i="7"/>
  <c r="BF35" i="1"/>
  <c r="AR20" i="7"/>
  <c r="AL18" i="4"/>
  <c r="AC76" i="5" s="1"/>
  <c r="AP6" i="7"/>
  <c r="M67" i="5" a="1"/>
  <c r="M67" i="5" s="1"/>
  <c r="X67" i="5" s="1"/>
  <c r="N67" i="5" a="1"/>
  <c r="N67" i="5" s="1"/>
  <c r="Y67" i="5" s="1"/>
  <c r="AP20" i="7"/>
  <c r="AS20" i="7"/>
  <c r="N75" i="5" a="1"/>
  <c r="N75" i="5" s="1"/>
  <c r="Y75" i="5" s="1"/>
  <c r="BF41" i="1"/>
  <c r="AX24" i="7" a="1"/>
  <c r="AX24" i="7" s="1"/>
  <c r="P12" i="7"/>
  <c r="AQ20" i="7"/>
  <c r="I126" i="5"/>
  <c r="B126" i="5"/>
  <c r="AR24" i="7"/>
  <c r="H71" i="5" a="1"/>
  <c r="H71" i="5" s="1"/>
  <c r="S71" i="5" s="1"/>
  <c r="AT17" i="7"/>
  <c r="J67" i="5" a="1"/>
  <c r="J67" i="5" s="1"/>
  <c r="AS17" i="7"/>
  <c r="G74" i="5" a="1"/>
  <c r="G74" i="5" s="1"/>
  <c r="R74" i="5" s="1"/>
  <c r="M88" i="5" s="1"/>
  <c r="AL10" i="4"/>
  <c r="AC68" i="5" s="1"/>
  <c r="AS24" i="7"/>
  <c r="AW16" i="7"/>
  <c r="AR12" i="7"/>
  <c r="K64" i="5" a="1"/>
  <c r="K64" i="5" s="1"/>
  <c r="V64" i="5" s="1"/>
  <c r="L74" i="5" a="1"/>
  <c r="L74" i="5" s="1"/>
  <c r="W74" i="5" s="1"/>
  <c r="L64" i="5" a="1"/>
  <c r="L64" i="5" s="1"/>
  <c r="W64" i="5" s="1"/>
  <c r="O69" i="5" a="1"/>
  <c r="O69" i="5" s="1"/>
  <c r="Z69" i="5" s="1"/>
  <c r="AW9" i="7"/>
  <c r="AS23" i="7"/>
  <c r="AV23" i="7" s="1"/>
  <c r="I77" i="1" s="1"/>
  <c r="AT8" i="7"/>
  <c r="I123" i="5"/>
  <c r="B123" i="5"/>
  <c r="H64" i="5" a="1"/>
  <c r="H64" i="5" s="1"/>
  <c r="S64" i="5" s="1"/>
  <c r="AR17" i="7"/>
  <c r="Q16" i="7"/>
  <c r="Q8" i="7"/>
  <c r="AT23" i="7"/>
  <c r="D123" i="5"/>
  <c r="AJ18" i="2"/>
  <c r="AT19" i="7" s="1"/>
  <c r="AI13" i="2"/>
  <c r="AJ13" i="2" s="1"/>
  <c r="AT14" i="7" s="1"/>
  <c r="L77" i="5" a="1"/>
  <c r="L77" i="5" s="1"/>
  <c r="W77" i="5" s="1"/>
  <c r="O79" i="5" a="1"/>
  <c r="O79" i="5" s="1"/>
  <c r="Z79" i="5" s="1"/>
  <c r="D128" i="5"/>
  <c r="J75" i="5" a="1"/>
  <c r="J75" i="5" s="1"/>
  <c r="U75" i="5" s="1"/>
  <c r="J79" i="5" a="1"/>
  <c r="J79" i="5" s="1"/>
  <c r="U79" i="5" s="1"/>
  <c r="AB20" i="7"/>
  <c r="B134" i="5"/>
  <c r="P66" i="5" a="1"/>
  <c r="P66" i="5" s="1"/>
  <c r="AA66" i="5" s="1"/>
  <c r="N69" i="5" a="1"/>
  <c r="N69" i="5" s="1"/>
  <c r="Y69" i="5" s="1"/>
  <c r="G79" i="1"/>
  <c r="I79" i="1"/>
  <c r="AI8" i="2"/>
  <c r="AJ8" i="2" s="1"/>
  <c r="AT9" i="7" s="1"/>
  <c r="H79" i="5" a="1"/>
  <c r="H79" i="5" s="1"/>
  <c r="S79" i="5" s="1"/>
  <c r="H75" i="5" a="1"/>
  <c r="H75" i="5" s="1"/>
  <c r="S75" i="5" s="1"/>
  <c r="I64" i="5" a="1"/>
  <c r="I64" i="5" s="1"/>
  <c r="T64" i="5" s="1"/>
  <c r="O74" i="5" a="1"/>
  <c r="O74" i="5" s="1"/>
  <c r="J64" i="5" a="1"/>
  <c r="J64" i="5" s="1"/>
  <c r="U64" i="5" s="1"/>
  <c r="P64" i="5" a="1"/>
  <c r="P64" i="5" s="1"/>
  <c r="AA64" i="5" s="1"/>
  <c r="P9" i="7"/>
  <c r="M75" i="5" a="1"/>
  <c r="M75" i="5" s="1"/>
  <c r="X75" i="5" s="1"/>
  <c r="J19" i="7"/>
  <c r="AW12" i="7"/>
  <c r="K67" i="5" a="1"/>
  <c r="K67" i="5" s="1"/>
  <c r="V67" i="5" s="1"/>
  <c r="O75" i="5" a="1"/>
  <c r="O75" i="5" s="1"/>
  <c r="Z75" i="5" s="1"/>
  <c r="G71" i="5" a="1"/>
  <c r="G71" i="5" s="1"/>
  <c r="R71" i="5" s="1"/>
  <c r="J88" i="5" s="1"/>
  <c r="H72" i="5" a="1"/>
  <c r="H72" i="5" s="1"/>
  <c r="S72" i="5" s="1"/>
  <c r="AV16" i="7"/>
  <c r="I70" i="1" s="1"/>
  <c r="AR23" i="7"/>
  <c r="L73" i="5" a="1"/>
  <c r="L73" i="5" s="1"/>
  <c r="L79" i="5" a="1"/>
  <c r="L79" i="5" s="1"/>
  <c r="W79" i="5" s="1"/>
  <c r="N72" i="5" a="1"/>
  <c r="N72" i="5" s="1"/>
  <c r="Y72" i="5" s="1"/>
  <c r="K69" i="5" a="1"/>
  <c r="K69" i="5" s="1"/>
  <c r="V69" i="5" s="1"/>
  <c r="N79" i="5" a="1"/>
  <c r="N79" i="5" s="1"/>
  <c r="Y79" i="5" s="1"/>
  <c r="J65" i="5" a="1"/>
  <c r="J65" i="5" s="1"/>
  <c r="G77" i="5" a="1"/>
  <c r="G77" i="5" s="1"/>
  <c r="R77" i="5" s="1"/>
  <c r="P88" i="5" s="1"/>
  <c r="AL17" i="4"/>
  <c r="AC75" i="5" s="1"/>
  <c r="M77" i="5" a="1"/>
  <c r="M77" i="5" s="1"/>
  <c r="X77" i="5" s="1"/>
  <c r="I75" i="5" a="1"/>
  <c r="I75" i="5" s="1"/>
  <c r="B120" i="5"/>
  <c r="B5" i="1" a="1"/>
  <c r="K75" i="5" a="1"/>
  <c r="K75" i="5" s="1"/>
  <c r="V75" i="5" s="1"/>
  <c r="G72" i="5" a="1"/>
  <c r="G72" i="5" s="1"/>
  <c r="R72" i="5" s="1"/>
  <c r="K88" i="5" s="1"/>
  <c r="M72" i="5" a="1"/>
  <c r="M72" i="5" s="1"/>
  <c r="X72" i="5" s="1"/>
  <c r="J72" i="5" a="1"/>
  <c r="J72" i="5" s="1"/>
  <c r="U72" i="5" s="1"/>
  <c r="P72" i="5" a="1"/>
  <c r="P72" i="5" s="1"/>
  <c r="AA72" i="5" s="1"/>
  <c r="O72" i="5" a="1"/>
  <c r="O72" i="5" s="1"/>
  <c r="Z72" i="5" s="1"/>
  <c r="L72" i="5" a="1"/>
  <c r="L72" i="5" s="1"/>
  <c r="O77" i="5" a="1"/>
  <c r="O77" i="5" s="1"/>
  <c r="Z77" i="5" s="1"/>
  <c r="L75" i="5" a="1"/>
  <c r="L75" i="5" s="1"/>
  <c r="W75" i="5" s="1"/>
  <c r="N71" i="5" a="1"/>
  <c r="N71" i="5" s="1"/>
  <c r="P10" i="7"/>
  <c r="AV8" i="7"/>
  <c r="I62" i="1" s="1"/>
  <c r="G64" i="5" a="1"/>
  <c r="G64" i="5" s="1"/>
  <c r="O71" i="5" a="1"/>
  <c r="O71" i="5" s="1"/>
  <c r="Z71" i="5" s="1"/>
  <c r="B135" i="5"/>
  <c r="I135" i="5"/>
  <c r="P22" i="7"/>
  <c r="P71" i="5" a="1"/>
  <c r="P71" i="5" s="1"/>
  <c r="M71" i="5" a="1"/>
  <c r="M71" i="5" s="1"/>
  <c r="X71" i="5" s="1"/>
  <c r="AP23" i="7"/>
  <c r="AL13" i="4"/>
  <c r="AC71" i="5" s="1"/>
  <c r="AV24" i="7"/>
  <c r="AP24" i="7"/>
  <c r="N70" i="5" a="1"/>
  <c r="N70" i="5" s="1"/>
  <c r="Y70" i="5" s="1"/>
  <c r="G75" i="5" a="1"/>
  <c r="G75" i="5" s="1"/>
  <c r="R75" i="5" s="1"/>
  <c r="N88" i="5" s="1"/>
  <c r="I79" i="5" a="1"/>
  <c r="I79" i="5" s="1"/>
  <c r="T79" i="5" s="1"/>
  <c r="AL16" i="4"/>
  <c r="AC74" i="5" s="1"/>
  <c r="AI19" i="2"/>
  <c r="AJ19" i="2" s="1"/>
  <c r="AT20" i="7" s="1"/>
  <c r="I72" i="5" a="1"/>
  <c r="I72" i="5" s="1"/>
  <c r="T72" i="5" s="1"/>
  <c r="D126" i="5"/>
  <c r="D139" i="5" a="1"/>
  <c r="D139" i="5" s="1"/>
  <c r="M6" i="5" s="1"/>
  <c r="Q11" i="7"/>
  <c r="J70" i="5" a="1"/>
  <c r="J70" i="5" s="1"/>
  <c r="U70" i="5" s="1"/>
  <c r="G79" i="5" a="1"/>
  <c r="G79" i="5" s="1"/>
  <c r="R79" i="5" s="1"/>
  <c r="R88" i="5" s="1"/>
  <c r="P79" i="5" a="1"/>
  <c r="P79" i="5" s="1"/>
  <c r="O88" i="5"/>
  <c r="V88" i="5"/>
  <c r="U88" i="5"/>
  <c r="F88" i="5"/>
  <c r="N68" i="5" a="1"/>
  <c r="N68" i="5" s="1"/>
  <c r="D122" i="5"/>
  <c r="AL20" i="4"/>
  <c r="AC78" i="5" s="1"/>
  <c r="H65" i="5" a="1"/>
  <c r="H65" i="5" s="1"/>
  <c r="AB17" i="7"/>
  <c r="AB14" i="7"/>
  <c r="AB19" i="7"/>
  <c r="AL22" i="4"/>
  <c r="AC80" i="5" s="1"/>
  <c r="AL12" i="4"/>
  <c r="AC70" i="5" s="1"/>
  <c r="AJ27" i="4"/>
  <c r="AI27" i="4"/>
  <c r="BD11" i="7" a="1"/>
  <c r="BD11" i="7" s="1"/>
  <c r="AL11" i="4"/>
  <c r="AC69" i="5" s="1"/>
  <c r="BB12" i="7" a="1"/>
  <c r="BB12" i="7" s="1"/>
  <c r="BE11" i="7" a="1"/>
  <c r="BE11" i="7" s="1"/>
  <c r="BD9" i="7" a="1"/>
  <c r="BD9" i="7" s="1"/>
  <c r="BH51" i="1"/>
  <c r="J22" i="7"/>
  <c r="J15" i="7"/>
  <c r="BH44" i="1"/>
  <c r="BH50" i="1"/>
  <c r="J21" i="7"/>
  <c r="BH47" i="1"/>
  <c r="J18" i="7"/>
  <c r="BD22" i="7" a="1"/>
  <c r="BD22" i="7" s="1"/>
  <c r="BC22" i="7" a="1"/>
  <c r="BC22" i="7" s="1"/>
  <c r="BB22" i="7" a="1"/>
  <c r="BB22" i="7" s="1"/>
  <c r="BE22" i="7" a="1"/>
  <c r="BE22" i="7" s="1"/>
  <c r="D130" i="5"/>
  <c r="I130" i="5"/>
  <c r="B130" i="5"/>
  <c r="O78" i="5" a="1"/>
  <c r="O78" i="5" s="1"/>
  <c r="L78" i="5" a="1"/>
  <c r="L78" i="5" s="1"/>
  <c r="W78" i="5" s="1"/>
  <c r="AS7" i="7"/>
  <c r="AW7" i="7" s="1"/>
  <c r="AQ7" i="7"/>
  <c r="AP7" i="7"/>
  <c r="AR7" i="7"/>
  <c r="AB24" i="7"/>
  <c r="BC9" i="7" a="1"/>
  <c r="BC9" i="7" s="1"/>
  <c r="L67" i="5" a="1"/>
  <c r="L67" i="5" s="1"/>
  <c r="W67" i="5" s="1"/>
  <c r="P70" i="5" a="1"/>
  <c r="P70" i="5" s="1"/>
  <c r="B119" i="5"/>
  <c r="D119" i="5"/>
  <c r="I119" i="5"/>
  <c r="I133" i="5"/>
  <c r="D133" i="5"/>
  <c r="B133" i="5"/>
  <c r="BH42" i="1"/>
  <c r="BE15" i="7" a="1"/>
  <c r="BE15" i="7" s="1"/>
  <c r="BD15" i="7" a="1"/>
  <c r="BD15" i="7" s="1"/>
  <c r="BC15" i="7" a="1"/>
  <c r="BC15" i="7" s="1"/>
  <c r="BB15" i="7" a="1"/>
  <c r="BB15" i="7" s="1"/>
  <c r="AB8" i="7"/>
  <c r="AH27" i="4"/>
  <c r="BC10" i="7" a="1"/>
  <c r="BC10" i="7" s="1"/>
  <c r="O68" i="5" a="1"/>
  <c r="O68" i="5" s="1"/>
  <c r="Z68" i="5" s="1"/>
  <c r="P68" i="5" a="1"/>
  <c r="P68" i="5" s="1"/>
  <c r="G73" i="5" a="1"/>
  <c r="G73" i="5" s="1"/>
  <c r="R73" i="5" s="1"/>
  <c r="L88" i="5" s="1"/>
  <c r="AJ6" i="7" a="1"/>
  <c r="AJ6" i="7" s="1"/>
  <c r="L20" i="8" s="1"/>
  <c r="C6" i="6"/>
  <c r="H6" i="5" a="1"/>
  <c r="H6" i="5" s="1"/>
  <c r="D14" i="5" s="1"/>
  <c r="BB10" i="7" a="1"/>
  <c r="BB10" i="7" s="1"/>
  <c r="AB12" i="7"/>
  <c r="AK27" i="4"/>
  <c r="J66" i="5" a="1"/>
  <c r="J66" i="5" s="1"/>
  <c r="U66" i="5" s="1"/>
  <c r="M66" i="5" a="1"/>
  <c r="M66" i="5" s="1"/>
  <c r="X66" i="5" s="1"/>
  <c r="K66" i="5" a="1"/>
  <c r="K66" i="5" s="1"/>
  <c r="V66" i="5" s="1"/>
  <c r="I66" i="5" a="1"/>
  <c r="I66" i="5" s="1"/>
  <c r="T66" i="5" s="1"/>
  <c r="G66" i="5" a="1"/>
  <c r="G66" i="5" s="1"/>
  <c r="R66" i="5" s="1"/>
  <c r="E88" i="5" s="1"/>
  <c r="L66" i="5" a="1"/>
  <c r="L66" i="5" s="1"/>
  <c r="W66" i="5" s="1"/>
  <c r="G78" i="5" a="1"/>
  <c r="G78" i="5" s="1"/>
  <c r="G70" i="5" a="1"/>
  <c r="G70" i="5" s="1"/>
  <c r="R70" i="5" s="1"/>
  <c r="I88" i="5" s="1"/>
  <c r="N65" i="5" a="1"/>
  <c r="N65" i="5" s="1"/>
  <c r="Y65" i="5" s="1"/>
  <c r="P65" i="5" a="1"/>
  <c r="P65" i="5" s="1"/>
  <c r="AA65" i="5" s="1"/>
  <c r="O65" i="5" a="1"/>
  <c r="O65" i="5" s="1"/>
  <c r="Z65" i="5" s="1"/>
  <c r="G68" i="5" a="1"/>
  <c r="G68" i="5" s="1"/>
  <c r="R68" i="5" s="1"/>
  <c r="G88" i="5" s="1"/>
  <c r="P20" i="7"/>
  <c r="AV20" i="7"/>
  <c r="I74" i="1" s="1"/>
  <c r="AW20" i="7"/>
  <c r="I131" i="5"/>
  <c r="F77" i="5" s="1"/>
  <c r="V33" i="8" s="1"/>
  <c r="B131" i="5"/>
  <c r="D131" i="5"/>
  <c r="I73" i="5" a="1"/>
  <c r="I73" i="5" s="1"/>
  <c r="BG39" i="1"/>
  <c r="H68" i="5" a="1"/>
  <c r="H68" i="5" s="1"/>
  <c r="S68" i="5" s="1"/>
  <c r="B132" i="5"/>
  <c r="I132" i="5"/>
  <c r="F78" i="5" s="1"/>
  <c r="V34" i="8" s="1"/>
  <c r="D132" i="5"/>
  <c r="H73" i="5" a="1"/>
  <c r="H73" i="5" s="1"/>
  <c r="S73" i="5" s="1"/>
  <c r="AB25" i="7"/>
  <c r="BD13" i="7" a="1"/>
  <c r="BD13" i="7" s="1"/>
  <c r="BC13" i="7" a="1"/>
  <c r="BC13" i="7" s="1"/>
  <c r="BB13" i="7" a="1"/>
  <c r="BB13" i="7" s="1"/>
  <c r="BE13" i="7" a="1"/>
  <c r="BE13" i="7" s="1"/>
  <c r="BE10" i="7" a="1"/>
  <c r="BE10" i="7" s="1"/>
  <c r="P80" i="5" a="1"/>
  <c r="P80" i="5" s="1"/>
  <c r="AA80" i="5" s="1"/>
  <c r="O80" i="5" a="1"/>
  <c r="O80" i="5" s="1"/>
  <c r="Z80" i="5" s="1"/>
  <c r="K80" i="5" a="1"/>
  <c r="K80" i="5" s="1"/>
  <c r="V80" i="5" s="1"/>
  <c r="D134" i="5"/>
  <c r="J80" i="5" a="1"/>
  <c r="J80" i="5" s="1"/>
  <c r="U80" i="5" s="1"/>
  <c r="I80" i="5" a="1"/>
  <c r="I80" i="5" s="1"/>
  <c r="G80" i="5" a="1"/>
  <c r="G80" i="5" s="1"/>
  <c r="R80" i="5" s="1"/>
  <c r="S88" i="5" s="1"/>
  <c r="L80" i="5" a="1"/>
  <c r="L80" i="5" s="1"/>
  <c r="W80" i="5" s="1"/>
  <c r="N80" i="5" a="1"/>
  <c r="N80" i="5" s="1"/>
  <c r="Y80" i="5" s="1"/>
  <c r="H80" i="5" a="1"/>
  <c r="H80" i="5" s="1"/>
  <c r="I122" i="5"/>
  <c r="B122" i="5"/>
  <c r="AB13" i="7"/>
  <c r="AB10" i="7"/>
  <c r="H78" i="5" a="1"/>
  <c r="H78" i="5" s="1"/>
  <c r="S78" i="5" s="1"/>
  <c r="H70" i="5" a="1"/>
  <c r="H70" i="5" s="1"/>
  <c r="S70" i="5" s="1"/>
  <c r="I68" i="5" a="1"/>
  <c r="I68" i="5" s="1"/>
  <c r="T68" i="5" s="1"/>
  <c r="M79" i="5" a="1"/>
  <c r="M79" i="5" s="1"/>
  <c r="X79" i="5" s="1"/>
  <c r="AT21" i="7"/>
  <c r="AR21" i="7"/>
  <c r="AQ21" i="7"/>
  <c r="AS21" i="7"/>
  <c r="AV21" i="7" s="1"/>
  <c r="I75" i="1" s="1"/>
  <c r="AP21" i="7"/>
  <c r="BH24" i="7" a="1"/>
  <c r="BH24" i="7" s="1"/>
  <c r="BF24" i="7"/>
  <c r="BE24" i="7" a="1"/>
  <c r="BE24" i="7" s="1"/>
  <c r="BD24" i="7" a="1"/>
  <c r="BD24" i="7" s="1"/>
  <c r="BB24" i="7" a="1"/>
  <c r="BB24" i="7" s="1"/>
  <c r="BG24" i="7"/>
  <c r="BC24" i="7" a="1"/>
  <c r="BC24" i="7" s="1"/>
  <c r="AB21" i="7"/>
  <c r="V25" i="8"/>
  <c r="P67" i="5" a="1"/>
  <c r="P67" i="5" s="1"/>
  <c r="AA67" i="5" s="1"/>
  <c r="O67" i="5" a="1"/>
  <c r="O67" i="5" s="1"/>
  <c r="Z67" i="5" s="1"/>
  <c r="H67" i="5" a="1"/>
  <c r="H67" i="5" s="1"/>
  <c r="M78" i="5" a="1"/>
  <c r="M78" i="5" s="1"/>
  <c r="X78" i="5" s="1"/>
  <c r="K68" i="5" a="1"/>
  <c r="K68" i="5" s="1"/>
  <c r="V68" i="5" s="1"/>
  <c r="D120" i="5"/>
  <c r="J78" i="5" a="1"/>
  <c r="J78" i="5" s="1"/>
  <c r="U78" i="5" s="1"/>
  <c r="O70" i="5" a="1"/>
  <c r="O70" i="5" s="1"/>
  <c r="I137" i="5"/>
  <c r="D137" i="5"/>
  <c r="B137" i="5"/>
  <c r="O73" i="5" a="1"/>
  <c r="O73" i="5" s="1"/>
  <c r="Z73" i="5" s="1"/>
  <c r="I78" i="5" a="1"/>
  <c r="I78" i="5" s="1"/>
  <c r="T78" i="5" s="1"/>
  <c r="BD3" i="7" a="1"/>
  <c r="BD3" i="7" s="1"/>
  <c r="BB11" i="7" a="1"/>
  <c r="BB11" i="7" s="1"/>
  <c r="BC7" i="7" a="1"/>
  <c r="BC7" i="7" s="1"/>
  <c r="BC6" i="7" a="1"/>
  <c r="BC6" i="7" s="1"/>
  <c r="BE12" i="7" a="1"/>
  <c r="BE12" i="7" s="1"/>
  <c r="BD12" i="7" a="1"/>
  <c r="BD12" i="7" s="1"/>
  <c r="BC12" i="7" a="1"/>
  <c r="BC12" i="7" s="1"/>
  <c r="BE6" i="7" a="1"/>
  <c r="BE6" i="7" s="1"/>
  <c r="BE17" i="7" a="1"/>
  <c r="BE17" i="7" s="1"/>
  <c r="BD17" i="7" a="1"/>
  <c r="BD17" i="7" s="1"/>
  <c r="BC17" i="7" a="1"/>
  <c r="BC17" i="7" s="1"/>
  <c r="BB17" i="7" a="1"/>
  <c r="BB17" i="7" s="1"/>
  <c r="M80" i="5" a="1"/>
  <c r="M80" i="5" s="1"/>
  <c r="X80" i="5" s="1"/>
  <c r="AI11" i="2"/>
  <c r="AJ11" i="2" s="1"/>
  <c r="AT12" i="7" s="1"/>
  <c r="K65" i="5" a="1"/>
  <c r="K65" i="5" s="1"/>
  <c r="V65" i="5" s="1"/>
  <c r="BD16" i="7" a="1"/>
  <c r="BD16" i="7" s="1"/>
  <c r="BE16" i="7" a="1"/>
  <c r="BE16" i="7" s="1"/>
  <c r="BC16" i="7" a="1"/>
  <c r="BC16" i="7" s="1"/>
  <c r="BB16" i="7" a="1"/>
  <c r="BB16" i="7" s="1"/>
  <c r="BK24" i="7"/>
  <c r="BM24" i="7" a="1"/>
  <c r="BM24" i="7" s="1"/>
  <c r="BL24" i="7"/>
  <c r="AB15" i="7"/>
  <c r="I67" i="5" a="1"/>
  <c r="I67" i="5" s="1"/>
  <c r="T67" i="5" s="1"/>
  <c r="L70" i="5" a="1"/>
  <c r="L70" i="5" s="1"/>
  <c r="W70" i="5" s="1"/>
  <c r="J71" i="5" a="1"/>
  <c r="J71" i="5" s="1"/>
  <c r="U71" i="5" s="1"/>
  <c r="D121" i="5"/>
  <c r="L68" i="5" a="1"/>
  <c r="L68" i="5" s="1"/>
  <c r="BC18" i="7" a="1"/>
  <c r="BC18" i="7" s="1"/>
  <c r="BE18" i="7" a="1"/>
  <c r="BE18" i="7" s="1"/>
  <c r="BD18" i="7" a="1"/>
  <c r="BD18" i="7" s="1"/>
  <c r="BB18" i="7" a="1"/>
  <c r="BB18" i="7" s="1"/>
  <c r="AB11" i="7"/>
  <c r="AL6" i="4"/>
  <c r="AT13" i="7"/>
  <c r="AR13" i="7"/>
  <c r="AS13" i="7"/>
  <c r="AW13" i="7" s="1"/>
  <c r="AQ13" i="7"/>
  <c r="AP13" i="7"/>
  <c r="F8" i="1"/>
  <c r="N66" i="5" a="1"/>
  <c r="N66" i="5" s="1"/>
  <c r="Y66" i="5" s="1"/>
  <c r="O66" i="5" a="1"/>
  <c r="O66" i="5" s="1"/>
  <c r="Z66" i="5" s="1"/>
  <c r="D124" i="5"/>
  <c r="B124" i="5"/>
  <c r="I124" i="5"/>
  <c r="M73" i="5" a="1"/>
  <c r="M73" i="5" s="1"/>
  <c r="X73" i="5" s="1"/>
  <c r="BF37" i="1"/>
  <c r="AI21" i="2"/>
  <c r="AJ21" i="2" s="1"/>
  <c r="AT22" i="7" s="1"/>
  <c r="BB20" i="7" a="1"/>
  <c r="BB20" i="7" s="1"/>
  <c r="BE20" i="7" a="1"/>
  <c r="BE20" i="7" s="1"/>
  <c r="BD20" i="7" a="1"/>
  <c r="BD20" i="7" s="1"/>
  <c r="BC20" i="7" a="1"/>
  <c r="BC20" i="7" s="1"/>
  <c r="AB6" i="7"/>
  <c r="BD7" i="7" a="1"/>
  <c r="BD7" i="7" s="1"/>
  <c r="BF46" i="1"/>
  <c r="BG36" i="1"/>
  <c r="AS10" i="7"/>
  <c r="AR10" i="7"/>
  <c r="AW10" i="7"/>
  <c r="AV10" i="7"/>
  <c r="I64" i="1" s="1"/>
  <c r="AT10" i="7"/>
  <c r="AQ10" i="7"/>
  <c r="AP10" i="7"/>
  <c r="BF42" i="1"/>
  <c r="V23" i="8"/>
  <c r="I65" i="5" a="1"/>
  <c r="I65" i="5" s="1"/>
  <c r="J68" i="5" a="1"/>
  <c r="J68" i="5" s="1"/>
  <c r="U68" i="5" s="1"/>
  <c r="K73" i="5" a="1"/>
  <c r="K73" i="5" s="1"/>
  <c r="V73" i="5" s="1"/>
  <c r="N73" i="5" a="1"/>
  <c r="N73" i="5" s="1"/>
  <c r="Y73" i="5" s="1"/>
  <c r="BD10" i="7" a="1"/>
  <c r="BD10" i="7" s="1"/>
  <c r="AW6" i="7"/>
  <c r="BE14" i="7" a="1"/>
  <c r="BE14" i="7" s="1"/>
  <c r="BD14" i="7" a="1"/>
  <c r="BD14" i="7" s="1"/>
  <c r="BC14" i="7" a="1"/>
  <c r="BC14" i="7" s="1"/>
  <c r="BB14" i="7" a="1"/>
  <c r="BB14" i="7" s="1"/>
  <c r="AW14" i="7"/>
  <c r="AB22" i="7"/>
  <c r="AV6" i="7"/>
  <c r="I60" i="1" s="1"/>
  <c r="BB8" i="7" a="1"/>
  <c r="BB8" i="7" s="1"/>
  <c r="BE8" i="7" a="1"/>
  <c r="BE8" i="7" s="1"/>
  <c r="BF8" i="7" s="1"/>
  <c r="BD8" i="7" a="1"/>
  <c r="BD8" i="7" s="1"/>
  <c r="BC8" i="7" a="1"/>
  <c r="BC8" i="7" s="1"/>
  <c r="AB18" i="7"/>
  <c r="BB6" i="7" a="1"/>
  <c r="BB6" i="7" s="1"/>
  <c r="AB16" i="7"/>
  <c r="AR22" i="7"/>
  <c r="AS22" i="7"/>
  <c r="AQ22" i="7"/>
  <c r="AP22" i="7"/>
  <c r="AV22" i="7"/>
  <c r="I76" i="1" s="1"/>
  <c r="N78" i="5" a="1"/>
  <c r="N78" i="5" s="1"/>
  <c r="Y78" i="5" s="1"/>
  <c r="V26" i="8"/>
  <c r="M68" i="5" a="1"/>
  <c r="M68" i="5" s="1"/>
  <c r="M65" i="5" a="1"/>
  <c r="M65" i="5" s="1"/>
  <c r="X65" i="5" s="1"/>
  <c r="N64" i="5" a="1"/>
  <c r="N64" i="5" s="1"/>
  <c r="Y64" i="5" s="1"/>
  <c r="O64" i="5" a="1"/>
  <c r="O64" i="5" s="1"/>
  <c r="Z64" i="5" s="1"/>
  <c r="I136" i="5"/>
  <c r="D136" i="5"/>
  <c r="B136" i="5"/>
  <c r="I71" i="5" a="1"/>
  <c r="I71" i="5" s="1"/>
  <c r="T71" i="5" s="1"/>
  <c r="K71" i="5" a="1"/>
  <c r="K71" i="5" s="1"/>
  <c r="V71" i="5" s="1"/>
  <c r="BE7" i="7" a="1"/>
  <c r="BE7" i="7" s="1"/>
  <c r="BB21" i="7" a="1"/>
  <c r="BB21" i="7" s="1"/>
  <c r="BE21" i="7" a="1"/>
  <c r="BE21" i="7" s="1"/>
  <c r="BD21" i="7" a="1"/>
  <c r="BD21" i="7" s="1"/>
  <c r="BC21" i="7" a="1"/>
  <c r="BC21" i="7" s="1"/>
  <c r="BE9" i="7" a="1"/>
  <c r="BE9" i="7" s="1"/>
  <c r="P18" i="7"/>
  <c r="BB7" i="7" a="1"/>
  <c r="BB7" i="7" s="1"/>
  <c r="AR15" i="7"/>
  <c r="AS15" i="7"/>
  <c r="AP15" i="7"/>
  <c r="AQ15" i="7"/>
  <c r="P17" i="7"/>
  <c r="AB23" i="7"/>
  <c r="I118" i="5"/>
  <c r="D118" i="5"/>
  <c r="B118" i="5"/>
  <c r="P78" i="5" a="1"/>
  <c r="P78" i="5" s="1"/>
  <c r="I129" i="5"/>
  <c r="D129" i="5"/>
  <c r="B129" i="5"/>
  <c r="V24" i="8"/>
  <c r="I70" i="5" a="1"/>
  <c r="I70" i="5" s="1"/>
  <c r="T70" i="5" s="1"/>
  <c r="BH25" i="7" a="1"/>
  <c r="BH25" i="7" s="1"/>
  <c r="BE25" i="7" a="1"/>
  <c r="BE25" i="7" s="1"/>
  <c r="BC25" i="7" a="1"/>
  <c r="BC25" i="7" s="1"/>
  <c r="BB25" i="7" a="1"/>
  <c r="BB25" i="7" s="1"/>
  <c r="BG25" i="7"/>
  <c r="BF25" i="7"/>
  <c r="BD25" i="7" a="1"/>
  <c r="BD25" i="7" s="1"/>
  <c r="BC11" i="7" a="1"/>
  <c r="BC11" i="7" s="1"/>
  <c r="AT18" i="7"/>
  <c r="AR18" i="7"/>
  <c r="AS18" i="7"/>
  <c r="AW18" i="7" s="1"/>
  <c r="AQ18" i="7"/>
  <c r="AP18" i="7"/>
  <c r="AB9" i="7"/>
  <c r="AJ14" i="2"/>
  <c r="AT15" i="7" s="1"/>
  <c r="J69" i="5" a="1"/>
  <c r="J69" i="5" s="1"/>
  <c r="U69" i="5" s="1"/>
  <c r="I69" i="5" a="1"/>
  <c r="I69" i="5" s="1"/>
  <c r="T69" i="5" s="1"/>
  <c r="P69" i="5" a="1"/>
  <c r="P69" i="5" s="1"/>
  <c r="AA69" i="5" s="1"/>
  <c r="H69" i="5" a="1"/>
  <c r="H69" i="5" s="1"/>
  <c r="S69" i="5" s="1"/>
  <c r="G69" i="5" a="1"/>
  <c r="G69" i="5" s="1"/>
  <c r="R69" i="5" s="1"/>
  <c r="H88" i="5" s="1"/>
  <c r="L69" i="5" a="1"/>
  <c r="L69" i="5" s="1"/>
  <c r="K78" i="5" a="1"/>
  <c r="K78" i="5" s="1"/>
  <c r="V78" i="5" s="1"/>
  <c r="M70" i="5" a="1"/>
  <c r="M70" i="5" s="1"/>
  <c r="X70" i="5" s="1"/>
  <c r="H77" i="5" a="1"/>
  <c r="H77" i="5" s="1"/>
  <c r="S77" i="5" s="1"/>
  <c r="N77" i="5" a="1"/>
  <c r="N77" i="5" s="1"/>
  <c r="J77" i="5" a="1"/>
  <c r="J77" i="5" s="1"/>
  <c r="U77" i="5" s="1"/>
  <c r="P77" i="5" a="1"/>
  <c r="P77" i="5" s="1"/>
  <c r="K77" i="5" a="1"/>
  <c r="K77" i="5" s="1"/>
  <c r="V77" i="5" s="1"/>
  <c r="G65" i="5" a="1"/>
  <c r="G65" i="5" s="1"/>
  <c r="R65" i="5" s="1"/>
  <c r="D88" i="5" s="1"/>
  <c r="I125" i="5"/>
  <c r="D125" i="5"/>
  <c r="B125" i="5"/>
  <c r="BE19" i="7" a="1"/>
  <c r="BE19" i="7" s="1"/>
  <c r="BD19" i="7" a="1"/>
  <c r="BD19" i="7" s="1"/>
  <c r="BC19" i="7" a="1"/>
  <c r="BC19" i="7" s="1"/>
  <c r="BB19" i="7" a="1"/>
  <c r="BB19" i="7" s="1"/>
  <c r="BD6" i="7" a="1"/>
  <c r="BD6" i="7" s="1"/>
  <c r="BE36" i="1"/>
  <c r="AR11" i="7"/>
  <c r="AQ11" i="7"/>
  <c r="AS11" i="7"/>
  <c r="AW11" i="7" s="1"/>
  <c r="AP11" i="7"/>
  <c r="AT11" i="7"/>
  <c r="BE23" i="7" a="1"/>
  <c r="BE23" i="7" s="1"/>
  <c r="BC23" i="7" a="1"/>
  <c r="BC23" i="7" s="1"/>
  <c r="BB23" i="7" a="1"/>
  <c r="BB23" i="7" s="1"/>
  <c r="BD23" i="7" a="1"/>
  <c r="BD23" i="7" s="1"/>
  <c r="BB9" i="7" a="1"/>
  <c r="BB9" i="7" s="1"/>
  <c r="AT25" i="7"/>
  <c r="AR25" i="7"/>
  <c r="AD39" i="8"/>
  <c r="AX25" i="7" a="1"/>
  <c r="AX25" i="7" s="1"/>
  <c r="AW25" i="7"/>
  <c r="AV25" i="7"/>
  <c r="AS25" i="7"/>
  <c r="AP25" i="7"/>
  <c r="AQ25" i="7"/>
  <c r="P11" i="7"/>
  <c r="AR19" i="7"/>
  <c r="AQ19" i="7"/>
  <c r="AP19" i="7"/>
  <c r="AS19" i="7"/>
  <c r="AW19" i="7" s="1"/>
  <c r="AV19" i="7"/>
  <c r="I73" i="1" s="1"/>
  <c r="P21" i="7"/>
  <c r="AV14" i="7"/>
  <c r="I68" i="1" s="1"/>
  <c r="P73" i="5" a="1"/>
  <c r="P73" i="5" s="1"/>
  <c r="AA73" i="5" s="1"/>
  <c r="I127" i="5"/>
  <c r="D127" i="5"/>
  <c r="B127" i="5"/>
  <c r="F162" i="5" l="1"/>
  <c r="F152" i="5"/>
  <c r="AT28" i="8"/>
  <c r="AT25" i="8"/>
  <c r="AT26" i="8"/>
  <c r="AT20" i="8"/>
  <c r="AT21" i="8"/>
  <c r="AT24" i="8"/>
  <c r="AT27" i="8"/>
  <c r="AT22" i="8"/>
  <c r="AT23" i="8"/>
  <c r="AT29" i="8"/>
  <c r="AV21" i="8"/>
  <c r="AV22" i="8"/>
  <c r="AV23" i="8"/>
  <c r="AV24" i="8"/>
  <c r="AV25" i="8"/>
  <c r="AV26" i="8"/>
  <c r="AV27" i="8"/>
  <c r="AV29" i="8"/>
  <c r="AV28" i="8"/>
  <c r="AV20" i="8"/>
  <c r="Q17" i="7"/>
  <c r="Q19" i="7"/>
  <c r="BG42" i="1"/>
  <c r="Q15" i="7"/>
  <c r="Q9" i="7"/>
  <c r="BG52" i="1"/>
  <c r="Q12" i="7"/>
  <c r="J8" i="1"/>
  <c r="Q18" i="7"/>
  <c r="BG51" i="1"/>
  <c r="Q21" i="7"/>
  <c r="Q14" i="7"/>
  <c r="H11" i="8"/>
  <c r="A15" i="8" s="1"/>
  <c r="H8" i="8"/>
  <c r="A12" i="8" s="1"/>
  <c r="BL21" i="7"/>
  <c r="BL10" i="7"/>
  <c r="BL9" i="7"/>
  <c r="J32" i="8"/>
  <c r="BL6" i="7"/>
  <c r="BL18" i="7"/>
  <c r="J28" i="8"/>
  <c r="F7" i="7"/>
  <c r="F15" i="7"/>
  <c r="BK15" i="7"/>
  <c r="BL13" i="7"/>
  <c r="BL16" i="7"/>
  <c r="J27" i="8"/>
  <c r="BL12" i="7"/>
  <c r="F11" i="7"/>
  <c r="BL8" i="7"/>
  <c r="J31" i="8"/>
  <c r="J35" i="8"/>
  <c r="F20" i="7"/>
  <c r="BL17" i="7"/>
  <c r="BK17" i="7"/>
  <c r="BL22" i="7"/>
  <c r="BL19" i="7"/>
  <c r="BL23" i="7"/>
  <c r="J12" i="7"/>
  <c r="BK11" i="7"/>
  <c r="BH40" i="1"/>
  <c r="L8" i="1"/>
  <c r="BK16" i="7"/>
  <c r="AB70" i="5"/>
  <c r="AD70" i="5" s="1"/>
  <c r="BH45" i="1"/>
  <c r="B5" i="1"/>
  <c r="I12" i="7"/>
  <c r="I19" i="7"/>
  <c r="G70" i="1"/>
  <c r="I16" i="7"/>
  <c r="H70" i="1" s="1"/>
  <c r="I10" i="7"/>
  <c r="H64" i="1" s="1"/>
  <c r="BH38" i="1"/>
  <c r="G63" i="1"/>
  <c r="I9" i="7"/>
  <c r="H63" i="1" s="1"/>
  <c r="G62" i="1"/>
  <c r="I8" i="7"/>
  <c r="BH36" i="1"/>
  <c r="I6" i="7"/>
  <c r="BK6" i="7"/>
  <c r="BK10" i="7"/>
  <c r="AB74" i="5"/>
  <c r="AD74" i="5" s="1"/>
  <c r="BH35" i="1"/>
  <c r="BK23" i="7"/>
  <c r="BH43" i="1"/>
  <c r="BH52" i="1"/>
  <c r="N8" i="1"/>
  <c r="BK7" i="7"/>
  <c r="AB66" i="5"/>
  <c r="S66" i="5" s="1"/>
  <c r="H66" i="1"/>
  <c r="J37" i="8"/>
  <c r="D8" i="1"/>
  <c r="AB72" i="5"/>
  <c r="V72" i="5" s="1"/>
  <c r="BH49" i="1"/>
  <c r="J10" i="7"/>
  <c r="BH37" i="1"/>
  <c r="B8" i="1"/>
  <c r="BF23" i="7"/>
  <c r="BG23" i="7" s="1"/>
  <c r="BF19" i="7"/>
  <c r="BG19" i="7" s="1"/>
  <c r="H62" i="1"/>
  <c r="BK8" i="7"/>
  <c r="AB65" i="5"/>
  <c r="AD65" i="5" s="1"/>
  <c r="AB64" i="5"/>
  <c r="R64" i="5" s="1"/>
  <c r="C88" i="5" s="1"/>
  <c r="BK14" i="7"/>
  <c r="AX23" i="7" a="1"/>
  <c r="AX23" i="7" s="1"/>
  <c r="AW23" i="7"/>
  <c r="I23" i="7" s="1"/>
  <c r="AB81" i="5"/>
  <c r="AD81" i="5" s="1"/>
  <c r="AD66" i="5"/>
  <c r="G66" i="1"/>
  <c r="AB75" i="5"/>
  <c r="AD75" i="5" s="1"/>
  <c r="J33" i="8"/>
  <c r="AV17" i="7"/>
  <c r="I71" i="1" s="1"/>
  <c r="AW17" i="7"/>
  <c r="G71" i="1" s="1"/>
  <c r="AB67" i="5"/>
  <c r="S67" i="5" s="1"/>
  <c r="BK9" i="7"/>
  <c r="BK12" i="7"/>
  <c r="AB78" i="5"/>
  <c r="AD78" i="5" s="1"/>
  <c r="BK20" i="7"/>
  <c r="AX21" i="7" a="1"/>
  <c r="AX21" i="7" s="1"/>
  <c r="J23" i="8"/>
  <c r="AV15" i="7"/>
  <c r="I69" i="1" s="1"/>
  <c r="C35" i="1"/>
  <c r="AW15" i="7"/>
  <c r="G69" i="1" s="1"/>
  <c r="AX13" i="7" a="1"/>
  <c r="AX13" i="7" s="1"/>
  <c r="BK13" i="7"/>
  <c r="AV11" i="7"/>
  <c r="I65" i="1" s="1"/>
  <c r="B35" i="1"/>
  <c r="D35" i="1"/>
  <c r="AX18" i="7" a="1"/>
  <c r="AX18" i="7" s="1"/>
  <c r="J36" i="8"/>
  <c r="BF16" i="7"/>
  <c r="BG16" i="7" s="1"/>
  <c r="BF22" i="7"/>
  <c r="BG22" i="7" s="1"/>
  <c r="BF11" i="7"/>
  <c r="BG11" i="7" s="1"/>
  <c r="BF9" i="7"/>
  <c r="BG9" i="7" s="1"/>
  <c r="BF20" i="7"/>
  <c r="BG20" i="7" s="1"/>
  <c r="BF15" i="7"/>
  <c r="BG15" i="7" s="1"/>
  <c r="BF13" i="7"/>
  <c r="BG13" i="7" s="1"/>
  <c r="BF18" i="7"/>
  <c r="BG18" i="7" s="1"/>
  <c r="BF14" i="7"/>
  <c r="BG14" i="7" s="1"/>
  <c r="BF7" i="7"/>
  <c r="BG7" i="7" s="1"/>
  <c r="BF17" i="7"/>
  <c r="BG17" i="7" s="1"/>
  <c r="BF21" i="7"/>
  <c r="BG21" i="7" s="1"/>
  <c r="BF10" i="7"/>
  <c r="BG10" i="7" s="1"/>
  <c r="G67" i="1"/>
  <c r="AX8" i="7" a="1"/>
  <c r="AX8" i="7" s="1"/>
  <c r="AD22" i="8" s="1"/>
  <c r="G61" i="1"/>
  <c r="BG8" i="7"/>
  <c r="AX22" i="7" a="1"/>
  <c r="AX22" i="7" s="1"/>
  <c r="AD36" i="8" s="1"/>
  <c r="BK22" i="7"/>
  <c r="AB80" i="5"/>
  <c r="AD80" i="5" s="1"/>
  <c r="AX19" i="7" a="1"/>
  <c r="AX19" i="7" s="1"/>
  <c r="G72" i="1"/>
  <c r="AX6" i="7" a="1"/>
  <c r="AX6" i="7" s="1"/>
  <c r="AB71" i="5"/>
  <c r="AV13" i="7"/>
  <c r="I67" i="1" s="1"/>
  <c r="AB77" i="5"/>
  <c r="AD77" i="5" s="1"/>
  <c r="AX17" i="7" a="1"/>
  <c r="AX17" i="7" s="1"/>
  <c r="BK21" i="7"/>
  <c r="G64" i="1"/>
  <c r="AB73" i="5"/>
  <c r="T73" i="5" s="1"/>
  <c r="J24" i="8"/>
  <c r="F8" i="7"/>
  <c r="J22" i="8"/>
  <c r="J26" i="8"/>
  <c r="BK19" i="7"/>
  <c r="AB76" i="5"/>
  <c r="AB69" i="5"/>
  <c r="W69" i="5" s="1"/>
  <c r="AB79" i="5"/>
  <c r="F6" i="7"/>
  <c r="J20" i="8"/>
  <c r="F35" i="1"/>
  <c r="AX14" i="7" a="1"/>
  <c r="AX14" i="7" s="1"/>
  <c r="AD28" i="8" s="1"/>
  <c r="AX7" i="7" a="1"/>
  <c r="AX7" i="7" s="1"/>
  <c r="AD72" i="5"/>
  <c r="AL27" i="4"/>
  <c r="AC64" i="5"/>
  <c r="BF6" i="7"/>
  <c r="BG6" i="7" s="1"/>
  <c r="AW21" i="7"/>
  <c r="AX9" i="7" a="1"/>
  <c r="AX9" i="7" s="1"/>
  <c r="AD23" i="8" s="1"/>
  <c r="H68" i="1"/>
  <c r="G68" i="1"/>
  <c r="AX15" i="7" a="1"/>
  <c r="AX15" i="7" s="1"/>
  <c r="X68" i="5"/>
  <c r="AB68" i="5"/>
  <c r="W68" i="5" s="1"/>
  <c r="AX10" i="7" a="1"/>
  <c r="AX10" i="7" s="1"/>
  <c r="G65" i="1"/>
  <c r="AW22" i="7"/>
  <c r="I22" i="7" s="1"/>
  <c r="BF12" i="7"/>
  <c r="BG12" i="7" s="1"/>
  <c r="G73" i="1"/>
  <c r="H73" i="1"/>
  <c r="AX11" i="7" a="1"/>
  <c r="AX11" i="7" s="1"/>
  <c r="BK18" i="7"/>
  <c r="AV18" i="7"/>
  <c r="I72" i="1" s="1"/>
  <c r="AX16" i="7" a="1"/>
  <c r="AX16" i="7" s="1"/>
  <c r="AD30" i="8" s="1"/>
  <c r="AX12" i="7" a="1"/>
  <c r="AX12" i="7" s="1"/>
  <c r="AD26" i="8" s="1"/>
  <c r="AV7" i="7"/>
  <c r="I61" i="1" s="1"/>
  <c r="AX20" i="7" a="1"/>
  <c r="AX20" i="7" s="1"/>
  <c r="H74" i="1"/>
  <c r="G74" i="1"/>
  <c r="G60" i="1"/>
  <c r="F16" i="7"/>
  <c r="J30" i="8"/>
  <c r="I162" i="5" l="1"/>
  <c r="H162" i="5"/>
  <c r="G162" i="5"/>
  <c r="AU64" i="5"/>
  <c r="AU72" i="5"/>
  <c r="AU79" i="5"/>
  <c r="AU81" i="5"/>
  <c r="AU70" i="5"/>
  <c r="AU73" i="5"/>
  <c r="AU67" i="5"/>
  <c r="AU65" i="5"/>
  <c r="AU75" i="5"/>
  <c r="AU74" i="5"/>
  <c r="AU66" i="5"/>
  <c r="AU82" i="5"/>
  <c r="AU76" i="5"/>
  <c r="AU80" i="5"/>
  <c r="AU68" i="5"/>
  <c r="AU77" i="5"/>
  <c r="AU69" i="5"/>
  <c r="AU71" i="5"/>
  <c r="AU83" i="5"/>
  <c r="AU78" i="5"/>
  <c r="I152" i="5"/>
  <c r="H152" i="5"/>
  <c r="G152" i="5"/>
  <c r="AN68" i="5"/>
  <c r="AN82" i="5"/>
  <c r="AN77" i="5"/>
  <c r="AM74" i="5"/>
  <c r="AN69" i="5"/>
  <c r="AN79" i="5"/>
  <c r="AN74" i="5"/>
  <c r="AM64" i="5"/>
  <c r="AN71" i="5"/>
  <c r="AN67" i="5"/>
  <c r="AM71" i="5"/>
  <c r="AM65" i="5"/>
  <c r="AN72" i="5"/>
  <c r="AM76" i="5"/>
  <c r="AM78" i="5"/>
  <c r="AM83" i="5"/>
  <c r="AM79" i="5"/>
  <c r="AM77" i="5"/>
  <c r="AN83" i="5"/>
  <c r="AM66" i="5"/>
  <c r="AM73" i="5"/>
  <c r="AM80" i="5"/>
  <c r="AN76" i="5"/>
  <c r="AN70" i="5"/>
  <c r="AN80" i="5"/>
  <c r="AN64" i="5"/>
  <c r="AM82" i="5"/>
  <c r="AM72" i="5"/>
  <c r="AM69" i="5"/>
  <c r="AN73" i="5"/>
  <c r="AM75" i="5"/>
  <c r="AN75" i="5"/>
  <c r="AN81" i="5"/>
  <c r="AM68" i="5"/>
  <c r="AM70" i="5"/>
  <c r="AM67" i="5"/>
  <c r="AN78" i="5"/>
  <c r="AN65" i="5"/>
  <c r="AN66" i="5"/>
  <c r="AM81" i="5"/>
  <c r="AN24" i="8" a="1"/>
  <c r="AN24" i="8" s="1"/>
  <c r="B57" i="8" a="1"/>
  <c r="B57" i="8" s="1"/>
  <c r="A57" i="8"/>
  <c r="C57" i="8" a="1"/>
  <c r="C57" i="8" s="1"/>
  <c r="D57" i="8" a="1"/>
  <c r="D57" i="8" s="1"/>
  <c r="E57" i="8" a="1"/>
  <c r="E57" i="8" s="1"/>
  <c r="A54" i="8"/>
  <c r="C54" i="8" a="1"/>
  <c r="C54" i="8" s="1"/>
  <c r="B54" i="8" a="1"/>
  <c r="B54" i="8" s="1"/>
  <c r="D54" i="8" a="1"/>
  <c r="D54" i="8" s="1"/>
  <c r="AN21" i="8" a="1"/>
  <c r="AN21" i="8" s="1"/>
  <c r="E54" i="8" a="1"/>
  <c r="E54" i="8" s="1"/>
  <c r="AN29" i="8" a="1"/>
  <c r="AN29" i="8" s="1"/>
  <c r="A62" i="8"/>
  <c r="B62" i="8" a="1"/>
  <c r="B62" i="8" s="1"/>
  <c r="C62" i="8" a="1"/>
  <c r="C62" i="8" s="1"/>
  <c r="D62" i="8" a="1"/>
  <c r="D62" i="8" s="1"/>
  <c r="E62" i="8" a="1"/>
  <c r="E62" i="8" s="1"/>
  <c r="AN26" i="8" a="1"/>
  <c r="AN26" i="8" s="1"/>
  <c r="A59" i="8"/>
  <c r="B59" i="8" a="1"/>
  <c r="B59" i="8" s="1"/>
  <c r="C59" i="8" a="1"/>
  <c r="C59" i="8" s="1"/>
  <c r="D59" i="8" a="1"/>
  <c r="D59" i="8" s="1"/>
  <c r="E59" i="8" a="1"/>
  <c r="E59" i="8" s="1"/>
  <c r="A49" i="8"/>
  <c r="B49" i="8" a="1"/>
  <c r="B49" i="8" s="1"/>
  <c r="AL29" i="8" a="1"/>
  <c r="AL29" i="8" s="1"/>
  <c r="C49" i="8" a="1"/>
  <c r="C49" i="8" s="1"/>
  <c r="D49" i="8" a="1"/>
  <c r="D49" i="8" s="1"/>
  <c r="E49" i="8" a="1"/>
  <c r="E49" i="8" s="1"/>
  <c r="D43" i="8" a="1"/>
  <c r="D43" i="8" s="1"/>
  <c r="E43" i="8" a="1"/>
  <c r="E43" i="8" s="1"/>
  <c r="AL23" i="8" a="1"/>
  <c r="AL23" i="8" s="1"/>
  <c r="A43" i="8"/>
  <c r="B43" i="8" a="1"/>
  <c r="B43" i="8" s="1"/>
  <c r="C43" i="8" a="1"/>
  <c r="C43" i="8" s="1"/>
  <c r="A42" i="8"/>
  <c r="E42" i="8" a="1"/>
  <c r="E42" i="8" s="1"/>
  <c r="AL22" i="8" a="1"/>
  <c r="AL22" i="8" s="1"/>
  <c r="B42" i="8" a="1"/>
  <c r="B42" i="8" s="1"/>
  <c r="C42" i="8" a="1"/>
  <c r="C42" i="8" s="1"/>
  <c r="D42" i="8" a="1"/>
  <c r="D42" i="8" s="1"/>
  <c r="A53" i="8"/>
  <c r="B53" i="8" a="1"/>
  <c r="B53" i="8" s="1"/>
  <c r="C53" i="8" a="1"/>
  <c r="C53" i="8" s="1"/>
  <c r="D53" i="8" a="1"/>
  <c r="D53" i="8" s="1"/>
  <c r="E53" i="8" a="1"/>
  <c r="E53" i="8" s="1"/>
  <c r="AN20" i="8" a="1"/>
  <c r="AN20" i="8" s="1"/>
  <c r="B56" i="8" a="1"/>
  <c r="B56" i="8" s="1"/>
  <c r="C56" i="8" a="1"/>
  <c r="C56" i="8" s="1"/>
  <c r="D56" i="8" a="1"/>
  <c r="D56" i="8" s="1"/>
  <c r="E56" i="8" a="1"/>
  <c r="E56" i="8" s="1"/>
  <c r="AN23" i="8" a="1"/>
  <c r="AN23" i="8" s="1"/>
  <c r="A56" i="8"/>
  <c r="A47" i="8"/>
  <c r="B47" i="8" a="1"/>
  <c r="B47" i="8" s="1"/>
  <c r="C47" i="8" a="1"/>
  <c r="C47" i="8" s="1"/>
  <c r="D47" i="8" a="1"/>
  <c r="D47" i="8" s="1"/>
  <c r="AL27" i="8" a="1"/>
  <c r="AL27" i="8" s="1"/>
  <c r="E47" i="8" a="1"/>
  <c r="E47" i="8" s="1"/>
  <c r="A44" i="8"/>
  <c r="B44" i="8" a="1"/>
  <c r="B44" i="8" s="1"/>
  <c r="D44" i="8" a="1"/>
  <c r="D44" i="8" s="1"/>
  <c r="AL24" i="8" a="1"/>
  <c r="AL24" i="8" s="1"/>
  <c r="C44" i="8" a="1"/>
  <c r="C44" i="8" s="1"/>
  <c r="E44" i="8" a="1"/>
  <c r="E44" i="8" s="1"/>
  <c r="A41" i="8"/>
  <c r="B41" i="8" a="1"/>
  <c r="B41" i="8" s="1"/>
  <c r="C41" i="8" a="1"/>
  <c r="C41" i="8" s="1"/>
  <c r="D41" i="8" a="1"/>
  <c r="D41" i="8" s="1"/>
  <c r="AL21" i="8" a="1"/>
  <c r="AL21" i="8" s="1"/>
  <c r="E41" i="8" a="1"/>
  <c r="E41" i="8" s="1"/>
  <c r="AN28" i="8" a="1"/>
  <c r="AN28" i="8" s="1"/>
  <c r="C61" i="8" a="1"/>
  <c r="C61" i="8" s="1"/>
  <c r="D61" i="8" a="1"/>
  <c r="D61" i="8" s="1"/>
  <c r="E61" i="8" a="1"/>
  <c r="E61" i="8" s="1"/>
  <c r="A61" i="8"/>
  <c r="B61" i="8" a="1"/>
  <c r="B61" i="8" s="1"/>
  <c r="E58" i="8" a="1"/>
  <c r="E58" i="8" s="1"/>
  <c r="AN25" i="8" a="1"/>
  <c r="AN25" i="8" s="1"/>
  <c r="A58" i="8"/>
  <c r="B58" i="8" a="1"/>
  <c r="B58" i="8" s="1"/>
  <c r="C58" i="8" a="1"/>
  <c r="C58" i="8" s="1"/>
  <c r="D58" i="8" a="1"/>
  <c r="D58" i="8" s="1"/>
  <c r="C55" i="8" a="1"/>
  <c r="C55" i="8" s="1"/>
  <c r="A55" i="8"/>
  <c r="B55" i="8" a="1"/>
  <c r="B55" i="8" s="1"/>
  <c r="D55" i="8" a="1"/>
  <c r="D55" i="8" s="1"/>
  <c r="AN22" i="8" a="1"/>
  <c r="AN22" i="8" s="1"/>
  <c r="E55" i="8" a="1"/>
  <c r="E55" i="8" s="1"/>
  <c r="C46" i="8" a="1"/>
  <c r="C46" i="8" s="1"/>
  <c r="D46" i="8" a="1"/>
  <c r="D46" i="8" s="1"/>
  <c r="E46" i="8" a="1"/>
  <c r="E46" i="8" s="1"/>
  <c r="AL26" i="8" a="1"/>
  <c r="AL26" i="8" s="1"/>
  <c r="A46" i="8"/>
  <c r="B46" i="8" a="1"/>
  <c r="B46" i="8" s="1"/>
  <c r="D45" i="8" a="1"/>
  <c r="D45" i="8" s="1"/>
  <c r="C45" i="8" a="1"/>
  <c r="C45" i="8" s="1"/>
  <c r="E45" i="8" a="1"/>
  <c r="E45" i="8" s="1"/>
  <c r="A45" i="8"/>
  <c r="AL25" i="8" a="1"/>
  <c r="AL25" i="8" s="1"/>
  <c r="B45" i="8" a="1"/>
  <c r="B45" i="8" s="1"/>
  <c r="A60" i="8"/>
  <c r="D60" i="8" a="1"/>
  <c r="D60" i="8" s="1"/>
  <c r="B60" i="8" a="1"/>
  <c r="B60" i="8" s="1"/>
  <c r="C60" i="8" a="1"/>
  <c r="C60" i="8" s="1"/>
  <c r="E60" i="8" a="1"/>
  <c r="E60" i="8" s="1"/>
  <c r="AN27" i="8" a="1"/>
  <c r="AN27" i="8" s="1"/>
  <c r="B40" i="8" a="1"/>
  <c r="B40" i="8" s="1"/>
  <c r="A40" i="8"/>
  <c r="AL20" i="8" a="1"/>
  <c r="AL20" i="8" s="1"/>
  <c r="C40" i="8" a="1"/>
  <c r="C40" i="8" s="1"/>
  <c r="D40" i="8" a="1"/>
  <c r="D40" i="8" s="1"/>
  <c r="E40" i="8" a="1"/>
  <c r="E40" i="8" s="1"/>
  <c r="E48" i="8" a="1"/>
  <c r="E48" i="8" s="1"/>
  <c r="A48" i="8"/>
  <c r="AL28" i="8" a="1"/>
  <c r="AL28" i="8" s="1"/>
  <c r="C48" i="8" a="1"/>
  <c r="C48" i="8" s="1"/>
  <c r="B48" i="8" a="1"/>
  <c r="B48" i="8" s="1"/>
  <c r="D48" i="8" a="1"/>
  <c r="D48" i="8" s="1"/>
  <c r="J25" i="8"/>
  <c r="F14" i="7"/>
  <c r="H8" i="1" s="1"/>
  <c r="J21" i="8"/>
  <c r="L10" i="7"/>
  <c r="J29" i="8"/>
  <c r="AA70" i="5"/>
  <c r="J34" i="8"/>
  <c r="M18" i="7"/>
  <c r="L9" i="7"/>
  <c r="Z70" i="5"/>
  <c r="M17" i="7"/>
  <c r="M11" i="7"/>
  <c r="L7" i="7"/>
  <c r="M16" i="7"/>
  <c r="I18" i="7"/>
  <c r="I13" i="7"/>
  <c r="M9" i="7"/>
  <c r="I7" i="7"/>
  <c r="U74" i="5"/>
  <c r="Z74" i="5"/>
  <c r="M15" i="7"/>
  <c r="M13" i="7"/>
  <c r="M6" i="7"/>
  <c r="AD34" i="8"/>
  <c r="L22" i="7"/>
  <c r="L25" i="7"/>
  <c r="M12" i="7"/>
  <c r="L12" i="7"/>
  <c r="L14" i="7"/>
  <c r="M19" i="7"/>
  <c r="M14" i="7"/>
  <c r="M24" i="7"/>
  <c r="M22" i="7"/>
  <c r="W72" i="5"/>
  <c r="L6" i="7"/>
  <c r="L15" i="7"/>
  <c r="M7" i="7"/>
  <c r="L21" i="7"/>
  <c r="M8" i="7"/>
  <c r="M10" i="7"/>
  <c r="AD31" i="8"/>
  <c r="M23" i="7"/>
  <c r="M25" i="7"/>
  <c r="M21" i="7"/>
  <c r="L23" i="7"/>
  <c r="L17" i="7"/>
  <c r="L20" i="7"/>
  <c r="L16" i="7"/>
  <c r="L24" i="7"/>
  <c r="L19" i="7"/>
  <c r="M20" i="7"/>
  <c r="L11" i="7"/>
  <c r="L18" i="7"/>
  <c r="L8" i="7"/>
  <c r="BM23" i="7" a="1"/>
  <c r="BM23" i="7" s="1"/>
  <c r="L13" i="7"/>
  <c r="AD33" i="8"/>
  <c r="Z81" i="5"/>
  <c r="S65" i="5"/>
  <c r="BM22" i="7" a="1"/>
  <c r="BM22" i="7" s="1"/>
  <c r="BH23" i="7" a="1"/>
  <c r="BH23" i="7" s="1"/>
  <c r="AD32" i="8"/>
  <c r="AA81" i="5"/>
  <c r="Y81" i="5"/>
  <c r="U65" i="5"/>
  <c r="T65" i="5"/>
  <c r="AD64" i="5"/>
  <c r="AD37" i="8"/>
  <c r="H71" i="1"/>
  <c r="H77" i="1"/>
  <c r="G77" i="1"/>
  <c r="BM6" i="7" a="1"/>
  <c r="BM6" i="7" s="1"/>
  <c r="T75" i="5"/>
  <c r="AD25" i="8"/>
  <c r="H65" i="1"/>
  <c r="AD29" i="8"/>
  <c r="Z78" i="5"/>
  <c r="AD21" i="8"/>
  <c r="AD35" i="8"/>
  <c r="R78" i="5"/>
  <c r="Q88" i="5" s="1"/>
  <c r="M19" i="5" s="1"/>
  <c r="AA78" i="5"/>
  <c r="U67" i="5"/>
  <c r="AD67" i="5"/>
  <c r="Y77" i="5"/>
  <c r="H69" i="1"/>
  <c r="AD27" i="8"/>
  <c r="AA68" i="5"/>
  <c r="BM9" i="7" a="1"/>
  <c r="BM9" i="7" s="1"/>
  <c r="BM16" i="7" a="1"/>
  <c r="BM16" i="7" s="1"/>
  <c r="BM8" i="7" a="1"/>
  <c r="BM8" i="7" s="1"/>
  <c r="BM12" i="7" a="1"/>
  <c r="BM12" i="7" s="1"/>
  <c r="BH12" i="7" a="1"/>
  <c r="BH12" i="7" s="1"/>
  <c r="BH6" i="7" a="1"/>
  <c r="BH6" i="7" s="1"/>
  <c r="BH7" i="7" a="1"/>
  <c r="BH7" i="7" s="1"/>
  <c r="BH18" i="7" a="1"/>
  <c r="BH18" i="7" s="1"/>
  <c r="BH14" i="7" a="1"/>
  <c r="BH14" i="7" s="1"/>
  <c r="BH19" i="7" a="1"/>
  <c r="BH19" i="7" s="1"/>
  <c r="BH22" i="7" a="1"/>
  <c r="BH22" i="7" s="1"/>
  <c r="BH17" i="7" a="1"/>
  <c r="BH17" i="7" s="1"/>
  <c r="BH13" i="7" a="1"/>
  <c r="BH13" i="7" s="1"/>
  <c r="BH21" i="7" a="1"/>
  <c r="BH21" i="7" s="1"/>
  <c r="H75" i="1"/>
  <c r="G75" i="1"/>
  <c r="BM7" i="7" a="1"/>
  <c r="BM7" i="7" s="1"/>
  <c r="AD76" i="5"/>
  <c r="V76" i="5"/>
  <c r="W76" i="5"/>
  <c r="BM11" i="7" a="1"/>
  <c r="BM11" i="7" s="1"/>
  <c r="BM20" i="7" a="1"/>
  <c r="BM20" i="7" s="1"/>
  <c r="W73" i="5"/>
  <c r="AD73" i="5"/>
  <c r="AD20" i="8"/>
  <c r="B55" i="1"/>
  <c r="B51" i="1"/>
  <c r="B54" i="1"/>
  <c r="B50" i="1"/>
  <c r="B52" i="1"/>
  <c r="B42" i="1"/>
  <c r="B40" i="1"/>
  <c r="B38" i="1"/>
  <c r="B45" i="1"/>
  <c r="B53" i="1"/>
  <c r="B49" i="1"/>
  <c r="B48" i="1"/>
  <c r="B43" i="1"/>
  <c r="B41" i="1"/>
  <c r="B47" i="1"/>
  <c r="B39" i="1"/>
  <c r="B46" i="1"/>
  <c r="B56" i="1"/>
  <c r="B44" i="1"/>
  <c r="BH9" i="7" a="1"/>
  <c r="BH9" i="7" s="1"/>
  <c r="BH10" i="7" a="1"/>
  <c r="BH10" i="7" s="1"/>
  <c r="G35" i="1"/>
  <c r="E35" i="1"/>
  <c r="AD68" i="5"/>
  <c r="Y68" i="5"/>
  <c r="BM19" i="7" a="1"/>
  <c r="BM19" i="7" s="1"/>
  <c r="H72" i="1"/>
  <c r="H61" i="1"/>
  <c r="H60" i="1"/>
  <c r="BM10" i="7" a="1"/>
  <c r="BM10" i="7" s="1"/>
  <c r="BH15" i="7" a="1"/>
  <c r="BH15" i="7" s="1"/>
  <c r="BM21" i="7" a="1"/>
  <c r="BM21" i="7" s="1"/>
  <c r="BM17" i="7" a="1"/>
  <c r="BM17" i="7" s="1"/>
  <c r="BH20" i="7" a="1"/>
  <c r="BH20" i="7" s="1"/>
  <c r="H67" i="1"/>
  <c r="H5" i="8" a="1"/>
  <c r="H5" i="8" s="1"/>
  <c r="BM18" i="7" a="1"/>
  <c r="BM18" i="7" s="1"/>
  <c r="T80" i="5"/>
  <c r="BM14" i="7" a="1"/>
  <c r="BM14" i="7" s="1"/>
  <c r="G76" i="1"/>
  <c r="C36" i="9"/>
  <c r="AA77" i="5"/>
  <c r="BM15" i="7" a="1"/>
  <c r="BM15" i="7" s="1"/>
  <c r="S80" i="5"/>
  <c r="BH11" i="7" a="1"/>
  <c r="BH11" i="7" s="1"/>
  <c r="AD71" i="5"/>
  <c r="Y71" i="5"/>
  <c r="AA71" i="5"/>
  <c r="BH8" i="7" a="1"/>
  <c r="BH8" i="7" s="1"/>
  <c r="AD79" i="5"/>
  <c r="AA79" i="5"/>
  <c r="AD24" i="8"/>
  <c r="BH16" i="7" a="1"/>
  <c r="BH16" i="7" s="1"/>
  <c r="AD69" i="5"/>
  <c r="X69" i="5"/>
  <c r="BM13" i="7" a="1"/>
  <c r="BM13" i="7" s="1"/>
  <c r="F163" i="5" l="1"/>
  <c r="F154" i="5"/>
  <c r="H9" i="8"/>
  <c r="A13" i="8" s="1"/>
  <c r="BQ11" i="7" a="1"/>
  <c r="BQ11" i="7" s="1"/>
  <c r="S89" i="5"/>
  <c r="BP7" i="7"/>
  <c r="BP12" i="7"/>
  <c r="P89" i="5"/>
  <c r="U89" i="5"/>
  <c r="H89" i="5"/>
  <c r="V89" i="5"/>
  <c r="D89" i="5"/>
  <c r="T89" i="5"/>
  <c r="R89" i="5"/>
  <c r="Q89" i="5"/>
  <c r="O89" i="5"/>
  <c r="N89" i="5"/>
  <c r="M89" i="5"/>
  <c r="L89" i="5"/>
  <c r="K89" i="5"/>
  <c r="G25" i="5"/>
  <c r="J89" i="5"/>
  <c r="H12" i="8"/>
  <c r="A16" i="8" s="1"/>
  <c r="F25" i="5"/>
  <c r="I89" i="5"/>
  <c r="E25" i="5"/>
  <c r="C89" i="5"/>
  <c r="G89" i="5"/>
  <c r="E89" i="5"/>
  <c r="F89" i="5"/>
  <c r="H76" i="1"/>
  <c r="D33" i="9"/>
  <c r="AF24" i="8"/>
  <c r="AF22" i="8"/>
  <c r="V11" i="7"/>
  <c r="P25" i="8" s="1"/>
  <c r="H41" i="1"/>
  <c r="D41" i="1"/>
  <c r="I41" i="1"/>
  <c r="E41" i="1"/>
  <c r="C41" i="1"/>
  <c r="G41" i="1"/>
  <c r="F41" i="1"/>
  <c r="H53" i="1"/>
  <c r="G53" i="1"/>
  <c r="I53" i="1"/>
  <c r="F53" i="1"/>
  <c r="C53" i="1"/>
  <c r="E53" i="1"/>
  <c r="D53" i="1"/>
  <c r="AF21" i="8"/>
  <c r="V7" i="7"/>
  <c r="G40" i="1"/>
  <c r="H40" i="1"/>
  <c r="F40" i="1"/>
  <c r="E40" i="1"/>
  <c r="C40" i="1"/>
  <c r="D40" i="1"/>
  <c r="I40" i="1"/>
  <c r="BQ6" i="7" a="1"/>
  <c r="BQ6" i="7" s="1"/>
  <c r="I42" i="1"/>
  <c r="G42" i="1"/>
  <c r="F42" i="1"/>
  <c r="D42" i="1"/>
  <c r="C42" i="1"/>
  <c r="H42" i="1"/>
  <c r="E42" i="1"/>
  <c r="BP9" i="7"/>
  <c r="BQ12" i="7" a="1"/>
  <c r="BQ12" i="7" s="1"/>
  <c r="I54" i="1"/>
  <c r="H54" i="1"/>
  <c r="G54" i="1"/>
  <c r="F54" i="1"/>
  <c r="E54" i="1"/>
  <c r="C54" i="1"/>
  <c r="D54" i="1"/>
  <c r="G49" i="1"/>
  <c r="C49" i="1"/>
  <c r="H49" i="1"/>
  <c r="F49" i="1"/>
  <c r="E49" i="1"/>
  <c r="D49" i="1"/>
  <c r="I49" i="1"/>
  <c r="BP11" i="7"/>
  <c r="V8" i="7"/>
  <c r="I51" i="1"/>
  <c r="G51" i="1"/>
  <c r="H51" i="1"/>
  <c r="D51" i="1"/>
  <c r="C51" i="1"/>
  <c r="F51" i="1"/>
  <c r="E51" i="1"/>
  <c r="E52" i="1"/>
  <c r="D52" i="1"/>
  <c r="H52" i="1"/>
  <c r="G52" i="1"/>
  <c r="F52" i="1"/>
  <c r="C52" i="1"/>
  <c r="I52" i="1"/>
  <c r="F50" i="1"/>
  <c r="D50" i="1"/>
  <c r="E50" i="1"/>
  <c r="G50" i="1"/>
  <c r="C50" i="1"/>
  <c r="I50" i="1"/>
  <c r="H50" i="1"/>
  <c r="BQ9" i="7" a="1"/>
  <c r="BQ9" i="7" s="1"/>
  <c r="E55" i="1"/>
  <c r="I55" i="1"/>
  <c r="H55" i="1"/>
  <c r="G55" i="1"/>
  <c r="C55" i="1"/>
  <c r="F55" i="1"/>
  <c r="D55" i="1"/>
  <c r="BP10" i="7"/>
  <c r="BQ8" i="7" a="1"/>
  <c r="BQ8" i="7" s="1"/>
  <c r="BQ10" i="7" a="1"/>
  <c r="BQ10" i="7" s="1"/>
  <c r="V6" i="7"/>
  <c r="F44" i="1"/>
  <c r="H44" i="1"/>
  <c r="I44" i="1"/>
  <c r="E44" i="1"/>
  <c r="D44" i="1"/>
  <c r="C44" i="1"/>
  <c r="G44" i="1"/>
  <c r="D48" i="1"/>
  <c r="E48" i="1"/>
  <c r="C48" i="1"/>
  <c r="I48" i="1"/>
  <c r="H48" i="1"/>
  <c r="G48" i="1"/>
  <c r="F48" i="1"/>
  <c r="F56" i="1"/>
  <c r="D56" i="1"/>
  <c r="E56" i="1"/>
  <c r="I56" i="1"/>
  <c r="H56" i="1"/>
  <c r="G56" i="1"/>
  <c r="C56" i="1"/>
  <c r="A9" i="8"/>
  <c r="BP6" i="7"/>
  <c r="BQ7" i="7" a="1"/>
  <c r="BQ7" i="7" s="1"/>
  <c r="G46" i="1"/>
  <c r="F46" i="1"/>
  <c r="H46" i="1"/>
  <c r="I46" i="1"/>
  <c r="D46" i="1"/>
  <c r="C46" i="1"/>
  <c r="E46" i="1"/>
  <c r="AF23" i="8"/>
  <c r="D45" i="1"/>
  <c r="C45" i="1"/>
  <c r="I45" i="1"/>
  <c r="H45" i="1"/>
  <c r="F45" i="1"/>
  <c r="E45" i="1"/>
  <c r="G45" i="1"/>
  <c r="E38" i="1"/>
  <c r="D38" i="1"/>
  <c r="C38" i="1"/>
  <c r="I38" i="1"/>
  <c r="H38" i="1"/>
  <c r="F38" i="1"/>
  <c r="G38" i="1"/>
  <c r="V10" i="7"/>
  <c r="F39" i="1"/>
  <c r="H39" i="1"/>
  <c r="G39" i="1"/>
  <c r="I39" i="1"/>
  <c r="C39" i="1"/>
  <c r="E39" i="1"/>
  <c r="D39" i="1"/>
  <c r="D43" i="1"/>
  <c r="I43" i="1"/>
  <c r="E43" i="1"/>
  <c r="C43" i="1"/>
  <c r="H43" i="1"/>
  <c r="G43" i="1"/>
  <c r="F43" i="1"/>
  <c r="BP8" i="7"/>
  <c r="AF20" i="8"/>
  <c r="V9" i="7"/>
  <c r="I47" i="1"/>
  <c r="H47" i="1"/>
  <c r="F47" i="1"/>
  <c r="E47" i="1"/>
  <c r="D47" i="1"/>
  <c r="G47" i="1"/>
  <c r="C47" i="1"/>
  <c r="AH23" i="8"/>
  <c r="AH21" i="8"/>
  <c r="AH22" i="8"/>
  <c r="AH24" i="8"/>
  <c r="AH20" i="8"/>
  <c r="H13" i="8" l="1"/>
  <c r="C8" i="8" s="1"/>
  <c r="D8" i="8" s="1"/>
  <c r="E8" i="8" s="1"/>
  <c r="H163" i="5"/>
  <c r="G163" i="5"/>
  <c r="I163" i="5"/>
  <c r="AV68" i="5"/>
  <c r="AV67" i="5"/>
  <c r="AV75" i="5"/>
  <c r="AV73" i="5"/>
  <c r="AV70" i="5"/>
  <c r="AV83" i="5"/>
  <c r="AV64" i="5"/>
  <c r="AV78" i="5"/>
  <c r="AV65" i="5"/>
  <c r="AV82" i="5"/>
  <c r="AV80" i="5"/>
  <c r="AV72" i="5"/>
  <c r="AV77" i="5"/>
  <c r="AV69" i="5"/>
  <c r="AV74" i="5"/>
  <c r="AV76" i="5"/>
  <c r="AV79" i="5"/>
  <c r="AV71" i="5"/>
  <c r="AV66" i="5"/>
  <c r="AV81" i="5"/>
  <c r="I154" i="5"/>
  <c r="H154" i="5"/>
  <c r="G154" i="5"/>
  <c r="AO82" i="5"/>
  <c r="AO65" i="5"/>
  <c r="AO72" i="5"/>
  <c r="AO75" i="5"/>
  <c r="AO69" i="5"/>
  <c r="AO66" i="5"/>
  <c r="AO77" i="5"/>
  <c r="AO71" i="5"/>
  <c r="AO64" i="5"/>
  <c r="AO80" i="5"/>
  <c r="AO79" i="5"/>
  <c r="AO81" i="5"/>
  <c r="AO68" i="5"/>
  <c r="AO83" i="5"/>
  <c r="AO70" i="5"/>
  <c r="AO78" i="5"/>
  <c r="AO76" i="5"/>
  <c r="AO74" i="5"/>
  <c r="AO73" i="5"/>
  <c r="AO67" i="5"/>
  <c r="AJ21" i="8"/>
  <c r="AJ25" i="8"/>
  <c r="AJ26" i="8"/>
  <c r="E65" i="1"/>
  <c r="AM11" i="7"/>
  <c r="AJ20" i="8"/>
  <c r="R20" i="8"/>
  <c r="S16" i="5"/>
  <c r="D29" i="9"/>
  <c r="B27" i="8"/>
  <c r="D27" i="9"/>
  <c r="B25" i="8"/>
  <c r="D32" i="9"/>
  <c r="B30" i="8"/>
  <c r="D31" i="9"/>
  <c r="B29" i="8"/>
  <c r="D28" i="9"/>
  <c r="B26" i="8"/>
  <c r="D30" i="9"/>
  <c r="B28" i="8"/>
  <c r="P22" i="8"/>
  <c r="AM8" i="7"/>
  <c r="E62" i="1"/>
  <c r="AM9" i="7"/>
  <c r="P23" i="8"/>
  <c r="E63" i="1"/>
  <c r="P20" i="8"/>
  <c r="AM6" i="7"/>
  <c r="E60" i="1"/>
  <c r="P21" i="8"/>
  <c r="AM7" i="7"/>
  <c r="E61" i="1"/>
  <c r="AJ24" i="8"/>
  <c r="AJ22" i="8"/>
  <c r="AM10" i="7"/>
  <c r="P24" i="8"/>
  <c r="E64" i="1"/>
  <c r="AJ23" i="8"/>
  <c r="D9" i="8" l="1"/>
  <c r="A4" i="8" s="1"/>
  <c r="F164" i="5"/>
  <c r="F155" i="5"/>
  <c r="G90" i="5"/>
  <c r="K90" i="5"/>
  <c r="V90" i="5"/>
  <c r="T90" i="5"/>
  <c r="G26" i="5"/>
  <c r="O90" i="5"/>
  <c r="R90" i="5"/>
  <c r="A17" i="8"/>
  <c r="J90" i="5"/>
  <c r="F90" i="5"/>
  <c r="E90" i="5"/>
  <c r="P90" i="5"/>
  <c r="H90" i="5"/>
  <c r="E26" i="5"/>
  <c r="L90" i="5"/>
  <c r="U90" i="5"/>
  <c r="C90" i="5"/>
  <c r="S90" i="5"/>
  <c r="Q90" i="5"/>
  <c r="I90" i="5"/>
  <c r="F26" i="5"/>
  <c r="D90" i="5"/>
  <c r="N90" i="5"/>
  <c r="M90" i="5"/>
  <c r="C39" i="9"/>
  <c r="D34" i="9"/>
  <c r="H6" i="8"/>
  <c r="E66" i="1"/>
  <c r="E9" i="8" l="1"/>
  <c r="I164" i="5"/>
  <c r="H164" i="5"/>
  <c r="G164" i="5"/>
  <c r="AW79" i="5"/>
  <c r="AW80" i="5"/>
  <c r="AW67" i="5"/>
  <c r="AW81" i="5"/>
  <c r="AW83" i="5"/>
  <c r="AW75" i="5"/>
  <c r="AW78" i="5"/>
  <c r="AW64" i="5"/>
  <c r="AW82" i="5"/>
  <c r="AW66" i="5"/>
  <c r="AW68" i="5"/>
  <c r="AW74" i="5"/>
  <c r="AW73" i="5"/>
  <c r="AW77" i="5"/>
  <c r="AW70" i="5"/>
  <c r="AW69" i="5"/>
  <c r="AW65" i="5"/>
  <c r="AW71" i="5"/>
  <c r="AW76" i="5"/>
  <c r="AW72" i="5"/>
  <c r="H155" i="5"/>
  <c r="I155" i="5"/>
  <c r="G155" i="5"/>
  <c r="AP64" i="5"/>
  <c r="AP66" i="5"/>
  <c r="AP67" i="5"/>
  <c r="AP74" i="5"/>
  <c r="AP80" i="5"/>
  <c r="AP81" i="5"/>
  <c r="AP77" i="5"/>
  <c r="AP72" i="5"/>
  <c r="AP70" i="5"/>
  <c r="AP75" i="5"/>
  <c r="AP71" i="5"/>
  <c r="AP68" i="5"/>
  <c r="AP78" i="5"/>
  <c r="AP65" i="5"/>
  <c r="AP82" i="5"/>
  <c r="AP69" i="5"/>
  <c r="AP73" i="5"/>
  <c r="AP83" i="5"/>
  <c r="AP79" i="5"/>
  <c r="AP76" i="5"/>
  <c r="R21" i="8"/>
  <c r="M16" i="5"/>
  <c r="A10" i="8"/>
  <c r="F165" i="5" l="1"/>
  <c r="F156" i="5"/>
  <c r="H91" i="5"/>
  <c r="S91" i="5"/>
  <c r="R91" i="5"/>
  <c r="D91" i="5"/>
  <c r="E91" i="5"/>
  <c r="U91" i="5"/>
  <c r="L91" i="5"/>
  <c r="P91" i="5"/>
  <c r="T91" i="5"/>
  <c r="I91" i="5"/>
  <c r="Q91" i="5"/>
  <c r="G91" i="5"/>
  <c r="C91" i="5"/>
  <c r="F91" i="5"/>
  <c r="M91" i="5"/>
  <c r="V91" i="5"/>
  <c r="J91" i="5"/>
  <c r="N91" i="5"/>
  <c r="F27" i="5"/>
  <c r="G27" i="5"/>
  <c r="O91" i="5"/>
  <c r="K91" i="5"/>
  <c r="E27" i="5"/>
  <c r="H165" i="5" l="1"/>
  <c r="G165" i="5"/>
  <c r="I165" i="5"/>
  <c r="AX72" i="5"/>
  <c r="AX81" i="5"/>
  <c r="AX74" i="5"/>
  <c r="AX68" i="5"/>
  <c r="AX69" i="5"/>
  <c r="AX67" i="5"/>
  <c r="AX78" i="5"/>
  <c r="AX66" i="5"/>
  <c r="AX73" i="5"/>
  <c r="AX76" i="5"/>
  <c r="AX83" i="5"/>
  <c r="AX77" i="5"/>
  <c r="AX64" i="5"/>
  <c r="AX80" i="5"/>
  <c r="AX79" i="5"/>
  <c r="AX65" i="5"/>
  <c r="AX70" i="5"/>
  <c r="AX75" i="5"/>
  <c r="AX71" i="5"/>
  <c r="AX82" i="5"/>
  <c r="I156" i="5"/>
  <c r="H156" i="5"/>
  <c r="G156" i="5"/>
  <c r="E28" i="5"/>
  <c r="R22" i="8"/>
  <c r="J16" i="5"/>
  <c r="F166" i="5" l="1"/>
  <c r="S92" i="5"/>
  <c r="N92" i="5"/>
  <c r="G92" i="5"/>
  <c r="D92" i="5"/>
  <c r="J92" i="5"/>
  <c r="Q92" i="5"/>
  <c r="M92" i="5"/>
  <c r="C92" i="5"/>
  <c r="P92" i="5"/>
  <c r="U92" i="5"/>
  <c r="F92" i="5"/>
  <c r="T92" i="5"/>
  <c r="K92" i="5"/>
  <c r="L92" i="5"/>
  <c r="E92" i="5"/>
  <c r="G28" i="5"/>
  <c r="F28" i="5"/>
  <c r="V92" i="5"/>
  <c r="H92" i="5"/>
  <c r="O92" i="5"/>
  <c r="P16" i="5"/>
  <c r="I92" i="5"/>
  <c r="R92" i="5"/>
  <c r="I166" i="5" l="1"/>
  <c r="H166" i="5"/>
  <c r="G166" i="5"/>
  <c r="AY66" i="5"/>
  <c r="AY64" i="5"/>
  <c r="AY76" i="5"/>
  <c r="AY78" i="5"/>
  <c r="AY77" i="5"/>
  <c r="AY72" i="5"/>
  <c r="AY81" i="5"/>
  <c r="AY68" i="5"/>
  <c r="AY71" i="5"/>
  <c r="AY75" i="5"/>
  <c r="AY73" i="5"/>
  <c r="AY82" i="5"/>
  <c r="AY67" i="5"/>
  <c r="AY70" i="5"/>
  <c r="AY80" i="5"/>
  <c r="AY74" i="5"/>
  <c r="AY65" i="5"/>
  <c r="AY79" i="5"/>
  <c r="AY69" i="5"/>
  <c r="AY83" i="5"/>
  <c r="R23" i="8"/>
  <c r="S13" i="5"/>
  <c r="G16" i="5"/>
  <c r="F167" i="5" l="1"/>
  <c r="J93" i="5"/>
  <c r="D93" i="5"/>
  <c r="L93" i="5"/>
  <c r="U93" i="5"/>
  <c r="R93" i="5"/>
  <c r="G93" i="5"/>
  <c r="M93" i="5"/>
  <c r="P93" i="5"/>
  <c r="V93" i="5"/>
  <c r="I93" i="5"/>
  <c r="H93" i="5"/>
  <c r="N93" i="5"/>
  <c r="T93" i="5"/>
  <c r="K93" i="5"/>
  <c r="S93" i="5"/>
  <c r="F93" i="5"/>
  <c r="G29" i="5"/>
  <c r="F29" i="5"/>
  <c r="Q93" i="5"/>
  <c r="O93" i="5"/>
  <c r="E93" i="5"/>
  <c r="C93" i="5"/>
  <c r="E29" i="5"/>
  <c r="H167" i="5" l="1"/>
  <c r="I167" i="5"/>
  <c r="G167" i="5"/>
  <c r="AZ79" i="5"/>
  <c r="AZ72" i="5"/>
  <c r="AZ78" i="5"/>
  <c r="AZ83" i="5"/>
  <c r="AZ80" i="5"/>
  <c r="AZ73" i="5"/>
  <c r="AZ68" i="5"/>
  <c r="AZ71" i="5"/>
  <c r="AZ76" i="5"/>
  <c r="AZ64" i="5"/>
  <c r="AZ69" i="5"/>
  <c r="AZ65" i="5"/>
  <c r="AZ70" i="5"/>
  <c r="AZ82" i="5"/>
  <c r="AZ81" i="5"/>
  <c r="AZ75" i="5"/>
  <c r="AZ77" i="5"/>
  <c r="AZ66" i="5"/>
  <c r="AZ67" i="5"/>
  <c r="AZ74" i="5"/>
  <c r="R24" i="8"/>
  <c r="G13" i="5"/>
  <c r="F168" i="5" l="1"/>
  <c r="M94" i="5"/>
  <c r="N94" i="5"/>
  <c r="P94" i="5"/>
  <c r="K94" i="5"/>
  <c r="D94" i="5"/>
  <c r="J94" i="5"/>
  <c r="Q94" i="5"/>
  <c r="V94" i="5"/>
  <c r="R94" i="5"/>
  <c r="T94" i="5"/>
  <c r="O94" i="5"/>
  <c r="G30" i="5"/>
  <c r="L94" i="5"/>
  <c r="S94" i="5"/>
  <c r="U94" i="5"/>
  <c r="H94" i="5"/>
  <c r="F94" i="5"/>
  <c r="G94" i="5"/>
  <c r="I94" i="5"/>
  <c r="F30" i="5"/>
  <c r="C94" i="5"/>
  <c r="E94" i="5"/>
  <c r="E30" i="5"/>
  <c r="I168" i="5" l="1"/>
  <c r="H168" i="5"/>
  <c r="G168" i="5"/>
  <c r="BA72" i="5"/>
  <c r="BA80" i="5"/>
  <c r="BA74" i="5"/>
  <c r="BA69" i="5"/>
  <c r="BA73" i="5"/>
  <c r="BA68" i="5"/>
  <c r="BA79" i="5"/>
  <c r="BA71" i="5"/>
  <c r="BA67" i="5"/>
  <c r="BA82" i="5"/>
  <c r="BA66" i="5"/>
  <c r="BA70" i="5"/>
  <c r="BA83" i="5"/>
  <c r="BA77" i="5"/>
  <c r="BA65" i="5"/>
  <c r="BA78" i="5"/>
  <c r="BA81" i="5"/>
  <c r="BA64" i="5"/>
  <c r="BA75" i="5"/>
  <c r="BA76" i="5"/>
  <c r="R25" i="8"/>
  <c r="Q95" i="5"/>
  <c r="F169" i="5" l="1"/>
  <c r="L95" i="5"/>
  <c r="M95" i="5"/>
  <c r="C95" i="5"/>
  <c r="T95" i="5"/>
  <c r="O95" i="5"/>
  <c r="N95" i="5"/>
  <c r="D95" i="5"/>
  <c r="U95" i="5"/>
  <c r="G95" i="5"/>
  <c r="E95" i="5"/>
  <c r="I95" i="5"/>
  <c r="R95" i="5"/>
  <c r="P95" i="5"/>
  <c r="J95" i="5"/>
  <c r="F95" i="5"/>
  <c r="H95" i="5"/>
  <c r="F31" i="5"/>
  <c r="G31" i="5"/>
  <c r="E31" i="5"/>
  <c r="S95" i="5"/>
  <c r="J13" i="5"/>
  <c r="V95" i="5"/>
  <c r="K95" i="5"/>
  <c r="H169" i="5" l="1"/>
  <c r="G169" i="5"/>
  <c r="I169" i="5"/>
  <c r="BB82" i="5"/>
  <c r="BB64" i="5"/>
  <c r="BB80" i="5"/>
  <c r="BB79" i="5"/>
  <c r="BB77" i="5"/>
  <c r="BB71" i="5"/>
  <c r="BB73" i="5"/>
  <c r="BB76" i="5"/>
  <c r="BB65" i="5"/>
  <c r="BB67" i="5"/>
  <c r="BB70" i="5"/>
  <c r="BB75" i="5"/>
  <c r="BB69" i="5"/>
  <c r="BB68" i="5"/>
  <c r="BB66" i="5"/>
  <c r="BB81" i="5"/>
  <c r="BB78" i="5"/>
  <c r="BB74" i="5"/>
  <c r="BB72" i="5"/>
  <c r="BB83" i="5"/>
  <c r="R26" i="8"/>
  <c r="M13" i="5"/>
  <c r="F170" i="5" l="1"/>
  <c r="U96" i="5"/>
  <c r="E96" i="5"/>
  <c r="R96" i="5"/>
  <c r="T96" i="5"/>
  <c r="F96" i="5"/>
  <c r="N96" i="5"/>
  <c r="H96" i="5"/>
  <c r="V96" i="5"/>
  <c r="G96" i="5"/>
  <c r="D96" i="5"/>
  <c r="K96" i="5"/>
  <c r="S96" i="5"/>
  <c r="P96" i="5"/>
  <c r="M96" i="5"/>
  <c r="L96" i="5"/>
  <c r="I96" i="5"/>
  <c r="J96" i="5"/>
  <c r="G32" i="5"/>
  <c r="F32" i="5"/>
  <c r="C96" i="5"/>
  <c r="Q96" i="5"/>
  <c r="O96" i="5"/>
  <c r="E32" i="5"/>
  <c r="I170" i="5" l="1"/>
  <c r="H170" i="5"/>
  <c r="G170" i="5"/>
  <c r="R27" i="8"/>
  <c r="P13" i="5"/>
  <c r="S10" i="5"/>
  <c r="J97" i="5" l="1"/>
  <c r="P97" i="5"/>
  <c r="O97" i="5"/>
  <c r="I97" i="5"/>
  <c r="K97" i="5"/>
  <c r="R97" i="5"/>
  <c r="U97" i="5"/>
  <c r="M97" i="5"/>
  <c r="S97" i="5"/>
  <c r="L97" i="5"/>
  <c r="V97" i="5"/>
  <c r="N97" i="5"/>
  <c r="F97" i="5"/>
  <c r="Q97" i="5"/>
  <c r="E97" i="5"/>
  <c r="F33" i="5"/>
  <c r="G33" i="5"/>
  <c r="T97" i="5"/>
  <c r="H97" i="5"/>
  <c r="C97" i="5"/>
  <c r="G97" i="5"/>
  <c r="D97" i="5"/>
  <c r="E33" i="5"/>
  <c r="R28" i="8" l="1"/>
  <c r="J10" i="5"/>
  <c r="M10" i="5"/>
  <c r="U98" i="5" l="1"/>
  <c r="L98" i="5"/>
  <c r="P98" i="5"/>
  <c r="I98" i="5"/>
  <c r="G98" i="5"/>
  <c r="D98" i="5"/>
  <c r="F98" i="5"/>
  <c r="J98" i="5"/>
  <c r="Q98" i="5"/>
  <c r="V98" i="5"/>
  <c r="H98" i="5"/>
  <c r="S98" i="5"/>
  <c r="O98" i="5"/>
  <c r="M98" i="5"/>
  <c r="C98" i="5"/>
  <c r="E98" i="5"/>
  <c r="F34" i="5"/>
  <c r="G34" i="5"/>
  <c r="R98" i="5"/>
  <c r="N98" i="5"/>
  <c r="T98" i="5"/>
  <c r="K98" i="5"/>
  <c r="E34" i="5"/>
  <c r="R29" i="8" l="1"/>
  <c r="P10" i="5"/>
  <c r="G10" i="5"/>
  <c r="C55" i="5" l="1" a="1"/>
  <c r="C55" i="5" s="1"/>
  <c r="T35" i="8" s="1"/>
  <c r="C45" i="5" a="1"/>
  <c r="C45" i="5" s="1"/>
  <c r="F45" i="5" s="1"/>
  <c r="C51" i="5" a="1"/>
  <c r="C51" i="5" s="1"/>
  <c r="E51" i="5" s="1"/>
  <c r="C43" i="5" a="1"/>
  <c r="C43" i="5" s="1"/>
  <c r="B43" i="5" s="1"/>
  <c r="C54" i="5" a="1"/>
  <c r="C54" i="5" s="1"/>
  <c r="T34" i="8" s="1"/>
  <c r="C53" i="5" a="1"/>
  <c r="C53" i="5" s="1"/>
  <c r="T33" i="8" s="1"/>
  <c r="C47" i="5" a="1"/>
  <c r="C47" i="5" s="1"/>
  <c r="G47" i="5" s="1"/>
  <c r="C48" i="5" a="1"/>
  <c r="C48" i="5" s="1"/>
  <c r="C59" i="5" a="1"/>
  <c r="C59" i="5" s="1"/>
  <c r="T39" i="8" s="1"/>
  <c r="C49" i="5" a="1"/>
  <c r="C49" i="5" s="1"/>
  <c r="F49" i="5" s="1"/>
  <c r="C46" i="5" a="1"/>
  <c r="C46" i="5" s="1"/>
  <c r="E46" i="5" s="1"/>
  <c r="C57" i="5" a="1"/>
  <c r="C57" i="5" s="1"/>
  <c r="G57" i="5" s="1"/>
  <c r="C44" i="5" a="1"/>
  <c r="C44" i="5" s="1"/>
  <c r="G44" i="5" s="1"/>
  <c r="C58" i="5" a="1"/>
  <c r="C58" i="5" s="1"/>
  <c r="E58" i="5" s="1"/>
  <c r="C42" i="5" a="1"/>
  <c r="C42" i="5" s="1"/>
  <c r="B42" i="5" s="1"/>
  <c r="C50" i="5" a="1"/>
  <c r="C50" i="5" s="1"/>
  <c r="B50" i="5" s="1"/>
  <c r="C41" i="5" a="1"/>
  <c r="C41" i="5" s="1"/>
  <c r="G41" i="5" s="1"/>
  <c r="C52" i="5" a="1"/>
  <c r="C52" i="5" s="1"/>
  <c r="T32" i="8" s="1"/>
  <c r="C56" i="5" a="1"/>
  <c r="C56" i="5" s="1"/>
  <c r="B56" i="5" s="1"/>
  <c r="C40" i="5" a="1"/>
  <c r="C40" i="5" s="1"/>
  <c r="D40" i="5" s="1"/>
  <c r="G35" i="5"/>
  <c r="F35" i="5"/>
  <c r="E35" i="5"/>
  <c r="E55" i="5" l="1"/>
  <c r="F55" i="5"/>
  <c r="G55" i="5"/>
  <c r="D55" i="5"/>
  <c r="B55" i="5"/>
  <c r="G45" i="5"/>
  <c r="B45" i="5"/>
  <c r="D45" i="5"/>
  <c r="E45" i="5"/>
  <c r="B51" i="5"/>
  <c r="D51" i="5"/>
  <c r="G51" i="5"/>
  <c r="F51" i="5"/>
  <c r="T31" i="8"/>
  <c r="E53" i="5"/>
  <c r="F43" i="5"/>
  <c r="D43" i="5"/>
  <c r="E43" i="5"/>
  <c r="B54" i="5"/>
  <c r="F54" i="5"/>
  <c r="D54" i="5"/>
  <c r="E54" i="5"/>
  <c r="G54" i="5"/>
  <c r="G43" i="5"/>
  <c r="F47" i="5"/>
  <c r="B47" i="5"/>
  <c r="B53" i="5"/>
  <c r="E47" i="5"/>
  <c r="E59" i="5"/>
  <c r="F53" i="5"/>
  <c r="D53" i="5"/>
  <c r="F59" i="5"/>
  <c r="G53" i="5"/>
  <c r="D47" i="5"/>
  <c r="B59" i="5"/>
  <c r="D59" i="5"/>
  <c r="D48" i="5"/>
  <c r="F48" i="5"/>
  <c r="B49" i="5"/>
  <c r="E49" i="5"/>
  <c r="B48" i="5"/>
  <c r="T29" i="8"/>
  <c r="E48" i="5"/>
  <c r="G46" i="5"/>
  <c r="B46" i="5"/>
  <c r="G49" i="5"/>
  <c r="G48" i="5"/>
  <c r="F46" i="5"/>
  <c r="D46" i="5"/>
  <c r="G59" i="5"/>
  <c r="B57" i="5"/>
  <c r="D57" i="5"/>
  <c r="E57" i="5"/>
  <c r="D49" i="5"/>
  <c r="F57" i="5"/>
  <c r="T37" i="8"/>
  <c r="G42" i="5"/>
  <c r="D42" i="5"/>
  <c r="E42" i="5"/>
  <c r="F42" i="5"/>
  <c r="D50" i="5"/>
  <c r="G56" i="5"/>
  <c r="G50" i="5"/>
  <c r="T30" i="8"/>
  <c r="F50" i="5"/>
  <c r="E56" i="5"/>
  <c r="E50" i="5"/>
  <c r="D56" i="5"/>
  <c r="F56" i="5"/>
  <c r="T36" i="8"/>
  <c r="B40" i="5"/>
  <c r="G40" i="5"/>
  <c r="F40" i="5"/>
  <c r="E52" i="5"/>
  <c r="D41" i="5"/>
  <c r="G52" i="5"/>
  <c r="G58" i="5"/>
  <c r="F41" i="5"/>
  <c r="B44" i="5"/>
  <c r="E40" i="5"/>
  <c r="F52" i="5"/>
  <c r="D52" i="5"/>
  <c r="E41" i="5"/>
  <c r="B52" i="5"/>
  <c r="F58" i="5"/>
  <c r="B41" i="5"/>
  <c r="D44" i="5"/>
  <c r="B58" i="5"/>
  <c r="F44" i="5"/>
  <c r="D58" i="5"/>
  <c r="E44" i="5"/>
  <c r="T38" i="8"/>
  <c r="R30" i="8"/>
  <c r="T25" i="8" l="1"/>
  <c r="T27" i="8"/>
  <c r="T28" i="8"/>
  <c r="T23" i="8"/>
  <c r="T26" i="8"/>
  <c r="T22" i="8"/>
  <c r="T20" i="8"/>
  <c r="H10" i="8" s="1"/>
  <c r="T24" i="8"/>
  <c r="T21" i="8"/>
  <c r="A14" i="8" l="1"/>
  <c r="B33"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M4" authorId="0" shapeId="0" xr:uid="{00000000-0006-0000-0100-000001000000}">
      <text>
        <r>
          <rPr>
            <sz val="10"/>
            <rFont val="Arial"/>
            <family val="2"/>
          </rPr>
          <t>John Hennessy:
Input. Players at or above this attendance % get full credit for their work rate. Below it, work-rate credit tapers pro-rata. Prevents a player who attended a third of sessions scoring as if they attended all.</t>
        </r>
      </text>
    </comment>
    <comment ref="AM5" authorId="0" shapeId="0" xr:uid="{00000000-0006-0000-0100-000002000000}">
      <text>
        <r>
          <rPr>
            <sz val="10"/>
            <rFont val="Arial"/>
            <family val="2"/>
          </rPr>
          <t>John Hennessy:
Input. Players with fewer attended sessions than this show "Insufficient data" instead of a readiness band. They still receive a grade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N4" authorId="0" shapeId="0" xr:uid="{00000000-0006-0000-02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Season score = Training Att% x wTA + Work Rate% x wWR + Matchday Att% x wMA + Match Rating% x wMR. If a player has not yet appeared in any matchday squad, the two matchday components are excluded and the training weights are re-scaled to 100% so she is not penalised as zero.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Hennessy</author>
  </authors>
  <commentList>
    <comment ref="I24" authorId="0" shapeId="0" xr:uid="{1171C73F-CB10-4C7D-B19B-C2E537D8A23C}">
      <text>
        <r>
          <rPr>
            <b/>
            <sz val="9"/>
            <color indexed="81"/>
            <rFont val="Tahoma"/>
            <charset val="1"/>
          </rPr>
          <t>John Hennessy:</t>
        </r>
        <r>
          <rPr>
            <sz val="9"/>
            <color indexed="81"/>
            <rFont val="Tahoma"/>
            <charset val="1"/>
          </rPr>
          <t xml:space="preserve">
Manual lock for the 4-3-3 shape only. Slot roles differ from 3-5-2 (slot 5 is LB here, RWB in 3-5-2), so locks are kept separate per formation. Leave blank to auto-pick.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John Hennessy</author>
  </authors>
  <commentList>
    <comment ref="BB1" authorId="0" shapeId="0" xr:uid="{00000000-0006-0000-0600-000001000000}">
      <text>
        <r>
          <rPr>
            <sz val="10"/>
            <rFont val="Arial"/>
            <family val="2"/>
          </rPr>
          <t>John Hennessy:
Input: length of the rolling 'last week' window in days, counted back from the active anchor date.</t>
        </r>
      </text>
    </comment>
    <comment ref="BT5" authorId="1" shapeId="0" xr:uid="{AA209707-A91F-4D32-8C3C-6E94A5DF46F4}">
      <text>
        <r>
          <rPr>
            <b/>
            <sz val="9"/>
            <color indexed="81"/>
            <rFont val="Tahoma"/>
            <charset val="1"/>
          </rPr>
          <t>John Hennessy:</t>
        </r>
        <r>
          <rPr>
            <sz val="9"/>
            <color indexed="81"/>
            <rFont val="Tahoma"/>
            <charset val="1"/>
          </rPr>
          <t xml:space="preserve">
Manual override. If set, it replaces the calculated in-season RAG Band in column I for that player. Leave blank to let the work-rate logic decide. Does NOT affect the pre-season baseline in column AU.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 Hennessy</author>
  </authors>
  <commentList>
    <comment ref="C4" authorId="0" shapeId="0" xr:uid="{38568C79-4394-4E4F-9E5A-848A681BEAC6}">
      <text>
        <r>
          <rPr>
            <b/>
            <sz val="9"/>
            <color indexed="81"/>
            <rFont val="Tahoma"/>
            <charset val="1"/>
          </rPr>
          <t>John Hennessy:</t>
        </r>
        <r>
          <rPr>
            <sz val="9"/>
            <color indexed="81"/>
            <rFont val="Tahoma"/>
            <charset val="1"/>
          </rPr>
          <t xml:space="preserve">
meta, squadSummary, ragBands, sessions, fixtures</t>
        </r>
      </text>
    </comment>
    <comment ref="C5" authorId="0" shapeId="0" xr:uid="{E0F0EE77-697F-42CE-ACB1-D4471FC71A02}">
      <text>
        <r>
          <rPr>
            <b/>
            <sz val="9"/>
            <color indexed="81"/>
            <rFont val="Tahoma"/>
            <charset val="1"/>
          </rPr>
          <t>John Hennessy:</t>
        </r>
        <r>
          <rPr>
            <sz val="9"/>
            <color indexed="81"/>
            <rFont val="Tahoma"/>
            <charset val="1"/>
          </rPr>
          <t xml:space="preserve">
players</t>
        </r>
      </text>
    </comment>
    <comment ref="C6" authorId="0" shapeId="0" xr:uid="{CC8A3340-073D-4B61-B028-980C8DE2F18D}">
      <text>
        <r>
          <rPr>
            <b/>
            <sz val="9"/>
            <color indexed="81"/>
            <rFont val="Tahoma"/>
            <charset val="1"/>
          </rPr>
          <t>John Hennessy:</t>
        </r>
        <r>
          <rPr>
            <sz val="9"/>
            <color indexed="81"/>
            <rFont val="Tahoma"/>
            <charset val="1"/>
          </rPr>
          <t xml:space="preserve">
teamSelection (both formations)</t>
        </r>
      </text>
    </comment>
    <comment ref="C7" authorId="0" shapeId="0" xr:uid="{9A9C1F80-79AE-47E6-8417-77E5B110D738}">
      <text>
        <r>
          <rPr>
            <b/>
            <sz val="9"/>
            <color indexed="81"/>
            <rFont val="Tahoma"/>
            <charset val="1"/>
          </rPr>
          <t>John Hennessy:</t>
        </r>
        <r>
          <rPr>
            <sz val="9"/>
            <color indexed="81"/>
            <rFont val="Tahoma"/>
            <charset val="1"/>
          </rPr>
          <t xml:space="preserve">
matchReports</t>
        </r>
      </text>
    </comment>
    <comment ref="C8" authorId="0" shapeId="0" xr:uid="{B82EE13B-7BF3-4FD7-BBC8-227A2556598C}">
      <text>
        <r>
          <rPr>
            <b/>
            <sz val="9"/>
            <color indexed="81"/>
            <rFont val="Tahoma"/>
            <charset val="1"/>
          </rPr>
          <t>John Hennessy:</t>
        </r>
        <r>
          <rPr>
            <sz val="9"/>
            <color indexed="81"/>
            <rFont val="Tahoma"/>
            <charset val="1"/>
          </rPr>
          <t xml:space="preserve">
preSeason, homeScreen</t>
        </r>
      </text>
    </comment>
    <comment ref="BZ41" authorId="0" shapeId="0" xr:uid="{BD67F6F8-6136-42CA-BB1D-10B4D901BC54}">
      <text>
        <r>
          <rPr>
            <b/>
            <sz val="9"/>
            <color indexed="81"/>
            <rFont val="Tahoma"/>
            <charset val="1"/>
          </rPr>
          <t>John Hennessy:</t>
        </r>
        <r>
          <rPr>
            <sz val="9"/>
            <color indexed="81"/>
            <rFont val="Tahoma"/>
            <charset val="1"/>
          </rPr>
          <t xml:space="preserve">
Number of training sessions with any logged data across the squad. Caps the length of players[].sessions so the export carries no [0,0] padding.</t>
        </r>
      </text>
    </comment>
    <comment ref="BZ42" authorId="0" shapeId="0" xr:uid="{4331495F-ECBC-46D6-8CC3-5659A4B6B6BF}">
      <text>
        <r>
          <rPr>
            <b/>
            <sz val="9"/>
            <color indexed="81"/>
            <rFont val="Tahoma"/>
            <charset val="1"/>
          </rPr>
          <t>John Hennessy:</t>
        </r>
        <r>
          <rPr>
            <sz val="9"/>
            <color indexed="81"/>
            <rFont val="Tahoma"/>
            <charset val="1"/>
          </rPr>
          <t xml:space="preserve">
Number of matches with any logged data across the squad. Caps the length of players[].matches.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<sst xmlns="http://schemas.openxmlformats.org/spreadsheetml/2006/main" count="2572" uniqueCount="648">
  <si>
    <t>LUCAN UTD YOUTHS — GIRLS YOUTH | 2026/2027 LEAGUE SEASON</t>
  </si>
  <si>
    <t>Everything on this tab updates automatically from the Attendance tab. Only the player dropdown in the Individual Progress section is an input.</t>
  </si>
  <si>
    <t>Season Score</t>
  </si>
  <si>
    <t>Avg Training Attendance</t>
  </si>
  <si>
    <t>Avg Work Rate</t>
  </si>
  <si>
    <t>Avg Matchday Attendance</t>
  </si>
  <si>
    <t>Avg Match Rating</t>
  </si>
  <si>
    <t>Record (W-D-L)</t>
  </si>
  <si>
    <t>Full Attenders</t>
  </si>
  <si>
    <t>PRE-SEASON READINESS — baseline for Game 1</t>
  </si>
  <si>
    <t>Work rate averaged over sessions attended only; work-rate credit tapers below the attendance threshold. Cancelled session (bad weather) excluded. Readiness band needs 5+ attended sessions — thresholds editable on the Pre season tab (AM4/AM5).</t>
  </si>
  <si>
    <t>PLAYER SCORECARD — training work-rate trend (44 sessions), matchday trend (22 fixtures) and season metrics</t>
  </si>
  <si>
    <t>Sessions Held</t>
  </si>
  <si>
    <t>Squad Attendance %</t>
  </si>
  <si>
    <t>Squad Avg Work Rate</t>
  </si>
  <si>
    <t>Match Ready</t>
  </si>
  <si>
    <t>Below 2.50 Work Rate</t>
  </si>
  <si>
    <t>Under 5 Sessions</t>
  </si>
  <si>
    <t>Player</t>
  </si>
  <si>
    <t>Training work-rate trend (▁▃▅▆█ = 1–5, · = missed)</t>
  </si>
  <si>
    <t>Matchday trend (rating bands, · = no minutes)</t>
  </si>
  <si>
    <t>Att %</t>
  </si>
  <si>
    <t>Avg WR</t>
  </si>
  <si>
    <t>Avg Rating</t>
  </si>
  <si>
    <t>Season Score %</t>
  </si>
  <si>
    <t>Rank</t>
  </si>
  <si>
    <t>Attended</t>
  </si>
  <si>
    <t>Held</t>
  </si>
  <si>
    <t>Attendance %</t>
  </si>
  <si>
    <t>Readiness Band</t>
  </si>
  <si>
    <t>Pre-Season Grade %</t>
  </si>
  <si>
    <t>RAG READINESS REPORT — bands by average work rate (pre-season baseline until league sessions are logged)</t>
  </si>
  <si>
    <t>Band</t>
  </si>
  <si>
    <t>Players</t>
  </si>
  <si>
    <t>Basis</t>
  </si>
  <si>
    <t>Total</t>
  </si>
  <si>
    <t>INDIVIDUAL PROGRESS — pick a player to see her work rate and match rating game week by game week</t>
  </si>
  <si>
    <t>Grade Weights</t>
  </si>
  <si>
    <t>Lucan Utd Youths 2026 - 2027 Pre Season Tracker</t>
  </si>
  <si>
    <t>Attendance</t>
  </si>
  <si>
    <t>Work Rate</t>
  </si>
  <si>
    <t>Att</t>
  </si>
  <si>
    <t>WR</t>
  </si>
  <si>
    <t>Sessions Attended</t>
  </si>
  <si>
    <t>Avg Work Rate (incl. missed)</t>
  </si>
  <si>
    <t>Work Rate Credit %</t>
  </si>
  <si>
    <t>Overall Grade %</t>
  </si>
  <si>
    <t>Avg WR (Attended Only)</t>
  </si>
  <si>
    <t>Full WR credit at Att %</t>
  </si>
  <si>
    <t>Player Name</t>
  </si>
  <si>
    <t>Comment</t>
  </si>
  <si>
    <t>To Work On</t>
  </si>
  <si>
    <t>Existing Players</t>
  </si>
  <si>
    <t>Aoife Kennan</t>
  </si>
  <si>
    <t>Yes</t>
  </si>
  <si>
    <t>No</t>
  </si>
  <si>
    <t>Min sessions for band</t>
  </si>
  <si>
    <t>Stella McEvoy</t>
  </si>
  <si>
    <t>Fantastic Attitude. Physicality Impressive (v Lexi)</t>
  </si>
  <si>
    <t>First Touch, composure when passing</t>
  </si>
  <si>
    <t>Zara Power</t>
  </si>
  <si>
    <t>Injured Foot</t>
  </si>
  <si>
    <t>Fitness then confidence. Passing</t>
  </si>
  <si>
    <t>Heidi Cerubini Dunne</t>
  </si>
  <si>
    <t>Fitness, Concentration, First Touch</t>
  </si>
  <si>
    <t>Roisin Offenhausen</t>
  </si>
  <si>
    <t>Top performer, true leader, Squads most creative player</t>
  </si>
  <si>
    <t>Bravery, but also need to be mindful of recent health</t>
  </si>
  <si>
    <t>Naomi Adewoyin</t>
  </si>
  <si>
    <t>Fitness. Moving ball on quicker</t>
  </si>
  <si>
    <t>Amber Kilalee</t>
  </si>
  <si>
    <t>Fitness. Workrate. Positioning</t>
  </si>
  <si>
    <t>Shauna Kavanagh</t>
  </si>
  <si>
    <t>Unfit. Attitude needs improving</t>
  </si>
  <si>
    <t>Tara Brannigan</t>
  </si>
  <si>
    <t>Touch &amp; Passing, fintenss hasn’t trained in 3 weeks</t>
  </si>
  <si>
    <t>Semilore Adesanya</t>
  </si>
  <si>
    <t>Looked Fit and usual fantastic attitude</t>
  </si>
  <si>
    <t>Fitness. Heading, compsure passing, work on passing backwards</t>
  </si>
  <si>
    <t>Hannah Fleming</t>
  </si>
  <si>
    <t>Great attitude. Fitness needs work but because of high workrate</t>
  </si>
  <si>
    <t>Emma Kelly</t>
  </si>
  <si>
    <t>Leader mentality</t>
  </si>
  <si>
    <t>Fitness, Heading, Positioning, More vocal with the team</t>
  </si>
  <si>
    <t>Roma Memon</t>
  </si>
  <si>
    <t>Showing a great attitude, fitness levels are high, workrate is sensational</t>
  </si>
  <si>
    <t>Passing, positioning</t>
  </si>
  <si>
    <t>Emma Dromgoole</t>
  </si>
  <si>
    <t>Workrate off the charts</t>
  </si>
  <si>
    <t>Touch, shooting and becoming selfish</t>
  </si>
  <si>
    <t>Elsie Morrison</t>
  </si>
  <si>
    <t xml:space="preserve">Fitness is improving. </t>
  </si>
  <si>
    <t>Fitness, Physicality, tackling Tracking back</t>
  </si>
  <si>
    <t>New Players</t>
  </si>
  <si>
    <t>Zara Freeman</t>
  </si>
  <si>
    <t>New player, showing great signs of being a top player. Great finishing ability</t>
  </si>
  <si>
    <t>Need to work on fitness and positioning</t>
  </si>
  <si>
    <t>New addition, working hard, plays with a smile on her face</t>
  </si>
  <si>
    <t xml:space="preserve">Fitnees. </t>
  </si>
  <si>
    <t>Attended / Avg WR</t>
  </si>
  <si>
    <t>Drills</t>
  </si>
  <si>
    <t>4 Areas - Play through oppositon</t>
  </si>
  <si>
    <t>4 Areas - Attack with ball from back</t>
  </si>
  <si>
    <t>3 teams around box - 2v1</t>
  </si>
  <si>
    <t>Sprint across - transition</t>
  </si>
  <si>
    <t>Four Corners - follow pass to corner</t>
  </si>
  <si>
    <t>Four Corners - Corners free</t>
  </si>
  <si>
    <t>Work Rate Scale (1-5)</t>
  </si>
  <si>
    <t>Score</t>
  </si>
  <si>
    <t>Level</t>
  </si>
  <si>
    <t>Description</t>
  </si>
  <si>
    <t>Outstanding</t>
  </si>
  <si>
    <t>Maximum effort from first minute to last. Sets the standard for the group — chases every ball, competes in every drill, drives others on.</t>
  </si>
  <si>
    <t>Above Expectation</t>
  </si>
  <si>
    <t>Consistently high effort and intensity. Competes hard, rarely switches off, recovers quickly between efforts.</t>
  </si>
  <si>
    <t>Expected Level</t>
  </si>
  <si>
    <t>Meets the standard required for the session. Works hard, does what is asked, applies herself throughout. This is the baseline we expect from everyone.</t>
  </si>
  <si>
    <t>Below Expectation</t>
  </si>
  <si>
    <t>Effort drops off during the session. Inconsistent intensity, coasts at times, needs reminders to keep working.</t>
  </si>
  <si>
    <t>Well Below Expectation</t>
  </si>
  <si>
    <t>Minimal effort. Does not compete, walks through drills, needs constant prompting to engage.</t>
  </si>
  <si>
    <t>GW 1</t>
  </si>
  <si>
    <t>GW 2</t>
  </si>
  <si>
    <t>GW 3</t>
  </si>
  <si>
    <t>GW 4</t>
  </si>
  <si>
    <t>GW 5</t>
  </si>
  <si>
    <t>GW 6</t>
  </si>
  <si>
    <t>GW 7</t>
  </si>
  <si>
    <t>GW 8</t>
  </si>
  <si>
    <t>GW 9</t>
  </si>
  <si>
    <t>GW 10</t>
  </si>
  <si>
    <t>GW 11</t>
  </si>
  <si>
    <t>GW 12</t>
  </si>
  <si>
    <t>GW 13</t>
  </si>
  <si>
    <t>GW 14</t>
  </si>
  <si>
    <t>GW 15</t>
  </si>
  <si>
    <t>GW 16</t>
  </si>
  <si>
    <t>GW 17</t>
  </si>
  <si>
    <t>GW 18</t>
  </si>
  <si>
    <t>GW 19</t>
  </si>
  <si>
    <t>GW 20</t>
  </si>
  <si>
    <t>GW 21</t>
  </si>
  <si>
    <t>GW 22</t>
  </si>
  <si>
    <t>Training Attendance</t>
  </si>
  <si>
    <t>Matchday Attendance</t>
  </si>
  <si>
    <t>Match Rating</t>
  </si>
  <si>
    <t>Sum of weights</t>
  </si>
  <si>
    <t>Training subtotal</t>
  </si>
  <si>
    <t>Matchday subtotal</t>
  </si>
  <si>
    <t>Weighting check</t>
  </si>
  <si>
    <t>GIRLS YOUTH — 2026/2027 SEASON | ATTENDANCE</t>
  </si>
  <si>
    <t>Enter session dates, fixtures, attendance, work rate and match data in the cream cells only.</t>
  </si>
  <si>
    <t>Group</t>
  </si>
  <si>
    <t>#</t>
  </si>
  <si>
    <t>Mins</t>
  </si>
  <si>
    <t>Rating</t>
  </si>
  <si>
    <t>MOTM</t>
  </si>
  <si>
    <t>Training Attendance %</t>
  </si>
  <si>
    <t>Work Rate %</t>
  </si>
  <si>
    <t>Matches Available</t>
  </si>
  <si>
    <t>Matches in Squad</t>
  </si>
  <si>
    <t>Matchday Attendance %</t>
  </si>
  <si>
    <t>Minutes Played</t>
  </si>
  <si>
    <t>Avg Minutes</t>
  </si>
  <si>
    <t>Match Rating %</t>
  </si>
  <si>
    <t>MOTM Count</t>
  </si>
  <si>
    <t>OVERALL SEASON SCORE %</t>
  </si>
  <si>
    <t>Availability</t>
  </si>
  <si>
    <t>Unavailable - reason</t>
  </si>
  <si>
    <t>Goals For</t>
  </si>
  <si>
    <t>Goals Against</t>
  </si>
  <si>
    <t>Result (auto)</t>
  </si>
  <si>
    <t>WORK RATE SCALE (1–5)</t>
  </si>
  <si>
    <t>Maximum effort throughout. Sets the standard for the group, first to every ball, drives intensity in every drill.</t>
  </si>
  <si>
    <t>Consistently works hard for the full session with only brief drops in intensity.</t>
  </si>
  <si>
    <t>Meets the standard asked of her. Solid, steady effort across the session.</t>
  </si>
  <si>
    <t>Effort drops off noticeably. Coasts through parts of the session and needs prompting.</t>
  </si>
  <si>
    <t>Minimal effort. Disengaged, avoids intensity and affects the tempo of the group.</t>
  </si>
  <si>
    <t>OPPONENTS (11 clubs — type in the cream cells)</t>
  </si>
  <si>
    <t>Baldoyle United FC</t>
  </si>
  <si>
    <t>Cambridge FC</t>
  </si>
  <si>
    <t>Dalkey United FC</t>
  </si>
  <si>
    <t>Enniskerry FC</t>
  </si>
  <si>
    <t>Larkview FC</t>
  </si>
  <si>
    <t>Leicester Celtic FC</t>
  </si>
  <si>
    <t>Leixlip United AFC</t>
  </si>
  <si>
    <t>Malahide United FC</t>
  </si>
  <si>
    <t>Rosemount Mulvey FC</t>
  </si>
  <si>
    <t>St. Columbans SYC</t>
  </si>
  <si>
    <t>Stamullen FC</t>
  </si>
  <si>
    <t>MATCHDAY RATING LEGEND</t>
  </si>
  <si>
    <t>9.0 – 10</t>
  </si>
  <si>
    <t>Match-winning performance. Dominant from first whistle to last.</t>
  </si>
  <si>
    <t>8.0 – 8.9</t>
  </si>
  <si>
    <t>Excellent</t>
  </si>
  <si>
    <t>Very strong display, consistently influential on the game.</t>
  </si>
  <si>
    <t>7.0 – 7.9</t>
  </si>
  <si>
    <t>Good</t>
  </si>
  <si>
    <t>Did her job well with several positive contributions.</t>
  </si>
  <si>
    <t>6.0 – 6.9</t>
  </si>
  <si>
    <t>Solid</t>
  </si>
  <si>
    <t>Steady, dependable performance with no real errors.</t>
  </si>
  <si>
    <t>5.0 – 5.9</t>
  </si>
  <si>
    <t>Below Par</t>
  </si>
  <si>
    <t>Struggled to influence the game, several mistakes.</t>
  </si>
  <si>
    <t>Under 5.0</t>
  </si>
  <si>
    <t>Poor</t>
  </si>
  <si>
    <t>Well short of the standard required. Needs review.</t>
  </si>
  <si>
    <t>DRILLS LOG — tick the drills run in each session</t>
  </si>
  <si>
    <t>Session date →</t>
  </si>
  <si>
    <t>GIRLS YOUTH — 2026/2027 SEASON | PLAYER GRADING</t>
  </si>
  <si>
    <t>Grade every attribute from 1 (poor) to 20 (excellent) in the cream cells. Leave goalkeeping blank for outfield players.</t>
  </si>
  <si>
    <t>TECHNICAL</t>
  </si>
  <si>
    <t>MENTAL</t>
  </si>
  <si>
    <t>PHYSICAL</t>
  </si>
  <si>
    <t>GOALKEEPING</t>
  </si>
  <si>
    <t>SUMMARY (1–20 scale)</t>
  </si>
  <si>
    <t>Position</t>
  </si>
  <si>
    <t>Corners</t>
  </si>
  <si>
    <t>Crossing</t>
  </si>
  <si>
    <t>First Touch</t>
  </si>
  <si>
    <t>Finishing</t>
  </si>
  <si>
    <t>Long Shots</t>
  </si>
  <si>
    <t>Passing Accuracy</t>
  </si>
  <si>
    <t>Free Kicks</t>
  </si>
  <si>
    <t>Heading</t>
  </si>
  <si>
    <t>Composure</t>
  </si>
  <si>
    <t>Concentration</t>
  </si>
  <si>
    <t>Decision</t>
  </si>
  <si>
    <t>Determination</t>
  </si>
  <si>
    <t>Positioning</t>
  </si>
  <si>
    <t>Teamwork Defending</t>
  </si>
  <si>
    <t>Teamwork Attacking</t>
  </si>
  <si>
    <t>Bravery</t>
  </si>
  <si>
    <t>Acceleration</t>
  </si>
  <si>
    <t>Pace</t>
  </si>
  <si>
    <t>Stamina</t>
  </si>
  <si>
    <t>Strength</t>
  </si>
  <si>
    <t>Fitness</t>
  </si>
  <si>
    <t>Rushing Out</t>
  </si>
  <si>
    <t>Punching</t>
  </si>
  <si>
    <t>Catching</t>
  </si>
  <si>
    <t>1:1</t>
  </si>
  <si>
    <t>Kickouts</t>
  </si>
  <si>
    <t>Throw Outs</t>
  </si>
  <si>
    <t>Technical</t>
  </si>
  <si>
    <t>Mental</t>
  </si>
  <si>
    <t>Physical</t>
  </si>
  <si>
    <t>Goalkeeping</t>
  </si>
  <si>
    <t>OVERALL</t>
  </si>
  <si>
    <t>GK</t>
  </si>
  <si>
    <t>LB / RB</t>
  </si>
  <si>
    <t>RB</t>
  </si>
  <si>
    <t>CM / ACM</t>
  </si>
  <si>
    <t>LW / ST</t>
  </si>
  <si>
    <t>ST / RW</t>
  </si>
  <si>
    <t>DM / CM</t>
  </si>
  <si>
    <t>CB / CM</t>
  </si>
  <si>
    <t>LB / LW</t>
  </si>
  <si>
    <t>CB</t>
  </si>
  <si>
    <t>RW / ST</t>
  </si>
  <si>
    <t>LW / ST / GK</t>
  </si>
  <si>
    <t xml:space="preserve">ST </t>
  </si>
  <si>
    <t>RB / CB</t>
  </si>
  <si>
    <t>Squad Average</t>
  </si>
  <si>
    <t>POSITION KEY</t>
  </si>
  <si>
    <t>Code</t>
  </si>
  <si>
    <t>Goalkeeper</t>
  </si>
  <si>
    <t>Right Back</t>
  </si>
  <si>
    <t>LB</t>
  </si>
  <si>
    <t>Left Back</t>
  </si>
  <si>
    <t>Centre Back</t>
  </si>
  <si>
    <t>DM</t>
  </si>
  <si>
    <t>Defensive Midfield</t>
  </si>
  <si>
    <t>CM</t>
  </si>
  <si>
    <t>Central Midfield</t>
  </si>
  <si>
    <t>ACM</t>
  </si>
  <si>
    <t>Attacking Central Midfield</t>
  </si>
  <si>
    <t>RW</t>
  </si>
  <si>
    <t>Right Wing</t>
  </si>
  <si>
    <t>LW</t>
  </si>
  <si>
    <t>Left Wing</t>
  </si>
  <si>
    <t>ST</t>
  </si>
  <si>
    <t>Striker</t>
  </si>
  <si>
    <t>Multiple positions are separated by " / "  —  e.g.  "CB / DM"  or  "RW / ST / ACM".</t>
  </si>
  <si>
    <t>GIRLS YOUTH — 2026/2027 SEASON | TEAM SELECTION</t>
  </si>
  <si>
    <t>Work through the numbered steps below. Cream cells with blue text are the only cells you type in — everything else calculates itself.</t>
  </si>
  <si>
    <t>JUMP TO:</t>
  </si>
  <si>
    <t>① Fixture</t>
  </si>
  <si>
    <t>② Starting XI</t>
  </si>
  <si>
    <t>③ Selected XI</t>
  </si>
  <si>
    <t>④ Not Selected</t>
  </si>
  <si>
    <t>⑤ Weightings</t>
  </si>
  <si>
    <t>⑥ Availability</t>
  </si>
  <si>
    <t>Workings</t>
  </si>
  <si>
    <t>KEY:</t>
  </si>
  <si>
    <t>You type here</t>
  </si>
  <si>
    <t>Calculated — leave alone</t>
  </si>
  <si>
    <t>Game Week</t>
  </si>
  <si>
    <t>Opponent</t>
  </si>
  <si>
    <t>Venue</t>
  </si>
  <si>
    <t>Date</t>
  </si>
  <si>
    <t>GF</t>
  </si>
  <si>
    <t>GA</t>
  </si>
  <si>
    <t>Result</t>
  </si>
  <si>
    <t>Form Adjustment</t>
  </si>
  <si>
    <t>Form Weight (±)</t>
  </si>
  <si>
    <t>Available</t>
  </si>
  <si>
    <t>Injured</t>
  </si>
  <si>
    <t>Absent</t>
  </si>
  <si>
    <t>On</t>
  </si>
  <si>
    <t>1. FIXTURE  (set the Game Week above)</t>
  </si>
  <si>
    <t>Slot</t>
  </si>
  <si>
    <t>Fit Score</t>
  </si>
  <si>
    <t>Overall Grade</t>
  </si>
  <si>
    <t>4. NOT SELECTED — remaining squad (auto-filled, no gaps)</t>
  </si>
  <si>
    <t>Status</t>
  </si>
  <si>
    <t>WORKINGS A &amp; B — fit scores, form-adjusted fit, availability &amp; selection engine  (click + in the left margin to expand)</t>
  </si>
  <si>
    <t>FORM-ADJUSTED FIT SCORE</t>
  </si>
  <si>
    <t>Available?</t>
  </si>
  <si>
    <t>Form Score %</t>
  </si>
  <si>
    <t>Form Basis</t>
  </si>
  <si>
    <t>WORKINGS B — selection engine eligibility scores (auto; do not edit)</t>
  </si>
  <si>
    <t>5. INPUT — POSITION WEIGHTINGS   (0 = not relevant, 3 = key attribute)</t>
  </si>
  <si>
    <t>6. INPUT — SQUAD AVAILABILITY   (mark Injured or Absent here; blank = use Attendance sheet)</t>
  </si>
  <si>
    <t>Detail / note</t>
  </si>
  <si>
    <t>Injured from</t>
  </si>
  <si>
    <t>Weeks out</t>
  </si>
  <si>
    <t>Return date</t>
  </si>
  <si>
    <t>Ankle injury - 6 week recovery plan</t>
  </si>
  <si>
    <t xml:space="preserve">Knee injury </t>
  </si>
  <si>
    <t>Available for selection</t>
  </si>
  <si>
    <t>GIRLS YOUTH — 2026/2027 SEASON | MATCH DAY REPORTS</t>
  </si>
  <si>
    <t>1. MATCH DETAILS</t>
  </si>
  <si>
    <t>GW</t>
  </si>
  <si>
    <t>Sub 1</t>
  </si>
  <si>
    <t>Sub 2</t>
  </si>
  <si>
    <t>Sub 3</t>
  </si>
  <si>
    <t>Sub 4</t>
  </si>
  <si>
    <t>Sub 5</t>
  </si>
  <si>
    <t>Sub 6</t>
  </si>
  <si>
    <t>Sub 7</t>
  </si>
  <si>
    <t>Match notes</t>
  </si>
  <si>
    <t>Opposition</t>
  </si>
  <si>
    <t>Home / Away</t>
  </si>
  <si>
    <t>Score (us – them)</t>
  </si>
  <si>
    <t>Player of the Match</t>
  </si>
  <si>
    <t>Verdict</t>
  </si>
  <si>
    <t>Rating from</t>
  </si>
  <si>
    <t>OPPOSITION CLUBS</t>
  </si>
  <si>
    <t>Club name (type your league here)</t>
  </si>
  <si>
    <t>5. MATCH NOTES</t>
  </si>
  <si>
    <t>6. KEY NOTES / ACTIONS</t>
  </si>
  <si>
    <t>Window (days)</t>
  </si>
  <si>
    <t>Active anchor</t>
  </si>
  <si>
    <t>GIRLS YOUTH — 2026/2027 SEASON | WORKINGS</t>
  </si>
  <si>
    <t>Selected player row →</t>
  </si>
  <si>
    <t>Latest in-season session</t>
  </si>
  <si>
    <t>Active source</t>
  </si>
  <si>
    <t>Chart source tables only — everything here is a live formula. Nothing on this tab should be typed.</t>
  </si>
  <si>
    <t>Latest pre-season session</t>
  </si>
  <si>
    <t>Sessions in window</t>
  </si>
  <si>
    <t>1. PLAYER METRICS</t>
  </si>
  <si>
    <t>2. RANKING</t>
  </si>
  <si>
    <t>3. SCATTER</t>
  </si>
  <si>
    <t>4. RAG BANDS</t>
  </si>
  <si>
    <t>5. PLAYER SERIES</t>
  </si>
  <si>
    <t>6. A–Z</t>
  </si>
  <si>
    <t>7. GAME WEEK INDEX</t>
  </si>
  <si>
    <t>8. PRE-SEASON BASELINE</t>
  </si>
  <si>
    <t>9. LAST 7 DAYS (weekly form)</t>
  </si>
  <si>
    <t>10. OVERALL SCORE (all-time)</t>
  </si>
  <si>
    <t>11. READINESS GROUPS</t>
  </si>
  <si>
    <t>Training Att %</t>
  </si>
  <si>
    <t>Matchday Att %</t>
  </si>
  <si>
    <t>RAG Band</t>
  </si>
  <si>
    <t>Sort key</t>
  </si>
  <si>
    <t>From</t>
  </si>
  <si>
    <t>To</t>
  </si>
  <si>
    <t>key</t>
  </si>
  <si>
    <t>Player (A–Z)</t>
  </si>
  <si>
    <t>PS Sessions Attended</t>
  </si>
  <si>
    <t>PS Sessions Held</t>
  </si>
  <si>
    <t>PS Attendance %</t>
  </si>
  <si>
    <t>PS Avg Work Rate</t>
  </si>
  <si>
    <t>PS Grade %</t>
  </si>
  <si>
    <t>PS Readiness</t>
  </si>
  <si>
    <t>Readiness Basis</t>
  </si>
  <si>
    <t>Readiness WR (used)</t>
  </si>
  <si>
    <t>Rank (PS Grade %)</t>
  </si>
  <si>
    <t>Sessions Held (window)</t>
  </si>
  <si>
    <t>Attended (window)</t>
  </si>
  <si>
    <t>WR Sum (window)</t>
  </si>
  <si>
    <t>WR Count (window)</t>
  </si>
  <si>
    <t>Avg Work Rate (window)</t>
  </si>
  <si>
    <t>Week Score %</t>
  </si>
  <si>
    <t>Week Rank</t>
  </si>
  <si>
    <t>Overall Score %</t>
  </si>
  <si>
    <t>Overall Rank</t>
  </si>
  <si>
    <t>Count</t>
  </si>
  <si>
    <t>Critical</t>
  </si>
  <si>
    <t>Not Ready</t>
  </si>
  <si>
    <t>Improving</t>
  </si>
  <si>
    <t>Nearly Ready</t>
  </si>
  <si>
    <t>Not Ready for 90 min</t>
  </si>
  <si>
    <t>Insufficient data</t>
  </si>
  <si>
    <t>GIRLS YOUTH — 2026/2027 SEASON | WEB OUTPUT</t>
  </si>
  <si>
    <t>JSON BUILDER — do not edit</t>
  </si>
  <si>
    <t>meta</t>
  </si>
  <si>
    <t>squadSummary</t>
  </si>
  <si>
    <t>PRETTY-PRINTED COPY (for reading only)</t>
  </si>
  <si>
    <t>ragBands</t>
  </si>
  <si>
    <t>sessions</t>
  </si>
  <si>
    <t>fixtures</t>
  </si>
  <si>
    <t>players</t>
  </si>
  <si>
    <t>teamSelection</t>
  </si>
  <si>
    <t>matchReports</t>
  </si>
  <si>
    <t>preSeason</t>
  </si>
  <si>
    <t>homeScreen</t>
  </si>
  <si>
    <t>}</t>
  </si>
  <si>
    <t>startingXI</t>
  </si>
  <si>
    <t>notSelected</t>
  </si>
  <si>
    <t>unavailable</t>
  </si>
  <si>
    <t>sessionArray</t>
  </si>
  <si>
    <t>matchArray</t>
  </si>
  <si>
    <t>topAllTime</t>
  </si>
  <si>
    <t>topLastWeek</t>
  </si>
  <si>
    <t>readinessGroups</t>
  </si>
  <si>
    <t>PASTE FRESHNESS / BAND MISMATCH CHECK</t>
  </si>
  <si>
    <t>Paste the JSON that is CURRENTLY LIVE on the website into B22. This block reads the band counts out of that text and compares them to the live workbook counts on the Workings tab. Any "MISMATCH" means the site is showing stale or wrongly-banded data — re-copy cell A4.</t>
  </si>
  <si>
    <t>Live website JSON (paste here) →</t>
  </si>
  <si>
    <t>Live workbook</t>
  </si>
  <si>
    <t>In pasted JSON</t>
  </si>
  <si>
    <t>helper: band pos</t>
  </si>
  <si>
    <t>helper: value pos</t>
  </si>
  <si>
    <t>"generated" stamp in pasted JSON</t>
  </si>
  <si>
    <t>"generated" stamp in cell A4 (live)</t>
  </si>
  <si>
    <t>VERDICT</t>
  </si>
  <si>
    <t>READINESS BANDS — SPEC FOR THE WEBSITE</t>
  </si>
  <si>
    <t>Hand this to whoever maintains the site. Source of truth is cell A4 on the Web Output tab.</t>
  </si>
  <si>
    <t>1. THE PROBLEM</t>
  </si>
  <si>
    <t>The site is re-deriving readiness bands from grading attributes instead of reading the bands already supplied in the JSON.</t>
  </si>
  <si>
    <t>Marianna is shown as "Match Ready". The JSON says her band is "Insufficient data". The site's own banner admits it: "bands are estimated from preseason grading as a starting point".</t>
  </si>
  <si>
    <t>The site has no "Insufficient data" bucket.</t>
  </si>
  <si>
    <t>The six cards on screen total 14 = every available player. The workbook deliberately withholds a band for players below the minimum-sessions threshold; the site force-fits them into bands.</t>
  </si>
  <si>
    <t>The site's ordering does not match any workbook metric.</t>
  </si>
  <si>
    <t>Naomi Adewoyin (Overall 10.99) is placed in a lower card than Roma Memon (10.62) and Marianna (10.41). No single field in the workbook produces that ordering, so the site is using a bespoke blend of its own.</t>
  </si>
  <si>
    <t>2. REQUIRED BEHAVIOUR</t>
  </si>
  <si>
    <t>Do not compute bands in the front end. At all.</t>
  </si>
  <si>
    <t>Remove the "estimated from preseason grading" fallback entirely. The workbook already decides what to do when no sessions are logged — see readinessBasis below.</t>
  </si>
  <si>
    <t>Render the six cards from homeScreen.readinessGroups[]</t>
  </si>
  <si>
    <t>Each entry is { band, count, players[] }. Use count for the "N players" line and players[] for the chips. Do not filter, re-sort or re-bucket.</t>
  </si>
  <si>
    <t>Add a seventh card for the "Insufficient data" group</t>
  </si>
  <si>
    <t>It is already in readinessGroups[]. Suggested caption: "Not enough sessions attended to assign a band yet." Style it neutral/grey, not red — it is an absence of data, not a poor score.</t>
  </si>
  <si>
    <t>Per-player band comes from preSeason.players[].readinessBand</t>
  </si>
  <si>
    <t>Never from players[].attributes, players[].overallGrade, or teamSelection[].fitScore. Those are scouting attributes and have nothing to do with match readiness.</t>
  </si>
  <si>
    <t>Band ranges come from ragBands[]</t>
  </si>
  <si>
    <t>Each entry is { band, from, to, players }. Use from/to for the "3.50–5.00" caption so the thresholds can never drift out of sync with the workbook.</t>
  </si>
  <si>
    <t>Respect readinessBasis</t>
  </si>
  <si>
    <t>"Pre-season" means the band came from pre-season work rate; "In-season" means live training/matchday data. The switchover is handled in the workbook — the site just displays whichever it is given.</t>
  </si>
  <si>
    <t>3. THE RULE THE WORKBOOK APPLIES (for reference — do not reimplement)</t>
  </si>
  <si>
    <t>Score used</t>
  </si>
  <si>
    <t>In-season average work rate if any sessions/matches are logged, otherwise pre-season average work rate. 1–5 scale.</t>
  </si>
  <si>
    <t>Minimum sessions to earn a band</t>
  </si>
  <si>
    <t>Thresholds</t>
  </si>
  <si>
    <t>4. ACCEPTANCE TESTS</t>
  </si>
  <si>
    <t>These counts are pulled live from the model. Re-copy Web Output!A4, reload the site, and the cards must read exactly this.</t>
  </si>
  <si>
    <t>Card</t>
  </si>
  <si>
    <t>Must show</t>
  </si>
  <si>
    <t>Expected count</t>
  </si>
  <si>
    <t>TOTAL</t>
  </si>
  <si>
    <t>every player in the squad, banded or not</t>
  </si>
  <si>
    <t>Named assertion</t>
  </si>
  <si>
    <t>5. ONE MORE DISCREPANCY TO SETTLE</t>
  </si>
  <si>
    <t>Availability filtering</t>
  </si>
  <si>
    <t>Good in patches, is a better Keeper than she gives herself credit for. Head drops too easily</t>
  </si>
  <si>
    <t>Confidence, fitness decision making</t>
  </si>
  <si>
    <t>Lacking fitness and consistancey in attending training</t>
  </si>
  <si>
    <t>Great signs of improvement, self belief, is her own worst critic</t>
  </si>
  <si>
    <t>Good member of the squad needs to improve fitness and work rate</t>
  </si>
  <si>
    <t>Fantastic Attitude, needs time to get fitness levels back</t>
  </si>
  <si>
    <t>Fitness / Stamina, first touch</t>
  </si>
  <si>
    <t>LB / RB / CB</t>
  </si>
  <si>
    <t>RW / CM / ST</t>
  </si>
  <si>
    <t>Formation</t>
  </si>
  <si>
    <t>Active Pos</t>
  </si>
  <si>
    <t>Score Key</t>
  </si>
  <si>
    <t>RWB</t>
  </si>
  <si>
    <t>LWB</t>
  </si>
  <si>
    <t>4-3-3</t>
  </si>
  <si>
    <t>3-5-2</t>
  </si>
  <si>
    <t>6. FORMATION IS NOW SELECTABLE</t>
  </si>
  <si>
    <t>Render the shape from teamSelection.formation</t>
  </si>
  <si>
    <t>The workbook now offers 4-3-3 and 3-5-2, chosen in Team Selection!L6. The field is no longer a constant "4-3-3" — do not hard-code it on the site.</t>
  </si>
  <si>
    <t>Draw the pitch from startingXI[].position</t>
  </si>
  <si>
    <t>Slots 1-11 are always returned in order, but the position labels change with the shape. 3-5-2 introduces two labels the site has not seen before: RWB and LWB. Map any unknown label to a generic outfield chip rather than dropping the player.</t>
  </si>
  <si>
    <t>Row layout per shape</t>
  </si>
  <si>
    <t>4-3-3 = 1 GK / 4 defenders (slots 2-5) / 3 midfielders (slots 6-8) / 3 forwards (slots 9-11). 3-5-2 = 1 GK / 3 defenders (slots 2-4) / 5 midfielders (slots 5-9) / 2 forwards (slots 10-11). Derive the rows from the labels, not from fixed slot numbers, if you prefer.</t>
  </si>
  <si>
    <t>FORMATION MAP — drives slot positions (set formation in L6)</t>
  </si>
  <si>
    <t>RW / ST / LW</t>
  </si>
  <si>
    <t>Rama Abuowda</t>
  </si>
  <si>
    <t>Mariana Soares</t>
  </si>
  <si>
    <t>A</t>
  </si>
  <si>
    <t>12. READINESS OVERRIDE (manual)</t>
  </si>
  <si>
    <t>Override Band</t>
  </si>
  <si>
    <t>Reason</t>
  </si>
  <si>
    <t>Joined from previous club mid pre-season — only 3 sessions logged with us, so the 5-session minimum flags "Insufficient data". Her attended work rate of 3.33 sits in the Not Ready for 90 min band.</t>
  </si>
  <si>
    <t>Coach override — band set manually.</t>
  </si>
  <si>
    <t>Positions</t>
  </si>
  <si>
    <t>LCB</t>
  </si>
  <si>
    <t>RCB</t>
  </si>
  <si>
    <t>CDM</t>
  </si>
  <si>
    <t>Winger L</t>
  </si>
  <si>
    <t>Winger R</t>
  </si>
  <si>
    <t>Shadow Striker</t>
  </si>
  <si>
    <t>Started</t>
  </si>
  <si>
    <t>Sub - used</t>
  </si>
  <si>
    <t>Sub - unused</t>
  </si>
  <si>
    <t>H</t>
  </si>
  <si>
    <t>GAME WEEK 1 — MATCH DAY ENTRY</t>
  </si>
  <si>
    <t>Clean sheet</t>
  </si>
  <si>
    <t>Goals logged</t>
  </si>
  <si>
    <t>Check vs GF</t>
  </si>
  <si>
    <t>2nd Position</t>
  </si>
  <si>
    <t>Goals</t>
  </si>
  <si>
    <t>Assists</t>
  </si>
  <si>
    <t>Yellow</t>
  </si>
  <si>
    <t>Red</t>
  </si>
  <si>
    <t>Clean sheet (GK)</t>
  </si>
  <si>
    <t>TOTALS</t>
  </si>
  <si>
    <t>Key notes / Actions</t>
  </si>
  <si>
    <t>GAME WEEK 2 — MATCH DAY ENTRY</t>
  </si>
  <si>
    <t>GAME WEEK 3 — MATCH DAY ENTRY</t>
  </si>
  <si>
    <t>GAME WEEK 4 — MATCH DAY ENTRY</t>
  </si>
  <si>
    <t>GAME WEEK 5 — MATCH DAY ENTRY</t>
  </si>
  <si>
    <t>GAME WEEK 6 — MATCH DAY ENTRY</t>
  </si>
  <si>
    <t>GAME WEEK 7 — MATCH DAY ENTRY</t>
  </si>
  <si>
    <t>GAME WEEK 8 — MATCH DAY ENTRY</t>
  </si>
  <si>
    <t>GAME WEEK 9 — MATCH DAY ENTRY</t>
  </si>
  <si>
    <t>GAME WEEK 10 — MATCH DAY ENTRY</t>
  </si>
  <si>
    <t>GAME WEEK 11 — MATCH DAY ENTRY</t>
  </si>
  <si>
    <t>GAME WEEK 12 — MATCH DAY ENTRY</t>
  </si>
  <si>
    <t>GAME WEEK 13 — MATCH DAY ENTRY</t>
  </si>
  <si>
    <t>GAME WEEK 14 — MATCH DAY ENTRY</t>
  </si>
  <si>
    <t>GAME WEEK 15 — MATCH DAY ENTRY</t>
  </si>
  <si>
    <t>GAME WEEK 16 — MATCH DAY ENTRY</t>
  </si>
  <si>
    <t>GAME WEEK 17 — MATCH DAY ENTRY</t>
  </si>
  <si>
    <t>GAME WEEK 18 — MATCH DAY ENTRY</t>
  </si>
  <si>
    <t>GAME WEEK 19 — MATCH DAY ENTRY</t>
  </si>
  <si>
    <t>GAME WEEK 20 — MATCH DAY ENTRY</t>
  </si>
  <si>
    <t>GAME WEEK 21 — MATCH DAY ENTRY</t>
  </si>
  <si>
    <t>GAME WEEK 22 — MATCH DAY ENTRY</t>
  </si>
  <si>
    <t>Selected GW block starts at row</t>
  </si>
  <si>
    <t>2. STARTING XI — pulled from the Match Day Entry block for the selected game week</t>
  </si>
  <si>
    <t>3. SUBSTITUTES — status shows whether each sub actually got on</t>
  </si>
  <si>
    <t>Block row (helper for section 4)</t>
  </si>
  <si>
    <t>4. SQUAD — every player, for the selected game week</t>
  </si>
  <si>
    <t>Preferred pos</t>
  </si>
  <si>
    <t>Played pos</t>
  </si>
  <si>
    <t>SEASON MATCH STATS — auto-calculated from the Match Day Entry blocks on the Match Day Reports tab</t>
  </si>
  <si>
    <t>Ranks are by goals, assists and average rating. Average rating ignores unused subs and any rating of 0.</t>
  </si>
  <si>
    <t>Starts</t>
  </si>
  <si>
    <t>Sub apps</t>
  </si>
  <si>
    <t>Apps</t>
  </si>
  <si>
    <t>Avg rating</t>
  </si>
  <si>
    <t>POTM</t>
  </si>
  <si>
    <t>Clean sheets</t>
  </si>
  <si>
    <t>Goal rank</t>
  </si>
  <si>
    <t>Assist rank</t>
  </si>
  <si>
    <t>Pick a game week below to see the report. Enter everything for a match in its MATCH DAY ENTRY block further down the sheet (Game Week 1 starts at row 80, and each block is 27 rows apart). The Attendance tab, the fixtures summary and the Dashboard all read from those blocks.</t>
  </si>
  <si>
    <t>7. FIXTURES — read-only summary of every match day block</t>
  </si>
  <si>
    <t>8. LOOKUP LISTS — used by the dropdowns; do not edit mid-season</t>
  </si>
  <si>
    <t>helper: block start row</t>
  </si>
  <si>
    <t>matchReports player objects — xi = AX:BH, subs = BI:BO</t>
  </si>
  <si>
    <t>topScorers</t>
  </si>
  <si>
    <t>topAssists</t>
  </si>
  <si>
    <t>helper: goals sort key</t>
  </si>
  <si>
    <t>helper: assists sort key</t>
  </si>
  <si>
    <t>helper: scorer row</t>
  </si>
  <si>
    <t>helper: assist row</t>
  </si>
  <si>
    <t>HOME SCREEN TABLES — exactly what the website receives in homeScreen.topScorers / homeScreen.topAssists</t>
  </si>
  <si>
    <t>TOP GOAL SCORERS</t>
  </si>
  <si>
    <t>TOP ASSISTS</t>
  </si>
  <si>
    <t>7. HOME SCREEN LEADERBOARD TABLES</t>
  </si>
  <si>
    <t>Render homeScreen.topScorers[] as a table</t>
  </si>
  <si>
    <t>Each entry is { rank, name, goals, assists, apps }. Up to 10 rows, supplied already sorted; players with no goals are omitted. Do not re-sort, re-rank or recompute in the front end.</t>
  </si>
  <si>
    <t>Render homeScreen.topAssists[] as a table</t>
  </si>
  <si>
    <t>Each entry is { rank, name, assists, goals, apps }. Same rules as topScorers.</t>
  </si>
  <si>
    <t>Ties</t>
  </si>
  <si>
    <t>Ranks run 1..n in the order supplied. Players level on goals are separated by squad order, so a tie appears as consecutive ranks rather than a shared rank.</t>
  </si>
  <si>
    <t>8. MATCH REPORTS ARE NOW PER-PLAYER</t>
  </si>
  <si>
    <t>matchReports[].xi and .subs now hold objects, not names</t>
  </si>
  <si>
    <t>Each entry is { name, status, pos, pos2, goals, assists, rating }. status is one of Started / Sub - used / Sub - unused. pos2 is a second position played in the same match and may be an empty string.</t>
  </si>
  <si>
    <t>Each match report now carries its own fixture detail</t>
  </si>
  <si>
    <t>date, opponent, venue (H or A), gf, ga, result, motm, matchNotes and keyNotes are all on the match report — no need to cross-reference fixtures[].</t>
  </si>
  <si>
    <t>3-5-2 ENGINE — eligibility scores (always computed, ignores L6)</t>
  </si>
  <si>
    <t>Score key</t>
  </si>
  <si>
    <t>4-3-3 ENGINE — eligibility scores (always computed, ignores L6)</t>
  </si>
  <si>
    <t>Lock — 3-5-2</t>
  </si>
  <si>
    <t>Lock — 4-3-3</t>
  </si>
  <si>
    <t>WORKINGS C — 3-5-2 SELECTED XI  (always computed, independent of L6)</t>
  </si>
  <si>
    <t>Lock</t>
  </si>
  <si>
    <t>WORKINGS C — 4-3-3 SELECTED XI  (always computed, independent of L6)</t>
  </si>
  <si>
    <t>WORKINGS C — 3-5-2 NOT SELECTED</t>
  </si>
  <si>
    <t>WORKINGS C — 4-3-3 NOT SELECTED</t>
  </si>
  <si>
    <t>xi_352</t>
  </si>
  <si>
    <t>xi_433</t>
  </si>
  <si>
    <t>notSel_352</t>
  </si>
  <si>
    <t>notSel_433</t>
  </si>
  <si>
    <t>9. BOTH FORMATIONS ARE NOW IN EVERY EXPORT</t>
  </si>
  <si>
    <t>teamSelection.formations holds both shapes</t>
  </si>
  <si>
    <t>New object: teamSelection.formations["3-5-2"] and teamSelection.formations["4-3-3"], each { startingXI[], notSelected[] } with the same field shape as the top-level arrays. Both are computed on every export regardless of which shape is selected in the workbook, so the site can offer a formation toggle with no re-copy.</t>
  </si>
  <si>
    <t>teamSelection.formation is still the selected shape</t>
  </si>
  <si>
    <t>Use it as the default/initial state for the toggle. It mirrors Team Selection!L6.</t>
  </si>
  <si>
    <t>Top-level startingXI[] and notSelected[] are unchanged</t>
  </si>
  <si>
    <t>They remain a duplicate of whichever shape is in teamSelection.formation, so existing site code keeps working. New code should prefer teamSelection.formations[...] and treat the top-level arrays as deprecated.</t>
  </si>
  <si>
    <t>notSelected differs per shape</t>
  </si>
  <si>
    <t>A 4-3-3 leaves different players out than a 3-5-2, so read notSelected from inside the chosen formation rather than reusing one list for both.</t>
  </si>
  <si>
    <t>Manual locks are per shape</t>
  </si>
  <si>
    <t>The workbook keeps separate lock columns for each formation, because slot numbers mean different roles (slot 5 is RWB in 3-5-2 but LB in 4-3-3). Nothing for the site to do — noted so the two XIs are not assumed to be the same players re-arranged.</t>
  </si>
  <si>
    <t>fitScore may be 0</t>
  </si>
  <si>
    <t>A 0 fitScore means the player has no rating for that slot's position (e.g. a winger locked into a full-back slot). Render it as — or n/a rather than as a genuine score of zero.</t>
  </si>
  <si>
    <t>sessCount</t>
  </si>
  <si>
    <t>matchCount</t>
  </si>
  <si>
    <t>Sessions to emit</t>
  </si>
  <si>
    <t>Matches to emit</t>
  </si>
  <si>
    <t>EXPORT IN PARTS — copy C4, then C5, C6, C7, C8 and paste them end-to-end with nothing in between. Use this whenever A4 shows the too-long warning.</t>
  </si>
  <si>
    <t>Part 1 of 5</t>
  </si>
  <si>
    <t>Part 2 of 5</t>
  </si>
  <si>
    <t>Part 3 of 5</t>
  </si>
  <si>
    <t>Part 4 of 5</t>
  </si>
  <si>
    <t>Part 5 of 5</t>
  </si>
  <si>
    <t>Chars</t>
  </si>
  <si>
    <t>10. SESSION AND MATCH ARRAYS ARE NO LONGER FIXED-LENGTH</t>
  </si>
  <si>
    <t>players[].sessions and .matches are now trimmed</t>
  </si>
  <si>
    <t>They used to be padded to a fixed 44 and 22 entries with [0,0] / [-1,0,0,0] filler. They now contain only as many entries as there are sessions/matches with logged data. Element shape is unchanged, so meta.arrayKeys still applies. Read the length from the array itself — do not assume 44 or 22.</t>
  </si>
  <si>
    <t>Still positional — index = session/match number</t>
  </si>
  <si>
    <t>Entry 0 is session 1, entry 1 is session 2, and so on. Nothing is skipped in the middle; only trailing padding was removed. A player who missed session 2 still has an entry for it, as [0,0].</t>
  </si>
  <si>
    <t>Treat a missing trailing entry as 'no data yet'</t>
  </si>
  <si>
    <t>If the array is shorter than the number of game weeks in fixtures[], the remaining sessions/matches simply have not happened. Do not render them as zero attendance.</t>
  </si>
  <si>
    <t>11. THE EXPORT MAY ARRIVE IN FIVE PARTS</t>
  </si>
  <si>
    <t>Nothing changes for the site</t>
  </si>
  <si>
    <t>Excel caps one cell at 32,767 characters and the export will outgrow that during the season. When it does, the workbook supplies the same JSON split across five cells that are pasted end-to-end. The delivered JSON is byte-identical either way — this is a workbook-side concern only, recorded here so nobody mistakes a partial paste for a schema change.</t>
  </si>
  <si>
    <t>Symptom of a partial paste</t>
  </si>
  <si>
    <t>If the site receives JSON that fails to parse near the end, or is missing preSeason/homeScreen, the likely cause is that only some of the five parts were pasted. Ask for a fresh full paste before investigating anything else.</t>
  </si>
  <si>
    <t>12. KNOWN DISCREPANCY — squadSummary.sessionsHeld UNDERCOUNTS</t>
  </si>
  <si>
    <t>sessionsHeld says 1 but three sessions have data</t>
  </si>
  <si>
    <t>The workbook counts a session as 'held' only when a date is entered in the Attendance header row. Two of the three logged sessions have attendance and work-rate data but no date, so sessionsHeld and the sessions[] array both report 1 while players[].sessions correctly returns 3 entries. Trust the length of players[].sessions over sessionsHeld until the missing dates are filled in on the Attendance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</si>
</sst>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
    <numFmt numFmtId="165" formatCode="0.0"/>
    <numFmt numFmtId="166" formatCode="0.0%;\-"/>
    <numFmt numFmtId="167" formatCode="0.0;;;"/>
    <numFmt numFmtId="168" formatCode="0.0%;\(0.0%\);\-"/>
    <numFmt numFmtId="169" formatCode="0.0;\(0.0\);\-"/>
    <numFmt numFmtId="170" formatCode="0.00;\-"/>
    <numFmt numFmtId="171" formatCode="d\-mmm"/>
    <numFmt numFmtId="172" formatCode="dd\-mmm\-yyyy"/>
    <numFmt numFmtId="173" formatCode="0;\(0\);\-"/>
    <numFmt numFmtId="174" formatCode="0;;\-"/>
    <numFmt numFmtId="175" formatCode="h:mm"/>
    <numFmt numFmtId="176" formatCode="&quot;GW &quot;0"/>
    <numFmt numFmtId="177" formatCode="ddd\ dd\-mmm\-yyyy"/>
    <numFmt numFmtId="178" formatCode="dd/mm/yyyy;\-"/>
    <numFmt numFmtId="179" formatCode="0;\-;\-"/>
    <numFmt numFmtId="180" formatCode="0.00;\-;\-"/>
    <numFmt numFmtId="181" formatCode="0.0%;\-;\-"/>
  </numFmts>
  <fonts count="108" x14ac:knownFonts="1">
    <font>
      <sz val="11"/>
      <color theme="1"/>
      <name val="Aptos Narrow"/>
      <family val="2"/>
      <charset val="1"/>
    </font>
    <font>
      <b/>
      <sz val="14"/>
      <color rgb="FF13294B"/>
      <name val="Calibri"/>
      <charset val="1"/>
    </font>
    <font>
      <i/>
      <sz val="9"/>
      <color rgb="FF808080"/>
      <name val="Calibri"/>
      <charset val="1"/>
    </font>
    <font>
      <b/>
      <sz val="12"/>
      <color rgb="FFFFFFFF"/>
      <name val="Calibri"/>
      <charset val="1"/>
    </font>
    <font>
      <b/>
      <sz val="9"/>
      <color rgb="FFFFFFFF"/>
      <name val="Calibri"/>
      <charset val="1"/>
    </font>
    <font>
      <b/>
      <sz val="18"/>
      <color rgb="FF13294B"/>
      <name val="Calibri"/>
      <charset val="1"/>
    </font>
    <font>
      <b/>
      <sz val="11"/>
      <color rgb="FFFFFFFF"/>
      <name val="Calibri"/>
      <charset val="1"/>
    </font>
    <font>
      <i/>
      <sz val="9"/>
      <color rgb="FF595959"/>
      <name val="Calibri"/>
      <charset val="1"/>
    </font>
    <font>
      <b/>
      <sz val="12"/>
      <color theme="1"/>
      <name val="Calibri"/>
      <charset val="1"/>
    </font>
    <font>
      <b/>
      <sz val="10"/>
      <color rgb="FF000000"/>
      <name val="Calibri"/>
      <charset val="1"/>
    </font>
    <font>
      <sz val="11"/>
      <color rgb="FF13294B"/>
      <name val="Calibri"/>
      <charset val="1"/>
    </font>
    <font>
      <sz val="9"/>
      <color rgb="FF000000"/>
      <name val="Calibri"/>
      <charset val="1"/>
    </font>
    <font>
      <b/>
      <sz val="9"/>
      <color rgb="FF000000"/>
      <name val="Calibri"/>
      <charset val="1"/>
    </font>
    <font>
      <sz val="10"/>
      <color theme="1"/>
      <name val="Calibri"/>
      <charset val="1"/>
    </font>
    <font>
      <b/>
      <sz val="10"/>
      <color rgb="FFFFFFFF"/>
      <name val="Calibri"/>
      <charset val="1"/>
    </font>
    <font>
      <sz val="10"/>
      <color rgb="FF000000"/>
      <name val="Calibri"/>
      <charset val="1"/>
    </font>
    <font>
      <b/>
      <sz val="11"/>
      <color rgb="FF13294B"/>
      <name val="Calibri"/>
      <charset val="1"/>
    </font>
    <font>
      <b/>
      <sz val="12"/>
      <color rgb="FF0000FF"/>
      <name val="Calibri"/>
      <charset val="1"/>
    </font>
    <font>
      <b/>
      <sz val="12"/>
      <color theme="1"/>
      <name val="Aptos Narrow"/>
      <family val="2"/>
      <charset val="1"/>
    </font>
    <font>
      <b/>
      <sz val="14"/>
      <color theme="0"/>
      <name val="Aptos Narrow"/>
      <family val="2"/>
      <charset val="1"/>
    </font>
    <font>
      <sz val="11"/>
      <color rgb="FF0000FF"/>
      <name val="Aptos Narrow"/>
      <family val="2"/>
      <charset val="1"/>
    </font>
    <font>
      <sz val="12"/>
      <color theme="0"/>
      <name val="Aptos Narrow"/>
      <family val="2"/>
      <charset val="1"/>
    </font>
    <font>
      <b/>
      <sz val="11"/>
      <color rgb="FFFFFFFF"/>
      <name val="Aptos Narrow"/>
      <family val="2"/>
      <charset val="1"/>
    </font>
    <font>
      <sz val="14"/>
      <color theme="1"/>
      <name val="Aptos Narrow"/>
      <family val="2"/>
      <charset val="1"/>
    </font>
    <font>
      <b/>
      <sz val="10"/>
      <color rgb="FFFFFFFF"/>
      <name val="Aptos Narrow"/>
      <family val="2"/>
      <charset val="1"/>
    </font>
    <font>
      <b/>
      <sz val="12"/>
      <color rgb="FFFFFFFF"/>
      <name val="Aptos Narrow"/>
      <family val="2"/>
      <charset val="1"/>
    </font>
    <font>
      <sz val="9"/>
      <color theme="1"/>
      <name val="Aptos Narrow"/>
      <family val="2"/>
      <charset val="1"/>
    </font>
    <font>
      <b/>
      <sz val="14"/>
      <color rgb="FF0000FF"/>
      <name val="Aptos Narrow"/>
      <family val="2"/>
      <charset val="1"/>
    </font>
    <font>
      <b/>
      <sz val="12"/>
      <color theme="0"/>
      <name val="Aptos Narrow"/>
      <family val="2"/>
      <charset val="1"/>
    </font>
    <font>
      <sz val="10"/>
      <color rgb="FFFFFFFF"/>
      <name val="Aptos Narrow"/>
      <family val="2"/>
      <charset val="1"/>
    </font>
    <font>
      <sz val="12"/>
      <color theme="1"/>
      <name val="Aptos Narrow"/>
      <family val="2"/>
      <charset val="1"/>
    </font>
    <font>
      <b/>
      <sz val="11"/>
      <color theme="1"/>
      <name val="Aptos Narrow"/>
      <family val="2"/>
      <charset val="1"/>
    </font>
    <font>
      <b/>
      <sz val="11"/>
      <color rgb="FF0000FF"/>
      <name val="Aptos Narrow"/>
      <family val="2"/>
      <charset val="1"/>
    </font>
    <font>
      <sz val="11"/>
      <color rgb="FF000000"/>
      <name val="Aptos Narrow"/>
      <family val="2"/>
      <charset val="1"/>
    </font>
    <font>
      <b/>
      <sz val="11"/>
      <color theme="0"/>
      <name val="Aptos Narrow"/>
      <family val="2"/>
      <charset val="1"/>
    </font>
    <font>
      <b/>
      <sz val="14"/>
      <color theme="1"/>
      <name val="Aptos Narrow"/>
      <family val="2"/>
      <charset val="1"/>
    </font>
    <font>
      <b/>
      <sz val="11"/>
      <color rgb="FF000000"/>
      <name val="Aptos Narrow"/>
      <family val="2"/>
      <charset val="1"/>
    </font>
    <font>
      <sz val="10"/>
      <name val="Arial"/>
      <family val="2"/>
    </font>
    <font>
      <b/>
      <sz val="9"/>
      <color rgb="FF008000"/>
      <name val="Calibri"/>
      <charset val="1"/>
    </font>
    <font>
      <b/>
      <sz val="11"/>
      <color rgb="FF0000FF"/>
      <name val="Calibri"/>
      <charset val="1"/>
    </font>
    <font>
      <b/>
      <sz val="9"/>
      <color rgb="FFE4272B"/>
      <name val="Calibri"/>
      <charset val="1"/>
    </font>
    <font>
      <b/>
      <sz val="9"/>
      <color rgb="FF0000FF"/>
      <name val="Calibri"/>
      <charset val="1"/>
    </font>
    <font>
      <sz val="9"/>
      <color rgb="FF0000FF"/>
      <name val="Calibri"/>
      <charset val="1"/>
    </font>
    <font>
      <sz val="10"/>
      <color rgb="FF0000FF"/>
      <name val="Calibri"/>
      <charset val="1"/>
    </font>
    <font>
      <b/>
      <sz val="10"/>
      <color rgb="FF008000"/>
      <name val="Calibri"/>
      <charset val="1"/>
    </font>
    <font>
      <b/>
      <sz val="10"/>
      <color rgb="FF13294B"/>
      <name val="Calibri"/>
      <charset val="1"/>
    </font>
    <font>
      <sz val="11"/>
      <color rgb="FF0000FF"/>
      <name val="Calibri"/>
      <charset val="1"/>
    </font>
    <font>
      <b/>
      <sz val="11"/>
      <color rgb="FF008000"/>
      <name val="Calibri"/>
      <charset val="1"/>
    </font>
    <font>
      <b/>
      <sz val="9"/>
      <color rgb="FF13294B"/>
      <name val="Aptos Narrow"/>
      <family val="2"/>
      <charset val="1"/>
    </font>
    <font>
      <b/>
      <u/>
      <sz val="9"/>
      <color theme="10"/>
      <name val="Aptos Narrow"/>
      <family val="2"/>
      <charset val="1"/>
    </font>
    <font>
      <u/>
      <sz val="11"/>
      <color theme="10"/>
      <name val="Aptos Narrow"/>
      <family val="2"/>
      <charset val="1"/>
    </font>
    <font>
      <b/>
      <sz val="9"/>
      <color rgb="FF0000FF"/>
      <name val="Aptos Narrow"/>
      <family val="2"/>
      <charset val="1"/>
    </font>
    <font>
      <sz val="9"/>
      <color rgb="FF000000"/>
      <name val="Aptos Narrow"/>
      <family val="2"/>
      <charset val="1"/>
    </font>
    <font>
      <b/>
      <sz val="11"/>
      <color rgb="FF000000"/>
      <name val="Calibri"/>
      <charset val="1"/>
    </font>
    <font>
      <b/>
      <sz val="11"/>
      <color theme="1"/>
      <name val="Calibri"/>
      <charset val="1"/>
    </font>
    <font>
      <b/>
      <sz val="10"/>
      <color theme="1"/>
      <name val="Calibri"/>
      <charset val="1"/>
    </font>
    <font>
      <b/>
      <sz val="8"/>
      <color rgb="FFFFFFFF"/>
      <name val="Calibri"/>
      <charset val="1"/>
    </font>
    <font>
      <sz val="8"/>
      <color rgb="FF808080"/>
      <name val="Calibri"/>
      <charset val="1"/>
    </font>
    <font>
      <b/>
      <sz val="10"/>
      <color rgb="FF0000FF"/>
      <name val="Calibri"/>
      <charset val="1"/>
    </font>
    <font>
      <sz val="10"/>
      <color rgb="FF008000"/>
      <name val="Calibri"/>
      <charset val="1"/>
    </font>
    <font>
      <sz val="11"/>
      <color theme="1"/>
      <name val="Calibri"/>
      <charset val="1"/>
    </font>
    <font>
      <b/>
      <sz val="14"/>
      <color rgb="FF13294B"/>
      <name val="Aptos Narrow"/>
      <family val="2"/>
      <charset val="1"/>
    </font>
    <font>
      <i/>
      <sz val="9"/>
      <color rgb="FF808080"/>
      <name val="Aptos Narrow"/>
      <family val="2"/>
      <charset val="1"/>
    </font>
    <font>
      <b/>
      <sz val="12"/>
      <color rgb="FF13294B"/>
      <name val="Aptos Narrow"/>
      <family val="2"/>
      <charset val="1"/>
    </font>
    <font>
      <b/>
      <sz val="10"/>
      <color rgb="FF13294B"/>
      <name val="Aptos Narrow"/>
      <family val="2"/>
      <charset val="1"/>
    </font>
    <font>
      <b/>
      <sz val="10"/>
      <color rgb="FF008000"/>
      <name val="Aptos Narrow"/>
      <family val="2"/>
      <charset val="1"/>
    </font>
    <font>
      <sz val="10"/>
      <color rgb="FF0000FF"/>
      <name val="Aptos Narrow"/>
      <family val="2"/>
      <charset val="1"/>
    </font>
    <font>
      <sz val="10"/>
      <color theme="1"/>
      <name val="Aptos Narrow"/>
      <family val="2"/>
      <charset val="1"/>
    </font>
    <font>
      <b/>
      <sz val="10"/>
      <color theme="1"/>
      <name val="Aptos Narrow"/>
      <family val="2"/>
      <charset val="1"/>
    </font>
    <font>
      <sz val="10"/>
      <color rgb="FF008000"/>
      <name val="Aptos Narrow"/>
      <family val="2"/>
      <charset val="1"/>
    </font>
    <font>
      <b/>
      <sz val="9"/>
      <color theme="1"/>
      <name val="Aptos Narrow"/>
      <family val="2"/>
      <charset val="1"/>
    </font>
    <font>
      <i/>
      <sz val="8"/>
      <color rgb="FF808080"/>
      <name val="Calibri"/>
      <charset val="1"/>
    </font>
    <font>
      <b/>
      <sz val="9"/>
      <color rgb="FF808080"/>
      <name val="Calibri"/>
      <charset val="1"/>
    </font>
    <font>
      <sz val="9"/>
      <color rgb="FF000000"/>
      <name val="Consolas"/>
      <charset val="1"/>
    </font>
    <font>
      <b/>
      <sz val="9"/>
      <color rgb="FF13294B"/>
      <name val="Calibri"/>
      <charset val="1"/>
    </font>
    <font>
      <b/>
      <sz val="8"/>
      <color rgb="FF808080"/>
      <name val="Calibri"/>
      <charset val="1"/>
    </font>
    <font>
      <i/>
      <sz val="11"/>
      <color rgb="FF595959"/>
      <name val="Aptos Narrow"/>
      <family val="2"/>
      <charset val="1"/>
    </font>
    <font>
      <b/>
      <sz val="8"/>
      <color rgb="FFA6A6A6"/>
      <name val="Aptos Narrow"/>
      <family val="2"/>
      <charset val="1"/>
    </font>
    <font>
      <sz val="11"/>
      <color rgb="FF008000"/>
      <name val="Aptos Narrow"/>
      <family val="2"/>
      <charset val="1"/>
    </font>
    <font>
      <sz val="8"/>
      <color rgb="FFA6A6A6"/>
      <name val="Aptos Narrow"/>
      <family val="2"/>
      <charset val="1"/>
    </font>
    <font>
      <b/>
      <sz val="16"/>
      <color theme="1"/>
      <name val="Aptos Narrow"/>
      <family val="2"/>
      <charset val="1"/>
    </font>
    <font>
      <b/>
      <sz val="12"/>
      <color rgb="FFC00000"/>
      <name val="Aptos Narrow"/>
      <family val="2"/>
      <charset val="1"/>
    </font>
    <font>
      <b/>
      <sz val="12"/>
      <color rgb="FF006100"/>
      <name val="Aptos Narrow"/>
      <family val="2"/>
      <charset val="1"/>
    </font>
    <font>
      <b/>
      <sz val="11"/>
      <color rgb="FF008000"/>
      <name val="Aptos Narrow"/>
      <family val="2"/>
      <charset val="1"/>
    </font>
    <font>
      <i/>
      <sz val="11"/>
      <color theme="1"/>
      <name val="Aptos Narrow"/>
      <family val="2"/>
      <charset val="1"/>
    </font>
    <font>
      <b/>
      <sz val="10"/>
      <color rgb="FFFFFFFF"/>
      <name val="Calibri"/>
    </font>
    <font>
      <b/>
      <sz val="11"/>
      <color rgb="FF13294B"/>
      <name val="Aptos Narrow"/>
      <family val="2"/>
      <charset val="1"/>
    </font>
    <font>
      <b/>
      <sz val="10"/>
      <color rgb="FF13294B"/>
      <name val="Calibri"/>
    </font>
    <font>
      <sz val="11"/>
      <color rgb="FF0000FF"/>
      <name val="Aptos Narrow"/>
    </font>
    <font>
      <b/>
      <sz val="11"/>
      <color rgb="FFFFFFFF"/>
      <name val="Calibri"/>
    </font>
    <font>
      <b/>
      <sz val="9"/>
      <color rgb="FFFFFFFF"/>
      <name val="Calibri"/>
    </font>
    <font>
      <sz val="10"/>
      <color rgb="FF008000"/>
      <name val="Calibri"/>
    </font>
    <font>
      <sz val="10"/>
      <color rgb="FF0000FF"/>
      <name val="Calibri"/>
    </font>
    <font>
      <sz val="9"/>
      <color rgb="FF0000FF"/>
      <name val="Calibri"/>
    </font>
    <font>
      <sz val="9"/>
      <color indexed="81"/>
      <name val="Tahoma"/>
      <charset val="1"/>
    </font>
    <font>
      <b/>
      <sz val="9"/>
      <color indexed="81"/>
      <name val="Tahoma"/>
      <charset val="1"/>
    </font>
    <font>
      <b/>
      <sz val="11"/>
      <color rgb="FFFFFFFF"/>
      <name val="Aptos Narrow"/>
      <family val="2"/>
    </font>
    <font>
      <b/>
      <sz val="10"/>
      <color rgb="FFFFFFFF"/>
      <name val="Aptos Narrow"/>
      <family val="2"/>
    </font>
    <font>
      <sz val="10"/>
      <color theme="1"/>
      <name val="Aptos Narrow"/>
      <family val="2"/>
    </font>
    <font>
      <sz val="10"/>
      <color rgb="FF0000FF"/>
      <name val="Aptos Narrow"/>
      <family val="2"/>
    </font>
    <font>
      <b/>
      <sz val="10"/>
      <color rgb="FF008000"/>
      <name val="Aptos Narrow"/>
      <family val="2"/>
    </font>
    <font>
      <b/>
      <sz val="10"/>
      <color rgb="FF13294B"/>
      <name val="Aptos Narrow"/>
      <family val="2"/>
    </font>
    <font>
      <b/>
      <sz val="10"/>
      <color theme="1"/>
      <name val="Aptos Narrow"/>
      <family val="2"/>
    </font>
    <font>
      <sz val="10"/>
      <color rgb="FF008000"/>
      <name val="Aptos Narrow"/>
      <family val="2"/>
    </font>
    <font>
      <b/>
      <sz val="9"/>
      <color rgb="FFFFFFFF"/>
      <name val="Aptos Narrow"/>
      <family val="2"/>
    </font>
    <font>
      <sz val="9"/>
      <color rgb="FF808080"/>
      <name val="Aptos Narrow"/>
      <family val="2"/>
      <charset val="1"/>
    </font>
    <font>
      <sz val="9"/>
      <color rgb="FF008000"/>
      <name val="Calibri"/>
      <family val="2"/>
    </font>
    <font>
      <i/>
      <sz val="9"/>
      <color theme="1"/>
      <name val="Aptos Narrow"/>
      <family val="2"/>
      <charset val="1"/>
    </font>
  </fonts>
  <fills count="34">
    <fill>
      <patternFill patternType="none"/>
    </fill>
    <fill>
      <patternFill patternType="gray125"/>
    </fill>
    <fill>
      <patternFill patternType="solid">
        <fgColor rgb="FF13294B"/>
        <bgColor rgb="FF404040"/>
      </patternFill>
    </fill>
    <fill>
      <patternFill patternType="solid">
        <fgColor rgb="FFDEEBF7"/>
        <bgColor rgb="FFE7E6E6"/>
      </patternFill>
    </fill>
    <fill>
      <patternFill patternType="solid">
        <fgColor rgb="FFE4272B"/>
        <bgColor rgb="FFC00000"/>
      </patternFill>
    </fill>
    <fill>
      <patternFill patternType="solid">
        <fgColor rgb="FFC00000"/>
        <bgColor rgb="FF9C0006"/>
      </patternFill>
    </fill>
    <fill>
      <patternFill patternType="solid">
        <fgColor rgb="FFED7D31"/>
        <bgColor rgb="FFE97132"/>
      </patternFill>
    </fill>
    <fill>
      <patternFill patternType="solid">
        <fgColor rgb="FFFFC000"/>
        <bgColor rgb="FFFF9900"/>
      </patternFill>
    </fill>
    <fill>
      <patternFill patternType="solid">
        <fgColor rgb="FFA9D08E"/>
        <bgColor rgb="FFBFBFBF"/>
      </patternFill>
    </fill>
    <fill>
      <patternFill patternType="solid">
        <fgColor rgb="FF4EA72E"/>
        <bgColor rgb="FF467886"/>
      </patternFill>
    </fill>
    <fill>
      <patternFill patternType="solid">
        <fgColor rgb="FFFFF7E6"/>
        <bgColor rgb="FFFFF2CC"/>
      </patternFill>
    </fill>
    <fill>
      <patternFill patternType="solid">
        <fgColor rgb="FFFFFF00"/>
        <bgColor rgb="FFFFC000"/>
      </patternFill>
    </fill>
    <fill>
      <patternFill patternType="solid">
        <fgColor rgb="FF8B0000"/>
        <bgColor rgb="FF9C0006"/>
      </patternFill>
    </fill>
    <fill>
      <patternFill patternType="solid">
        <fgColor theme="0" tint="-0.499984740745262"/>
        <bgColor rgb="FF467886"/>
      </patternFill>
    </fill>
    <fill>
      <patternFill patternType="solid">
        <fgColor theme="0" tint="-0.14999847407452621"/>
        <bgColor rgb="FFE7E6E6"/>
      </patternFill>
    </fill>
    <fill>
      <patternFill patternType="solid">
        <fgColor rgb="FFFFF2CC"/>
        <bgColor rgb="FFFFF7E6"/>
      </patternFill>
    </fill>
    <fill>
      <patternFill patternType="solid">
        <fgColor theme="4" tint="0.59987182226020086"/>
        <bgColor rgb="FFBFBFBF"/>
      </patternFill>
    </fill>
    <fill>
      <patternFill patternType="solid">
        <fgColor theme="0" tint="-0.249977111117893"/>
        <bgColor rgb="FFA9D08E"/>
      </patternFill>
    </fill>
    <fill>
      <patternFill patternType="solid">
        <fgColor rgb="FFE2EFDA"/>
        <bgColor rgb="FFEAF3E7"/>
      </patternFill>
    </fill>
    <fill>
      <patternFill patternType="solid">
        <fgColor rgb="FFEDF1F7"/>
        <bgColor rgb="FFEAF3E7"/>
      </patternFill>
    </fill>
    <fill>
      <patternFill patternType="solid">
        <fgColor rgb="FFFFFFFF"/>
        <bgColor rgb="FFFFF7E6"/>
      </patternFill>
    </fill>
    <fill>
      <patternFill patternType="solid">
        <fgColor rgb="FFEAF3E7"/>
        <bgColor rgb="FFEDF1F7"/>
      </patternFill>
    </fill>
    <fill>
      <patternFill patternType="solid">
        <fgColor rgb="FFFFFF00"/>
        <bgColor indexed="64"/>
      </patternFill>
    </fill>
    <fill>
      <patternFill patternType="solid">
        <fgColor rgb="FFFFF2CC"/>
        <bgColor indexed="64"/>
      </patternFill>
    </fill>
    <fill>
      <patternFill patternType="solid">
        <fgColor rgb="FFFCE4E4"/>
        <bgColor indexed="64"/>
      </patternFill>
    </fill>
    <fill>
      <patternFill patternType="solid">
        <fgColor rgb="FFE6F4EA"/>
        <bgColor indexed="64"/>
      </patternFill>
    </fill>
    <fill>
      <patternFill patternType="solid">
        <fgColor rgb="FF13294B"/>
        <bgColor indexed="64"/>
      </patternFill>
    </fill>
    <fill>
      <patternFill patternType="solid">
        <fgColor rgb="FFFFFFFF"/>
        <bgColor indexed="64"/>
      </patternFill>
    </fill>
    <fill>
      <patternFill patternType="solid">
        <fgColor rgb="FF808080"/>
        <bgColor indexed="64"/>
      </patternFill>
    </fill>
    <fill>
      <patternFill patternType="solid">
        <fgColor rgb="FFFFF7E6"/>
        <bgColor indexed="64"/>
      </patternFill>
    </fill>
    <fill>
      <patternFill patternType="solid">
        <fgColor rgb="FFE4272B"/>
        <bgColor indexed="64"/>
      </patternFill>
    </fill>
    <fill>
      <patternFill patternType="solid">
        <fgColor rgb="FFEFEFEF"/>
        <bgColor indexed="64"/>
      </patternFill>
    </fill>
    <fill>
      <patternFill patternType="solid">
        <fgColor rgb="FFDEEBF7"/>
        <bgColor indexed="64"/>
      </patternFill>
    </fill>
    <fill>
      <patternFill patternType="solid">
        <fgColor rgb="FFEDF1F7"/>
        <bgColor indexed="64"/>
      </patternFill>
    </fill>
  </fills>
  <borders count="41">
    <border>
      <left/>
      <right/>
      <top/>
      <bottom/>
      <diagonal/>
    </border>
    <border>
      <left style="thick">
        <color rgb="FFFFFFFF"/>
      </left>
      <right/>
      <top/>
      <bottom/>
      <diagonal/>
    </border>
    <border>
      <left style="thick">
        <color rgb="FFFFFFFF"/>
      </left>
      <right style="thick">
        <color rgb="FFFFFFFF"/>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theme="0"/>
      </bottom>
      <diagonal/>
    </border>
    <border>
      <left style="thin">
        <color auto="1"/>
      </left>
      <right/>
      <top style="thin">
        <color theme="0"/>
      </top>
      <bottom style="thin">
        <color theme="0"/>
      </bottom>
      <diagonal/>
    </border>
    <border>
      <left style="thin">
        <color theme="0"/>
      </left>
      <right style="thin">
        <color auto="1"/>
      </right>
      <top style="thin">
        <color theme="0"/>
      </top>
      <bottom style="thin">
        <color auto="1"/>
      </bottom>
      <diagonal/>
    </border>
    <border>
      <left style="thin">
        <color auto="1"/>
      </left>
      <right style="thin">
        <color auto="1"/>
      </right>
      <top style="thin">
        <color theme="0"/>
      </top>
      <bottom style="thin">
        <color auto="1"/>
      </bottom>
      <diagonal/>
    </border>
    <border>
      <left style="thin">
        <color theme="0"/>
      </left>
      <right style="thin">
        <color auto="1"/>
      </right>
      <top style="thin">
        <color auto="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auto="1"/>
      </right>
      <top/>
      <bottom/>
      <diagonal/>
    </border>
    <border>
      <left style="thin">
        <color auto="1"/>
      </left>
      <right/>
      <top/>
      <bottom/>
      <diagonal/>
    </border>
    <border>
      <left style="thick">
        <color rgb="FFFFFFFF"/>
      </left>
      <right/>
      <top style="thick">
        <color rgb="FFFFFFFF"/>
      </top>
      <bottom/>
      <diagonal/>
    </border>
    <border>
      <left/>
      <right/>
      <top style="thick">
        <color rgb="FFFFFFFF"/>
      </top>
      <bottom/>
      <diagonal/>
    </border>
    <border>
      <left/>
      <right style="thick">
        <color rgb="FFFFFFFF"/>
      </right>
      <top style="thick">
        <color rgb="FFFFFFFF"/>
      </top>
      <bottom/>
      <diagonal/>
    </border>
    <border>
      <left/>
      <right style="thick">
        <color rgb="FFFFFFFF"/>
      </right>
      <top/>
      <bottom style="thin">
        <color auto="1"/>
      </bottom>
      <diagonal/>
    </border>
    <border>
      <left/>
      <right style="thick">
        <color rgb="FFFFFFFF"/>
      </right>
      <top style="thin">
        <color auto="1"/>
      </top>
      <bottom style="thin">
        <color auto="1"/>
      </bottom>
      <diagonal/>
    </border>
    <border>
      <left/>
      <right style="thick">
        <color rgb="FFFFFFFF"/>
      </right>
      <top/>
      <bottom/>
      <diagonal/>
    </border>
    <border>
      <left/>
      <right style="thick">
        <color rgb="FFFFFFFF"/>
      </right>
      <top style="thin">
        <color auto="1"/>
      </top>
      <bottom/>
      <diagonal/>
    </border>
    <border>
      <left style="thick">
        <color rgb="FFFFFFFF"/>
      </left>
      <right/>
      <top/>
      <bottom style="thick">
        <color rgb="FFFFFFFF"/>
      </bottom>
      <diagonal/>
    </border>
    <border>
      <left/>
      <right/>
      <top/>
      <bottom style="thick">
        <color rgb="FFFFFFFF"/>
      </bottom>
      <diagonal/>
    </border>
    <border>
      <left/>
      <right style="thick">
        <color rgb="FFFFFFFF"/>
      </right>
      <top/>
      <bottom style="thick">
        <color rgb="FFFFFFFF"/>
      </bottom>
      <diagonal/>
    </border>
    <border>
      <left/>
      <right/>
      <top style="double">
        <color auto="1"/>
      </top>
      <bottom/>
      <diagonal/>
    </border>
    <border>
      <left style="thick">
        <color rgb="FFFFFFFF"/>
      </left>
      <right/>
      <top/>
      <bottom style="thin">
        <color rgb="FF000000"/>
      </bottom>
      <diagonal/>
    </border>
    <border>
      <left/>
      <right/>
      <top/>
      <bottom style="thin">
        <color rgb="FF000000"/>
      </bottom>
      <diagonal/>
    </border>
    <border>
      <left/>
      <right style="thick">
        <color rgb="FFFFFFFF"/>
      </right>
      <top/>
      <bottom style="thin">
        <color rgb="FF000000"/>
      </bottom>
      <diagonal/>
    </border>
    <border>
      <left/>
      <right/>
      <top style="double">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right style="thin">
        <color auto="1"/>
      </right>
      <top style="double">
        <color auto="1"/>
      </top>
      <bottom style="thin">
        <color auto="1"/>
      </bottom>
      <diagonal/>
    </border>
  </borders>
  <cellStyleXfs count="2">
    <xf numFmtId="0" fontId="0" fillId="0" borderId="0"/>
    <xf numFmtId="0" fontId="50" fillId="0" borderId="0"/>
  </cellStyleXfs>
  <cellXfs count="532">
    <xf numFmtId="0" fontId="0" fillId="0" borderId="0" xfId="0"/>
    <xf numFmtId="0" fontId="6" fillId="4" borderId="0" xfId="0" applyFont="1" applyFill="1"/>
    <xf numFmtId="0" fontId="2" fillId="0" borderId="0" xfId="0" applyFont="1"/>
    <xf numFmtId="0" fontId="1" fillId="0" borderId="0" xfId="0" applyFont="1"/>
    <xf numFmtId="0" fontId="0" fillId="4" borderId="0" xfId="0" applyFill="1"/>
    <xf numFmtId="0" fontId="7" fillId="0" borderId="0" xfId="0" applyFont="1"/>
    <xf numFmtId="0" fontId="4" fillId="2" borderId="0" xfId="0" applyFont="1" applyFill="1" applyAlignment="1">
      <alignment horizontal="center"/>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5" xfId="0" applyFont="1" applyFill="1" applyBorder="1" applyAlignment="1">
      <alignment horizontal="center" wrapText="1"/>
    </xf>
    <xf numFmtId="1" fontId="8" fillId="0" borderId="0" xfId="0" applyNumberFormat="1" applyFont="1" applyAlignment="1">
      <alignment horizontal="center"/>
    </xf>
    <xf numFmtId="166" fontId="8" fillId="0" borderId="0" xfId="0" applyNumberFormat="1" applyFont="1" applyAlignment="1">
      <alignment horizontal="center"/>
    </xf>
    <xf numFmtId="2" fontId="8" fillId="0" borderId="0" xfId="0" applyNumberFormat="1" applyFont="1" applyAlignment="1">
      <alignment horizontal="center"/>
    </xf>
    <xf numFmtId="0" fontId="9" fillId="0" borderId="6" xfId="0" applyFont="1" applyBorder="1"/>
    <xf numFmtId="0" fontId="10" fillId="0" borderId="7" xfId="0" applyFont="1" applyBorder="1"/>
    <xf numFmtId="167" fontId="11" fillId="0" borderId="7" xfId="0" applyNumberFormat="1" applyFont="1" applyBorder="1" applyAlignment="1">
      <alignment horizontal="center"/>
    </xf>
    <xf numFmtId="168" fontId="11" fillId="0" borderId="7" xfId="0" applyNumberFormat="1" applyFont="1" applyBorder="1" applyAlignment="1">
      <alignment horizontal="center"/>
    </xf>
    <xf numFmtId="169" fontId="11" fillId="0" borderId="7" xfId="0" applyNumberFormat="1" applyFont="1" applyBorder="1" applyAlignment="1">
      <alignment horizontal="center"/>
    </xf>
    <xf numFmtId="168" fontId="12" fillId="0" borderId="8" xfId="0" applyNumberFormat="1" applyFont="1" applyBorder="1" applyAlignment="1">
      <alignment horizontal="center"/>
    </xf>
    <xf numFmtId="1" fontId="13" fillId="0" borderId="8" xfId="0" applyNumberFormat="1" applyFont="1" applyBorder="1" applyAlignment="1">
      <alignment horizontal="center"/>
    </xf>
    <xf numFmtId="0" fontId="13" fillId="0" borderId="8" xfId="0" applyFont="1" applyBorder="1"/>
    <xf numFmtId="166" fontId="13" fillId="0" borderId="8" xfId="0" applyNumberFormat="1" applyFont="1" applyBorder="1" applyAlignment="1">
      <alignment horizontal="center"/>
    </xf>
    <xf numFmtId="170" fontId="13" fillId="0" borderId="8" xfId="0" applyNumberFormat="1" applyFont="1" applyBorder="1" applyAlignment="1">
      <alignment horizontal="center"/>
    </xf>
    <xf numFmtId="0" fontId="13" fillId="0" borderId="8" xfId="0" applyFont="1" applyBorder="1" applyAlignment="1">
      <alignment horizontal="center"/>
    </xf>
    <xf numFmtId="166" fontId="13" fillId="0" borderId="7" xfId="0" applyNumberFormat="1" applyFont="1" applyBorder="1" applyAlignment="1">
      <alignment horizontal="center"/>
    </xf>
    <xf numFmtId="0" fontId="9" fillId="0" borderId="9" xfId="0" applyFont="1" applyBorder="1"/>
    <xf numFmtId="0" fontId="10" fillId="0" borderId="10" xfId="0" applyFont="1" applyBorder="1"/>
    <xf numFmtId="167" fontId="11" fillId="0" borderId="10" xfId="0" applyNumberFormat="1" applyFont="1" applyBorder="1" applyAlignment="1">
      <alignment horizontal="center"/>
    </xf>
    <xf numFmtId="168" fontId="11" fillId="0" borderId="10" xfId="0" applyNumberFormat="1" applyFont="1" applyBorder="1" applyAlignment="1">
      <alignment horizontal="center"/>
    </xf>
    <xf numFmtId="169" fontId="11" fillId="0" borderId="10" xfId="0" applyNumberFormat="1" applyFont="1" applyBorder="1" applyAlignment="1">
      <alignment horizontal="center"/>
    </xf>
    <xf numFmtId="168" fontId="12" fillId="0" borderId="11" xfId="0" applyNumberFormat="1" applyFont="1" applyBorder="1" applyAlignment="1">
      <alignment horizontal="center"/>
    </xf>
    <xf numFmtId="0" fontId="4" fillId="2" borderId="12" xfId="0" applyFont="1" applyFill="1" applyBorder="1" applyAlignment="1">
      <alignment horizontal="center" wrapText="1"/>
    </xf>
    <xf numFmtId="0" fontId="15" fillId="0" borderId="7" xfId="0" applyFont="1" applyBorder="1" applyAlignment="1">
      <alignment horizontal="center"/>
    </xf>
    <xf numFmtId="1" fontId="15" fillId="0" borderId="8" xfId="0" applyNumberFormat="1" applyFont="1" applyBorder="1" applyAlignment="1">
      <alignment horizontal="center"/>
    </xf>
    <xf numFmtId="0" fontId="15" fillId="0" borderId="6" xfId="0" applyFont="1" applyBorder="1"/>
    <xf numFmtId="169" fontId="15" fillId="0" borderId="7" xfId="0" applyNumberFormat="1" applyFont="1" applyBorder="1" applyAlignment="1">
      <alignment horizontal="center"/>
    </xf>
    <xf numFmtId="0" fontId="15" fillId="0" borderId="8" xfId="0" applyFont="1" applyBorder="1" applyAlignment="1">
      <alignment horizontal="center"/>
    </xf>
    <xf numFmtId="0" fontId="13" fillId="0" borderId="7" xfId="0" applyFont="1" applyBorder="1" applyAlignment="1">
      <alignment horizontal="center"/>
    </xf>
    <xf numFmtId="0" fontId="9" fillId="0" borderId="10" xfId="0" applyFont="1" applyBorder="1" applyAlignment="1">
      <alignment horizontal="center"/>
    </xf>
    <xf numFmtId="1" fontId="9" fillId="0" borderId="11" xfId="0" applyNumberFormat="1" applyFont="1" applyBorder="1" applyAlignment="1">
      <alignment horizontal="center"/>
    </xf>
    <xf numFmtId="0" fontId="15" fillId="0" borderId="9" xfId="0" applyFont="1" applyBorder="1"/>
    <xf numFmtId="169" fontId="15" fillId="0" borderId="10" xfId="0" applyNumberFormat="1" applyFont="1" applyBorder="1" applyAlignment="1">
      <alignment horizontal="center"/>
    </xf>
    <xf numFmtId="0" fontId="15" fillId="0" borderId="11" xfId="0" applyFont="1" applyBorder="1" applyAlignment="1">
      <alignment horizontal="center"/>
    </xf>
    <xf numFmtId="0" fontId="6" fillId="2" borderId="0" xfId="0" applyFont="1" applyFill="1"/>
    <xf numFmtId="0" fontId="0" fillId="0" borderId="0" xfId="0" applyAlignment="1">
      <alignment horizontal="center" vertical="center"/>
    </xf>
    <xf numFmtId="0" fontId="18" fillId="0" borderId="0" xfId="0" applyFont="1"/>
    <xf numFmtId="9" fontId="20" fillId="11" borderId="0" xfId="0" applyNumberFormat="1" applyFont="1" applyFill="1" applyAlignment="1">
      <alignment horizontal="center"/>
    </xf>
    <xf numFmtId="9" fontId="0" fillId="0" borderId="0" xfId="0" applyNumberFormat="1" applyAlignment="1">
      <alignment horizontal="center"/>
    </xf>
    <xf numFmtId="0" fontId="23" fillId="0" borderId="0" xfId="0" applyFont="1"/>
    <xf numFmtId="0" fontId="24" fillId="12" borderId="17" xfId="0" applyFont="1" applyFill="1" applyBorder="1" applyAlignment="1">
      <alignment horizontal="center"/>
    </xf>
    <xf numFmtId="0" fontId="24" fillId="12" borderId="10" xfId="0" applyFont="1" applyFill="1" applyBorder="1" applyAlignment="1">
      <alignment horizontal="center"/>
    </xf>
    <xf numFmtId="0" fontId="25" fillId="4" borderId="7" xfId="0" applyFont="1" applyFill="1" applyBorder="1" applyAlignment="1">
      <alignment horizontal="center"/>
    </xf>
    <xf numFmtId="0" fontId="26" fillId="0" borderId="0" xfId="0" applyFont="1"/>
    <xf numFmtId="9" fontId="27" fillId="0" borderId="0" xfId="0" applyNumberFormat="1" applyFont="1" applyAlignment="1">
      <alignment horizontal="center"/>
    </xf>
    <xf numFmtId="0" fontId="29" fillId="13" borderId="7" xfId="0" applyFont="1" applyFill="1" applyBorder="1" applyAlignment="1">
      <alignment horizontal="center" vertical="center" wrapText="1"/>
    </xf>
    <xf numFmtId="0" fontId="30" fillId="14" borderId="8" xfId="0" applyFont="1" applyFill="1" applyBorder="1" applyAlignment="1">
      <alignment vertical="center" wrapText="1"/>
    </xf>
    <xf numFmtId="0" fontId="0" fillId="0" borderId="7" xfId="0" applyBorder="1" applyAlignment="1">
      <alignment horizontal="center"/>
    </xf>
    <xf numFmtId="1" fontId="20" fillId="15" borderId="7" xfId="0" applyNumberFormat="1" applyFont="1" applyFill="1" applyBorder="1" applyAlignment="1">
      <alignment horizontal="center"/>
    </xf>
    <xf numFmtId="0" fontId="0" fillId="0" borderId="7" xfId="0" applyBorder="1" applyAlignment="1">
      <alignment horizontal="center" vertical="center"/>
    </xf>
    <xf numFmtId="1" fontId="20" fillId="15" borderId="7" xfId="0" applyNumberFormat="1" applyFont="1" applyFill="1" applyBorder="1" applyAlignment="1">
      <alignment horizontal="center" vertical="center"/>
    </xf>
    <xf numFmtId="1" fontId="0" fillId="0" borderId="7" xfId="0" applyNumberFormat="1" applyBorder="1" applyAlignment="1">
      <alignment horizontal="center"/>
    </xf>
    <xf numFmtId="9" fontId="0" fillId="0" borderId="7" xfId="0" applyNumberFormat="1" applyBorder="1" applyAlignment="1">
      <alignment horizontal="center"/>
    </xf>
    <xf numFmtId="2" fontId="0" fillId="0" borderId="7" xfId="0" applyNumberFormat="1" applyBorder="1" applyAlignment="1">
      <alignment horizontal="center"/>
    </xf>
    <xf numFmtId="9" fontId="31" fillId="0" borderId="7" xfId="0" applyNumberFormat="1" applyFont="1" applyBorder="1" applyAlignment="1">
      <alignment horizontal="center"/>
    </xf>
    <xf numFmtId="2" fontId="0" fillId="0" borderId="0" xfId="0" applyNumberFormat="1"/>
    <xf numFmtId="1" fontId="32" fillId="0" borderId="0" xfId="0" applyNumberFormat="1" applyFont="1" applyAlignment="1">
      <alignment horizontal="center"/>
    </xf>
    <xf numFmtId="0" fontId="0" fillId="0" borderId="10" xfId="0" applyBorder="1"/>
    <xf numFmtId="0" fontId="33" fillId="0" borderId="7" xfId="0" applyFont="1" applyBorder="1" applyAlignment="1">
      <alignment vertical="center" wrapText="1"/>
    </xf>
    <xf numFmtId="0" fontId="0" fillId="0" borderId="12" xfId="0" applyBorder="1"/>
    <xf numFmtId="0" fontId="0" fillId="16" borderId="8" xfId="0" applyFill="1" applyBorder="1"/>
    <xf numFmtId="0" fontId="30" fillId="16" borderId="8" xfId="0" applyFont="1" applyFill="1" applyBorder="1" applyAlignment="1">
      <alignment vertical="center" wrapText="1"/>
    </xf>
    <xf numFmtId="0" fontId="30" fillId="0" borderId="8" xfId="0" applyFont="1" applyBorder="1" applyAlignment="1">
      <alignment vertical="center" wrapText="1"/>
    </xf>
    <xf numFmtId="0" fontId="0" fillId="0" borderId="8" xfId="0" applyBorder="1"/>
    <xf numFmtId="0" fontId="0" fillId="0" borderId="10" xfId="0" applyBorder="1" applyAlignment="1">
      <alignment horizontal="center"/>
    </xf>
    <xf numFmtId="1" fontId="20" fillId="15" borderId="10" xfId="0" applyNumberFormat="1" applyFont="1" applyFill="1" applyBorder="1" applyAlignment="1">
      <alignment horizontal="center"/>
    </xf>
    <xf numFmtId="0" fontId="0" fillId="0" borderId="10" xfId="0" applyBorder="1" applyAlignment="1">
      <alignment horizontal="center" vertical="center"/>
    </xf>
    <xf numFmtId="1" fontId="20" fillId="15" borderId="10" xfId="0" applyNumberFormat="1" applyFont="1" applyFill="1" applyBorder="1" applyAlignment="1">
      <alignment horizontal="center" vertical="center"/>
    </xf>
    <xf numFmtId="0" fontId="0" fillId="0" borderId="4" xfId="0" applyBorder="1"/>
    <xf numFmtId="0" fontId="34" fillId="4" borderId="8" xfId="0" applyFont="1" applyFill="1" applyBorder="1"/>
    <xf numFmtId="1" fontId="31" fillId="0" borderId="7" xfId="0" applyNumberFormat="1" applyFont="1" applyBorder="1" applyAlignment="1">
      <alignment horizontal="center"/>
    </xf>
    <xf numFmtId="165" fontId="0" fillId="0" borderId="7" xfId="0" applyNumberFormat="1" applyBorder="1" applyAlignment="1">
      <alignment horizontal="center"/>
    </xf>
    <xf numFmtId="1" fontId="31" fillId="0" borderId="7" xfId="0" applyNumberFormat="1" applyFont="1" applyBorder="1" applyAlignment="1">
      <alignment horizontal="center" vertical="center"/>
    </xf>
    <xf numFmtId="165" fontId="0" fillId="0" borderId="7" xfId="0" applyNumberFormat="1" applyBorder="1" applyAlignment="1">
      <alignment horizontal="center" vertical="center"/>
    </xf>
    <xf numFmtId="0" fontId="35" fillId="0" borderId="0" xfId="0" applyFont="1"/>
    <xf numFmtId="0" fontId="36" fillId="0" borderId="7" xfId="0" applyFont="1" applyBorder="1" applyAlignment="1">
      <alignment horizontal="center"/>
    </xf>
    <xf numFmtId="0" fontId="33" fillId="0" borderId="7" xfId="0" applyFont="1" applyBorder="1" applyAlignment="1">
      <alignment horizontal="center" vertical="top"/>
    </xf>
    <xf numFmtId="0" fontId="36" fillId="18" borderId="7" xfId="0" applyFont="1" applyFill="1" applyBorder="1" applyAlignment="1">
      <alignment horizontal="center"/>
    </xf>
    <xf numFmtId="0" fontId="36" fillId="18" borderId="7" xfId="0" applyFont="1" applyFill="1" applyBorder="1" applyAlignment="1">
      <alignment horizontal="center" vertical="top"/>
    </xf>
    <xf numFmtId="164" fontId="39" fillId="10" borderId="0" xfId="0" applyNumberFormat="1" applyFont="1" applyFill="1" applyAlignment="1">
      <alignment horizontal="center"/>
    </xf>
    <xf numFmtId="164" fontId="16" fillId="0" borderId="0" xfId="0" applyNumberFormat="1" applyFont="1" applyAlignment="1">
      <alignment horizontal="center"/>
    </xf>
    <xf numFmtId="0" fontId="38" fillId="10" borderId="0" xfId="0" applyFont="1" applyFill="1" applyAlignment="1">
      <alignment horizontal="center"/>
    </xf>
    <xf numFmtId="0" fontId="6" fillId="2" borderId="0" xfId="0" applyFont="1" applyFill="1" applyAlignment="1">
      <alignment horizontal="center"/>
    </xf>
    <xf numFmtId="0" fontId="4" fillId="13" borderId="0" xfId="0" applyFont="1" applyFill="1" applyAlignment="1">
      <alignment horizontal="center"/>
    </xf>
    <xf numFmtId="0" fontId="4" fillId="4" borderId="0" xfId="0" applyFont="1" applyFill="1" applyAlignment="1">
      <alignment horizontal="center"/>
    </xf>
    <xf numFmtId="0" fontId="4" fillId="4" borderId="4" xfId="0" applyFont="1" applyFill="1" applyBorder="1" applyAlignment="1">
      <alignment horizontal="center" wrapText="1"/>
    </xf>
    <xf numFmtId="1" fontId="0" fillId="0" borderId="4" xfId="0" applyNumberFormat="1" applyBorder="1" applyAlignment="1">
      <alignment horizontal="center"/>
    </xf>
    <xf numFmtId="0" fontId="39" fillId="10" borderId="5" xfId="0" applyFont="1" applyFill="1" applyBorder="1"/>
    <xf numFmtId="0" fontId="42" fillId="10" borderId="0" xfId="0" applyFont="1" applyFill="1" applyAlignment="1">
      <alignment horizontal="center"/>
    </xf>
    <xf numFmtId="173" fontId="15" fillId="0" borderId="6" xfId="0" applyNumberFormat="1" applyFont="1" applyBorder="1" applyAlignment="1">
      <alignment horizontal="center"/>
    </xf>
    <xf numFmtId="173" fontId="15" fillId="0" borderId="7" xfId="0" applyNumberFormat="1" applyFont="1" applyBorder="1" applyAlignment="1">
      <alignment horizontal="center"/>
    </xf>
    <xf numFmtId="168" fontId="15" fillId="0" borderId="7" xfId="0" applyNumberFormat="1" applyFont="1" applyBorder="1" applyAlignment="1">
      <alignment horizontal="center"/>
    </xf>
    <xf numFmtId="168" fontId="9" fillId="0" borderId="7" xfId="0" applyNumberFormat="1" applyFont="1" applyBorder="1" applyAlignment="1">
      <alignment horizontal="center"/>
    </xf>
    <xf numFmtId="0" fontId="15" fillId="0" borderId="7" xfId="0" applyFont="1" applyBorder="1"/>
    <xf numFmtId="0" fontId="43" fillId="10" borderId="7" xfId="0" applyFont="1" applyFill="1" applyBorder="1"/>
    <xf numFmtId="0" fontId="43" fillId="10" borderId="8" xfId="0" applyFont="1" applyFill="1" applyBorder="1"/>
    <xf numFmtId="0" fontId="39" fillId="10" borderId="8" xfId="0" applyFont="1" applyFill="1" applyBorder="1"/>
    <xf numFmtId="173" fontId="15" fillId="3" borderId="6" xfId="0" applyNumberFormat="1" applyFont="1" applyFill="1" applyBorder="1" applyAlignment="1">
      <alignment horizontal="center"/>
    </xf>
    <xf numFmtId="173" fontId="15" fillId="3" borderId="7" xfId="0" applyNumberFormat="1" applyFont="1" applyFill="1" applyBorder="1" applyAlignment="1">
      <alignment horizontal="center"/>
    </xf>
    <xf numFmtId="168" fontId="15" fillId="3" borderId="7" xfId="0" applyNumberFormat="1" applyFont="1" applyFill="1" applyBorder="1" applyAlignment="1">
      <alignment horizontal="center"/>
    </xf>
    <xf numFmtId="169" fontId="15" fillId="3" borderId="7" xfId="0" applyNumberFormat="1" applyFont="1" applyFill="1" applyBorder="1" applyAlignment="1">
      <alignment horizontal="center"/>
    </xf>
    <xf numFmtId="168" fontId="9" fillId="3" borderId="7" xfId="0" applyNumberFormat="1" applyFont="1" applyFill="1" applyBorder="1" applyAlignment="1">
      <alignment horizontal="center"/>
    </xf>
    <xf numFmtId="0" fontId="15" fillId="3" borderId="7" xfId="0" applyFont="1" applyFill="1" applyBorder="1"/>
    <xf numFmtId="173" fontId="15" fillId="3" borderId="9" xfId="0" applyNumberFormat="1" applyFont="1" applyFill="1" applyBorder="1" applyAlignment="1">
      <alignment horizontal="center"/>
    </xf>
    <xf numFmtId="173" fontId="15" fillId="3" borderId="10" xfId="0" applyNumberFormat="1" applyFont="1" applyFill="1" applyBorder="1" applyAlignment="1">
      <alignment horizontal="center"/>
    </xf>
    <xf numFmtId="168" fontId="15" fillId="3" borderId="10" xfId="0" applyNumberFormat="1" applyFont="1" applyFill="1" applyBorder="1" applyAlignment="1">
      <alignment horizontal="center"/>
    </xf>
    <xf numFmtId="169" fontId="15" fillId="3" borderId="10" xfId="0" applyNumberFormat="1" applyFont="1" applyFill="1" applyBorder="1" applyAlignment="1">
      <alignment horizontal="center"/>
    </xf>
    <xf numFmtId="168" fontId="9" fillId="3" borderId="10" xfId="0" applyNumberFormat="1" applyFont="1" applyFill="1" applyBorder="1" applyAlignment="1">
      <alignment horizontal="center"/>
    </xf>
    <xf numFmtId="0" fontId="15" fillId="3" borderId="10" xfId="0" applyFont="1" applyFill="1" applyBorder="1"/>
    <xf numFmtId="0" fontId="43" fillId="10" borderId="10" xfId="0" applyFont="1" applyFill="1" applyBorder="1"/>
    <xf numFmtId="0" fontId="43" fillId="10" borderId="11" xfId="0" applyFont="1" applyFill="1" applyBorder="1"/>
    <xf numFmtId="0" fontId="16" fillId="0" borderId="0" xfId="0" applyFont="1" applyAlignment="1">
      <alignment horizontal="right"/>
    </xf>
    <xf numFmtId="0" fontId="14" fillId="13" borderId="3" xfId="0" applyFont="1" applyFill="1" applyBorder="1"/>
    <xf numFmtId="0" fontId="14" fillId="13" borderId="4" xfId="0" applyFont="1" applyFill="1" applyBorder="1"/>
    <xf numFmtId="0" fontId="15" fillId="0" borderId="6" xfId="0" applyFont="1" applyBorder="1" applyAlignment="1">
      <alignment horizontal="center"/>
    </xf>
    <xf numFmtId="0" fontId="9" fillId="0" borderId="7" xfId="0" applyFont="1" applyBorder="1"/>
    <xf numFmtId="0" fontId="15" fillId="3" borderId="6" xfId="0" applyFont="1" applyFill="1" applyBorder="1" applyAlignment="1">
      <alignment horizontal="center"/>
    </xf>
    <xf numFmtId="0" fontId="9" fillId="3" borderId="7" xfId="0" applyFont="1" applyFill="1" applyBorder="1"/>
    <xf numFmtId="0" fontId="15" fillId="0" borderId="9" xfId="0" applyFont="1" applyBorder="1" applyAlignment="1">
      <alignment horizontal="center"/>
    </xf>
    <xf numFmtId="0" fontId="9" fillId="0" borderId="10" xfId="0" applyFont="1" applyBorder="1"/>
    <xf numFmtId="0" fontId="0" fillId="0" borderId="3" xfId="0" applyBorder="1"/>
    <xf numFmtId="0" fontId="0" fillId="0" borderId="6" xfId="0" applyBorder="1"/>
    <xf numFmtId="0" fontId="0" fillId="0" borderId="9" xfId="0" applyBorder="1"/>
    <xf numFmtId="1" fontId="0" fillId="0" borderId="10" xfId="0" applyNumberFormat="1" applyBorder="1" applyAlignment="1">
      <alignment horizontal="center"/>
    </xf>
    <xf numFmtId="0" fontId="39" fillId="10" borderId="11" xfId="0" applyFont="1" applyFill="1" applyBorder="1"/>
    <xf numFmtId="0" fontId="15" fillId="3" borderId="9" xfId="0" applyFont="1" applyFill="1" applyBorder="1" applyAlignment="1">
      <alignment horizontal="center"/>
    </xf>
    <xf numFmtId="0" fontId="9" fillId="3" borderId="10" xfId="0" applyFont="1" applyFill="1" applyBorder="1"/>
    <xf numFmtId="0" fontId="0" fillId="0" borderId="18" xfId="0" applyBorder="1"/>
    <xf numFmtId="0" fontId="16" fillId="0" borderId="18" xfId="0" applyFont="1" applyBorder="1" applyAlignment="1">
      <alignment horizontal="right"/>
    </xf>
    <xf numFmtId="0" fontId="0" fillId="0" borderId="19" xfId="0" applyBorder="1" applyAlignment="1">
      <alignment horizontal="center"/>
    </xf>
    <xf numFmtId="0" fontId="46" fillId="10" borderId="19" xfId="0" applyFont="1" applyFill="1" applyBorder="1"/>
    <xf numFmtId="0" fontId="42" fillId="10" borderId="19" xfId="0" applyFont="1" applyFill="1" applyBorder="1" applyAlignment="1">
      <alignment horizontal="center"/>
    </xf>
    <xf numFmtId="0" fontId="0" fillId="0" borderId="20" xfId="0" applyBorder="1" applyAlignment="1">
      <alignment horizontal="center"/>
    </xf>
    <xf numFmtId="0" fontId="46" fillId="10" borderId="20" xfId="0" applyFont="1" applyFill="1" applyBorder="1"/>
    <xf numFmtId="0" fontId="42" fillId="10" borderId="20"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4" fillId="13" borderId="4" xfId="0" applyFont="1" applyFill="1" applyBorder="1" applyAlignment="1">
      <alignment horizontal="center" wrapText="1"/>
    </xf>
    <xf numFmtId="49" fontId="4" fillId="13" borderId="4" xfId="0" applyNumberFormat="1" applyFont="1" applyFill="1" applyBorder="1" applyAlignment="1">
      <alignment horizontal="center" wrapText="1"/>
    </xf>
    <xf numFmtId="0" fontId="4" fillId="13" borderId="5" xfId="0" applyFont="1" applyFill="1" applyBorder="1" applyAlignment="1">
      <alignment horizontal="center" wrapText="1"/>
    </xf>
    <xf numFmtId="1" fontId="0" fillId="0" borderId="6" xfId="0" applyNumberFormat="1" applyBorder="1" applyAlignment="1">
      <alignment horizontal="center"/>
    </xf>
    <xf numFmtId="0" fontId="47" fillId="0" borderId="7" xfId="0" applyFont="1" applyBorder="1"/>
    <xf numFmtId="0" fontId="39" fillId="10" borderId="7" xfId="0" applyFont="1" applyFill="1" applyBorder="1" applyAlignment="1">
      <alignment horizontal="center"/>
    </xf>
    <xf numFmtId="1" fontId="20" fillId="15" borderId="8" xfId="0" applyNumberFormat="1" applyFont="1" applyFill="1" applyBorder="1" applyAlignment="1">
      <alignment horizontal="center"/>
    </xf>
    <xf numFmtId="0" fontId="0" fillId="0" borderId="7" xfId="0" applyBorder="1"/>
    <xf numFmtId="169" fontId="9" fillId="0" borderId="8" xfId="0" applyNumberFormat="1" applyFont="1" applyBorder="1" applyAlignment="1">
      <alignment horizontal="center"/>
    </xf>
    <xf numFmtId="1" fontId="0" fillId="3" borderId="6" xfId="0" applyNumberFormat="1" applyFill="1" applyBorder="1" applyAlignment="1">
      <alignment horizontal="center"/>
    </xf>
    <xf numFmtId="0" fontId="47" fillId="3" borderId="7" xfId="0" applyFont="1" applyFill="1" applyBorder="1"/>
    <xf numFmtId="0" fontId="39" fillId="3" borderId="7" xfId="0" applyFont="1" applyFill="1" applyBorder="1" applyAlignment="1">
      <alignment horizontal="center"/>
    </xf>
    <xf numFmtId="169" fontId="9" fillId="3" borderId="8" xfId="0" applyNumberFormat="1" applyFont="1" applyFill="1" applyBorder="1" applyAlignment="1">
      <alignment horizontal="center"/>
    </xf>
    <xf numFmtId="165" fontId="43" fillId="10" borderId="7" xfId="0" applyNumberFormat="1" applyFont="1" applyFill="1" applyBorder="1" applyAlignment="1">
      <alignment horizontal="center"/>
    </xf>
    <xf numFmtId="1" fontId="0" fillId="3" borderId="9" xfId="0" applyNumberFormat="1" applyFill="1" applyBorder="1" applyAlignment="1">
      <alignment horizontal="center"/>
    </xf>
    <xf numFmtId="0" fontId="47" fillId="3" borderId="10" xfId="0" applyFont="1" applyFill="1" applyBorder="1"/>
    <xf numFmtId="0" fontId="39" fillId="3" borderId="10" xfId="0" applyFont="1" applyFill="1" applyBorder="1" applyAlignment="1">
      <alignment horizontal="center"/>
    </xf>
    <xf numFmtId="165" fontId="43" fillId="10" borderId="10" xfId="0" applyNumberFormat="1" applyFont="1" applyFill="1" applyBorder="1" applyAlignment="1">
      <alignment horizontal="center"/>
    </xf>
    <xf numFmtId="169" fontId="9" fillId="3" borderId="11" xfId="0" applyNumberFormat="1" applyFont="1" applyFill="1" applyBorder="1" applyAlignment="1">
      <alignment horizontal="center"/>
    </xf>
    <xf numFmtId="169" fontId="45" fillId="3" borderId="0" xfId="0" applyNumberFormat="1" applyFont="1" applyFill="1" applyAlignment="1">
      <alignment horizontal="center"/>
    </xf>
    <xf numFmtId="0" fontId="14" fillId="13" borderId="5" xfId="0" applyFont="1" applyFill="1" applyBorder="1"/>
    <xf numFmtId="0" fontId="9" fillId="0" borderId="6" xfId="0" applyFont="1" applyBorder="1" applyAlignment="1">
      <alignment horizontal="center"/>
    </xf>
    <xf numFmtId="0" fontId="15" fillId="0" borderId="8" xfId="0" applyFont="1" applyBorder="1"/>
    <xf numFmtId="0" fontId="9" fillId="0" borderId="9" xfId="0" applyFont="1" applyBorder="1" applyAlignment="1">
      <alignment horizontal="center"/>
    </xf>
    <xf numFmtId="0" fontId="15" fillId="0" borderId="11" xfId="0" applyFont="1" applyBorder="1"/>
    <xf numFmtId="0" fontId="48" fillId="19" borderId="0" xfId="0" applyFont="1" applyFill="1" applyAlignment="1">
      <alignment vertical="center"/>
    </xf>
    <xf numFmtId="0" fontId="49" fillId="19" borderId="0" xfId="1" applyFont="1" applyFill="1" applyAlignment="1">
      <alignment horizontal="center" vertical="center"/>
    </xf>
    <xf numFmtId="0" fontId="0" fillId="19" borderId="0" xfId="0" applyFill="1" applyAlignment="1">
      <alignment vertical="center"/>
    </xf>
    <xf numFmtId="0" fontId="48" fillId="0" borderId="0" xfId="0" applyFont="1"/>
    <xf numFmtId="0" fontId="51" fillId="10" borderId="10" xfId="0" applyFont="1" applyFill="1" applyBorder="1"/>
    <xf numFmtId="0" fontId="52" fillId="20" borderId="7" xfId="0" applyFont="1" applyFill="1" applyBorder="1"/>
    <xf numFmtId="0" fontId="14" fillId="2" borderId="21" xfId="0" applyFont="1" applyFill="1" applyBorder="1" applyAlignment="1">
      <alignment horizontal="center" wrapText="1"/>
    </xf>
    <xf numFmtId="0" fontId="14" fillId="2" borderId="12" xfId="0" applyFont="1" applyFill="1" applyBorder="1" applyAlignment="1">
      <alignment horizontal="center" wrapText="1"/>
    </xf>
    <xf numFmtId="0" fontId="14" fillId="0" borderId="12" xfId="0" applyFont="1" applyBorder="1" applyAlignment="1">
      <alignment horizontal="center" wrapText="1"/>
    </xf>
    <xf numFmtId="0" fontId="14" fillId="4" borderId="12" xfId="0" applyFont="1" applyFill="1" applyBorder="1" applyAlignment="1">
      <alignment horizontal="center" wrapText="1"/>
    </xf>
    <xf numFmtId="0" fontId="14" fillId="4" borderId="22" xfId="0" applyFont="1" applyFill="1" applyBorder="1" applyAlignment="1">
      <alignment horizontal="center" wrapText="1"/>
    </xf>
    <xf numFmtId="0" fontId="14" fillId="2" borderId="7" xfId="0" applyFont="1" applyFill="1" applyBorder="1" applyAlignment="1">
      <alignment horizontal="center"/>
    </xf>
    <xf numFmtId="0" fontId="39" fillId="10" borderId="3" xfId="0" applyFont="1" applyFill="1" applyBorder="1" applyAlignment="1">
      <alignment horizontal="center"/>
    </xf>
    <xf numFmtId="0" fontId="53" fillId="0" borderId="4" xfId="0" applyFont="1" applyBorder="1" applyAlignment="1">
      <alignment horizontal="center"/>
    </xf>
    <xf numFmtId="171" fontId="53" fillId="0" borderId="4" xfId="0" applyNumberFormat="1" applyFont="1" applyBorder="1" applyAlignment="1">
      <alignment horizontal="center"/>
    </xf>
    <xf numFmtId="1" fontId="53" fillId="0" borderId="4" xfId="0" applyNumberFormat="1" applyFont="1" applyBorder="1" applyAlignment="1">
      <alignment horizontal="center"/>
    </xf>
    <xf numFmtId="0" fontId="0" fillId="0" borderId="4" xfId="0" applyBorder="1" applyAlignment="1">
      <alignment horizontal="center"/>
    </xf>
    <xf numFmtId="0" fontId="39" fillId="10" borderId="4" xfId="0" applyFont="1" applyFill="1" applyBorder="1" applyAlignment="1">
      <alignment horizontal="center"/>
    </xf>
    <xf numFmtId="165" fontId="39" fillId="10" borderId="5" xfId="0" applyNumberFormat="1" applyFont="1" applyFill="1" applyBorder="1" applyAlignment="1">
      <alignment horizontal="center"/>
    </xf>
    <xf numFmtId="0" fontId="54" fillId="0" borderId="7" xfId="0" applyFont="1" applyBorder="1" applyAlignment="1">
      <alignment horizontal="center"/>
    </xf>
    <xf numFmtId="174" fontId="54" fillId="0" borderId="7" xfId="0" applyNumberFormat="1" applyFont="1" applyBorder="1" applyAlignment="1">
      <alignment horizontal="center"/>
    </xf>
    <xf numFmtId="0" fontId="0" fillId="21" borderId="0" xfId="0" applyFill="1"/>
    <xf numFmtId="0" fontId="0" fillId="21" borderId="1" xfId="0" applyFill="1" applyBorder="1"/>
    <xf numFmtId="0" fontId="0" fillId="21" borderId="28" xfId="0" applyFill="1" applyBorder="1"/>
    <xf numFmtId="0" fontId="0" fillId="21" borderId="30" xfId="0" applyFill="1" applyBorder="1"/>
    <xf numFmtId="0" fontId="0" fillId="21" borderId="31" xfId="0" applyFill="1" applyBorder="1"/>
    <xf numFmtId="0" fontId="0" fillId="21" borderId="32" xfId="0" applyFill="1" applyBorder="1"/>
    <xf numFmtId="0" fontId="14" fillId="2" borderId="3" xfId="0" applyFont="1" applyFill="1" applyBorder="1" applyAlignment="1">
      <alignment horizontal="center" wrapText="1"/>
    </xf>
    <xf numFmtId="0" fontId="14" fillId="2" borderId="4" xfId="0" applyFont="1" applyFill="1" applyBorder="1" applyAlignment="1">
      <alignment horizontal="center" wrapText="1"/>
    </xf>
    <xf numFmtId="0" fontId="16" fillId="0" borderId="7" xfId="0" applyFont="1" applyBorder="1" applyAlignment="1">
      <alignment horizontal="center"/>
    </xf>
    <xf numFmtId="0" fontId="53" fillId="0" borderId="7" xfId="0" applyFont="1" applyBorder="1" applyAlignment="1">
      <alignment horizontal="center"/>
    </xf>
    <xf numFmtId="169" fontId="0" fillId="0" borderId="7" xfId="0" applyNumberFormat="1" applyBorder="1" applyAlignment="1">
      <alignment horizontal="center"/>
    </xf>
    <xf numFmtId="168" fontId="0" fillId="0" borderId="7" xfId="0" applyNumberFormat="1" applyBorder="1" applyAlignment="1">
      <alignment horizontal="center"/>
    </xf>
    <xf numFmtId="0" fontId="39" fillId="10" borderId="8" xfId="0" applyFont="1" applyFill="1" applyBorder="1" applyAlignment="1">
      <alignment horizontal="center"/>
    </xf>
    <xf numFmtId="0" fontId="16" fillId="3" borderId="7" xfId="0" applyFont="1" applyFill="1" applyBorder="1" applyAlignment="1">
      <alignment horizontal="center"/>
    </xf>
    <xf numFmtId="0" fontId="53" fillId="3" borderId="7" xfId="0" applyFont="1" applyFill="1" applyBorder="1" applyAlignment="1">
      <alignment horizontal="center"/>
    </xf>
    <xf numFmtId="169" fontId="0" fillId="3" borderId="7" xfId="0" applyNumberFormat="1" applyFill="1" applyBorder="1" applyAlignment="1">
      <alignment horizontal="center"/>
    </xf>
    <xf numFmtId="168" fontId="0" fillId="3" borderId="7" xfId="0" applyNumberFormat="1" applyFill="1" applyBorder="1" applyAlignment="1">
      <alignment horizontal="center"/>
    </xf>
    <xf numFmtId="0" fontId="39" fillId="3" borderId="8" xfId="0" applyFont="1" applyFill="1" applyBorder="1" applyAlignment="1">
      <alignment horizontal="center"/>
    </xf>
    <xf numFmtId="1" fontId="0" fillId="0" borderId="9" xfId="0" applyNumberFormat="1" applyBorder="1" applyAlignment="1">
      <alignment horizontal="center"/>
    </xf>
    <xf numFmtId="0" fontId="16" fillId="0" borderId="10" xfId="0" applyFont="1" applyBorder="1" applyAlignment="1">
      <alignment horizontal="center"/>
    </xf>
    <xf numFmtId="0" fontId="53" fillId="0" borderId="10" xfId="0" applyFont="1" applyBorder="1" applyAlignment="1">
      <alignment horizontal="center"/>
    </xf>
    <xf numFmtId="169" fontId="0" fillId="0" borderId="10" xfId="0" applyNumberFormat="1" applyBorder="1" applyAlignment="1">
      <alignment horizontal="center"/>
    </xf>
    <xf numFmtId="168" fontId="0" fillId="0" borderId="10" xfId="0" applyNumberFormat="1" applyBorder="1" applyAlignment="1">
      <alignment horizontal="center"/>
    </xf>
    <xf numFmtId="0" fontId="39" fillId="10" borderId="11" xfId="0" applyFont="1" applyFill="1" applyBorder="1" applyAlignment="1">
      <alignment horizontal="center"/>
    </xf>
    <xf numFmtId="1" fontId="13" fillId="0" borderId="7" xfId="0" applyNumberFormat="1" applyFont="1" applyBorder="1" applyAlignment="1">
      <alignment horizontal="center"/>
    </xf>
    <xf numFmtId="0" fontId="55" fillId="0" borderId="7" xfId="0" applyFont="1" applyBorder="1"/>
    <xf numFmtId="169" fontId="13" fillId="0" borderId="7" xfId="0" applyNumberFormat="1" applyFont="1" applyBorder="1" applyAlignment="1">
      <alignment horizontal="center"/>
    </xf>
    <xf numFmtId="168" fontId="13" fillId="0" borderId="7" xfId="0" applyNumberFormat="1" applyFont="1" applyBorder="1" applyAlignment="1">
      <alignment horizontal="center"/>
    </xf>
    <xf numFmtId="1" fontId="13" fillId="3" borderId="7" xfId="0" applyNumberFormat="1" applyFont="1" applyFill="1" applyBorder="1" applyAlignment="1">
      <alignment horizontal="center"/>
    </xf>
    <xf numFmtId="0" fontId="55" fillId="3" borderId="7" xfId="0" applyFont="1" applyFill="1" applyBorder="1"/>
    <xf numFmtId="0" fontId="13" fillId="3" borderId="7" xfId="0" applyFont="1" applyFill="1" applyBorder="1" applyAlignment="1">
      <alignment horizontal="center"/>
    </xf>
    <xf numFmtId="169" fontId="13" fillId="3" borderId="7" xfId="0" applyNumberFormat="1" applyFont="1" applyFill="1" applyBorder="1" applyAlignment="1">
      <alignment horizontal="center"/>
    </xf>
    <xf numFmtId="168" fontId="13" fillId="3" borderId="7" xfId="0" applyNumberFormat="1" applyFont="1" applyFill="1" applyBorder="1" applyAlignment="1">
      <alignment horizontal="center"/>
    </xf>
    <xf numFmtId="0" fontId="14" fillId="0" borderId="0" xfId="0" applyFont="1" applyAlignment="1">
      <alignment horizontal="center"/>
    </xf>
    <xf numFmtId="0" fontId="4" fillId="13" borderId="3" xfId="0" applyFont="1" applyFill="1" applyBorder="1" applyAlignment="1">
      <alignment horizontal="center" wrapText="1"/>
    </xf>
    <xf numFmtId="0" fontId="4" fillId="13" borderId="22" xfId="0" applyFont="1" applyFill="1" applyBorder="1" applyAlignment="1">
      <alignment horizontal="center" wrapText="1"/>
    </xf>
    <xf numFmtId="1" fontId="15" fillId="0" borderId="6" xfId="0" applyNumberFormat="1" applyFont="1" applyBorder="1" applyAlignment="1">
      <alignment horizontal="center"/>
    </xf>
    <xf numFmtId="0" fontId="44" fillId="0" borderId="7" xfId="0" applyFont="1" applyBorder="1"/>
    <xf numFmtId="0" fontId="15" fillId="0" borderId="7" xfId="0" applyFont="1" applyBorder="1" applyAlignment="1">
      <alignment horizontal="left"/>
    </xf>
    <xf numFmtId="169" fontId="15" fillId="0" borderId="8" xfId="0" applyNumberFormat="1" applyFont="1" applyBorder="1" applyAlignment="1">
      <alignment horizontal="center"/>
    </xf>
    <xf numFmtId="1" fontId="15" fillId="3" borderId="6" xfId="0" applyNumberFormat="1" applyFont="1" applyFill="1" applyBorder="1" applyAlignment="1">
      <alignment horizontal="center"/>
    </xf>
    <xf numFmtId="0" fontId="44" fillId="3" borderId="7" xfId="0" applyFont="1" applyFill="1" applyBorder="1"/>
    <xf numFmtId="0" fontId="15" fillId="3" borderId="7" xfId="0" applyFont="1" applyFill="1" applyBorder="1" applyAlignment="1">
      <alignment horizontal="center"/>
    </xf>
    <xf numFmtId="0" fontId="15" fillId="3" borderId="7" xfId="0" applyFont="1" applyFill="1" applyBorder="1" applyAlignment="1">
      <alignment horizontal="left"/>
    </xf>
    <xf numFmtId="169" fontId="15" fillId="3" borderId="8" xfId="0" applyNumberFormat="1" applyFont="1" applyFill="1" applyBorder="1" applyAlignment="1">
      <alignment horizontal="center"/>
    </xf>
    <xf numFmtId="0" fontId="44" fillId="3" borderId="10" xfId="0" applyFont="1" applyFill="1" applyBorder="1"/>
    <xf numFmtId="0" fontId="15" fillId="3" borderId="10" xfId="0" applyFont="1" applyFill="1" applyBorder="1" applyAlignment="1">
      <alignment horizontal="center"/>
    </xf>
    <xf numFmtId="0" fontId="15" fillId="3" borderId="10" xfId="0" applyFont="1" applyFill="1" applyBorder="1" applyAlignment="1">
      <alignment horizontal="left"/>
    </xf>
    <xf numFmtId="169" fontId="15" fillId="3" borderId="11" xfId="0" applyNumberFormat="1" applyFont="1" applyFill="1" applyBorder="1" applyAlignment="1">
      <alignment horizontal="center"/>
    </xf>
    <xf numFmtId="0" fontId="4" fillId="13" borderId="0" xfId="0" applyFont="1" applyFill="1"/>
    <xf numFmtId="0" fontId="56" fillId="13" borderId="0" xfId="0" applyFont="1" applyFill="1"/>
    <xf numFmtId="0" fontId="57" fillId="0" borderId="0" xfId="0" applyFont="1" applyAlignment="1">
      <alignment horizontal="center"/>
    </xf>
    <xf numFmtId="165" fontId="57" fillId="0" borderId="0" xfId="0" applyNumberFormat="1" applyFont="1" applyAlignment="1">
      <alignment horizontal="center"/>
    </xf>
    <xf numFmtId="175" fontId="4" fillId="13" borderId="4" xfId="0" applyNumberFormat="1" applyFont="1" applyFill="1" applyBorder="1" applyAlignment="1">
      <alignment horizontal="center" wrapText="1"/>
    </xf>
    <xf numFmtId="0" fontId="16" fillId="0" borderId="6" xfId="0" applyFont="1" applyBorder="1" applyAlignment="1">
      <alignment horizontal="center"/>
    </xf>
    <xf numFmtId="1" fontId="58" fillId="10" borderId="7" xfId="0" applyNumberFormat="1" applyFont="1" applyFill="1" applyBorder="1" applyAlignment="1">
      <alignment horizontal="center"/>
    </xf>
    <xf numFmtId="1" fontId="58" fillId="10" borderId="8" xfId="0" applyNumberFormat="1" applyFont="1" applyFill="1" applyBorder="1" applyAlignment="1">
      <alignment horizontal="center"/>
    </xf>
    <xf numFmtId="0" fontId="16" fillId="0" borderId="9" xfId="0" applyFont="1" applyBorder="1" applyAlignment="1">
      <alignment horizontal="center"/>
    </xf>
    <xf numFmtId="1" fontId="58" fillId="10" borderId="10" xfId="0" applyNumberFormat="1" applyFont="1" applyFill="1" applyBorder="1" applyAlignment="1">
      <alignment horizontal="center"/>
    </xf>
    <xf numFmtId="1" fontId="58" fillId="10" borderId="11" xfId="0" applyNumberFormat="1" applyFont="1" applyFill="1" applyBorder="1" applyAlignment="1">
      <alignment horizontal="center"/>
    </xf>
    <xf numFmtId="0" fontId="14" fillId="2" borderId="8" xfId="0" applyFont="1" applyFill="1" applyBorder="1" applyAlignment="1">
      <alignment horizontal="center"/>
    </xf>
    <xf numFmtId="0" fontId="14" fillId="2" borderId="4" xfId="0" applyFont="1" applyFill="1" applyBorder="1" applyAlignment="1">
      <alignment horizontal="center"/>
    </xf>
    <xf numFmtId="0" fontId="59" fillId="0" borderId="8" xfId="0" applyFont="1" applyBorder="1" applyAlignment="1">
      <alignment horizontal="center"/>
    </xf>
    <xf numFmtId="0" fontId="58" fillId="10" borderId="7" xfId="0" applyFont="1" applyFill="1" applyBorder="1" applyAlignment="1">
      <alignment horizontal="center"/>
    </xf>
    <xf numFmtId="0" fontId="58" fillId="10" borderId="7" xfId="0" applyFont="1" applyFill="1" applyBorder="1"/>
    <xf numFmtId="172" fontId="58" fillId="10" borderId="7" xfId="0" applyNumberFormat="1" applyFont="1" applyFill="1" applyBorder="1" applyAlignment="1">
      <alignment horizontal="center"/>
    </xf>
    <xf numFmtId="172" fontId="15" fillId="20" borderId="7" xfId="0" applyNumberFormat="1" applyFont="1" applyFill="1" applyBorder="1" applyAlignment="1">
      <alignment horizontal="center"/>
    </xf>
    <xf numFmtId="0" fontId="59" fillId="3" borderId="8" xfId="0" applyFont="1" applyFill="1" applyBorder="1" applyAlignment="1">
      <alignment horizontal="center"/>
    </xf>
    <xf numFmtId="0" fontId="58" fillId="10" borderId="10" xfId="0" applyFont="1" applyFill="1" applyBorder="1" applyAlignment="1">
      <alignment horizontal="center"/>
    </xf>
    <xf numFmtId="0" fontId="58" fillId="10" borderId="10" xfId="0" applyFont="1" applyFill="1" applyBorder="1"/>
    <xf numFmtId="172" fontId="58" fillId="10" borderId="10" xfId="0" applyNumberFormat="1" applyFont="1" applyFill="1" applyBorder="1" applyAlignment="1">
      <alignment horizontal="center"/>
    </xf>
    <xf numFmtId="172" fontId="15" fillId="20" borderId="10" xfId="0" applyNumberFormat="1" applyFont="1" applyFill="1" applyBorder="1" applyAlignment="1">
      <alignment horizontal="center"/>
    </xf>
    <xf numFmtId="0" fontId="0" fillId="0" borderId="20" xfId="0" applyBorder="1"/>
    <xf numFmtId="0" fontId="45" fillId="0" borderId="0" xfId="0" applyFont="1"/>
    <xf numFmtId="0" fontId="55" fillId="3" borderId="0" xfId="0" applyFont="1" applyFill="1" applyAlignment="1">
      <alignment horizontal="center"/>
    </xf>
    <xf numFmtId="0" fontId="13" fillId="0" borderId="0" xfId="0" applyFont="1"/>
    <xf numFmtId="173" fontId="13" fillId="0" borderId="0" xfId="0" applyNumberFormat="1" applyFont="1" applyAlignment="1">
      <alignment horizontal="center"/>
    </xf>
    <xf numFmtId="0" fontId="60" fillId="0" borderId="0" xfId="0" applyFont="1"/>
    <xf numFmtId="176" fontId="39" fillId="10" borderId="0" xfId="0" applyNumberFormat="1" applyFont="1" applyFill="1" applyAlignment="1">
      <alignment horizontal="center"/>
    </xf>
    <xf numFmtId="0" fontId="24" fillId="2" borderId="7" xfId="0" applyFont="1" applyFill="1" applyBorder="1" applyAlignment="1">
      <alignment horizontal="center" wrapText="1"/>
    </xf>
    <xf numFmtId="1" fontId="22" fillId="2" borderId="7" xfId="0" applyNumberFormat="1" applyFont="1" applyFill="1" applyBorder="1" applyAlignment="1">
      <alignment horizontal="center"/>
    </xf>
    <xf numFmtId="0" fontId="66" fillId="10" borderId="7" xfId="0" applyFont="1" applyFill="1" applyBorder="1" applyAlignment="1">
      <alignment horizontal="left" vertical="top"/>
    </xf>
    <xf numFmtId="0" fontId="66" fillId="10" borderId="7" xfId="0" applyFont="1" applyFill="1" applyBorder="1" applyAlignment="1">
      <alignment vertical="top" wrapText="1"/>
    </xf>
    <xf numFmtId="0" fontId="55" fillId="0" borderId="7" xfId="0" applyFont="1" applyBorder="1" applyAlignment="1">
      <alignment horizontal="center"/>
    </xf>
    <xf numFmtId="173" fontId="59" fillId="0" borderId="7" xfId="0" applyNumberFormat="1" applyFont="1" applyBorder="1" applyAlignment="1">
      <alignment horizontal="center"/>
    </xf>
    <xf numFmtId="0" fontId="55" fillId="3" borderId="7" xfId="0" applyFont="1" applyFill="1" applyBorder="1" applyAlignment="1">
      <alignment horizontal="center"/>
    </xf>
    <xf numFmtId="173" fontId="59" fillId="3" borderId="7" xfId="0" applyNumberFormat="1" applyFont="1" applyFill="1" applyBorder="1" applyAlignment="1">
      <alignment horizontal="center"/>
    </xf>
    <xf numFmtId="0" fontId="59" fillId="0" borderId="7" xfId="0" applyFont="1" applyBorder="1" applyAlignment="1">
      <alignment horizontal="center"/>
    </xf>
    <xf numFmtId="0" fontId="59" fillId="3" borderId="7" xfId="0" applyFont="1" applyFill="1" applyBorder="1" applyAlignment="1">
      <alignment horizontal="center"/>
    </xf>
    <xf numFmtId="0" fontId="22" fillId="4" borderId="7" xfId="0" applyFont="1" applyFill="1" applyBorder="1"/>
    <xf numFmtId="0" fontId="66" fillId="10" borderId="7" xfId="0" applyFont="1" applyFill="1" applyBorder="1"/>
    <xf numFmtId="0" fontId="70" fillId="0" borderId="0" xfId="0" applyFont="1"/>
    <xf numFmtId="178" fontId="31" fillId="0" borderId="0" xfId="0" applyNumberFormat="1" applyFont="1" applyAlignment="1">
      <alignment horizontal="center"/>
    </xf>
    <xf numFmtId="0" fontId="71" fillId="0" borderId="0" xfId="0" applyFont="1"/>
    <xf numFmtId="178" fontId="0" fillId="0" borderId="0" xfId="0" applyNumberFormat="1" applyAlignment="1">
      <alignment horizontal="center"/>
    </xf>
    <xf numFmtId="0" fontId="31" fillId="0" borderId="0" xfId="0" applyFont="1" applyAlignment="1">
      <alignment horizontal="center"/>
    </xf>
    <xf numFmtId="1" fontId="31" fillId="0" borderId="0" xfId="0" applyNumberFormat="1" applyFont="1" applyAlignment="1">
      <alignment horizontal="center"/>
    </xf>
    <xf numFmtId="0" fontId="4" fillId="4" borderId="0" xfId="0" applyFont="1" applyFill="1"/>
    <xf numFmtId="0" fontId="31" fillId="0" borderId="0" xfId="0" applyFont="1"/>
    <xf numFmtId="0" fontId="68" fillId="0" borderId="0" xfId="0" applyFont="1"/>
    <xf numFmtId="0" fontId="4" fillId="13" borderId="0" xfId="0" applyFont="1" applyFill="1" applyAlignment="1">
      <alignment horizontal="center" wrapText="1"/>
    </xf>
    <xf numFmtId="0" fontId="70" fillId="0" borderId="0" xfId="0" applyFont="1" applyAlignment="1">
      <alignment horizontal="center"/>
    </xf>
    <xf numFmtId="1" fontId="15" fillId="0" borderId="0" xfId="0" applyNumberFormat="1" applyFont="1"/>
    <xf numFmtId="0" fontId="15" fillId="0" borderId="0" xfId="0" applyFont="1"/>
    <xf numFmtId="164" fontId="15" fillId="0" borderId="0" xfId="0" applyNumberFormat="1" applyFont="1"/>
    <xf numFmtId="165" fontId="15" fillId="0" borderId="0" xfId="0" applyNumberFormat="1" applyFont="1"/>
    <xf numFmtId="171" fontId="15" fillId="0" borderId="0" xfId="0" applyNumberFormat="1" applyFont="1"/>
    <xf numFmtId="1" fontId="0" fillId="0" borderId="0" xfId="0" applyNumberFormat="1"/>
    <xf numFmtId="164" fontId="0" fillId="0" borderId="0" xfId="0" applyNumberFormat="1"/>
    <xf numFmtId="1" fontId="0" fillId="0" borderId="0" xfId="0" applyNumberFormat="1" applyAlignment="1">
      <alignment horizontal="center"/>
    </xf>
    <xf numFmtId="179" fontId="0" fillId="0" borderId="0" xfId="0" applyNumberFormat="1" applyAlignment="1">
      <alignment horizontal="center"/>
    </xf>
    <xf numFmtId="180" fontId="0" fillId="0" borderId="0" xfId="0" applyNumberFormat="1" applyAlignment="1">
      <alignment horizontal="center"/>
    </xf>
    <xf numFmtId="181" fontId="0" fillId="0" borderId="0" xfId="0" applyNumberFormat="1" applyAlignment="1">
      <alignment horizontal="center"/>
    </xf>
    <xf numFmtId="0" fontId="0" fillId="0" borderId="0" xfId="0" applyAlignment="1">
      <alignment horizontal="center"/>
    </xf>
    <xf numFmtId="0" fontId="72" fillId="0" borderId="0" xfId="0" applyFont="1"/>
    <xf numFmtId="0" fontId="73" fillId="3" borderId="0" xfId="0" applyFont="1" applyFill="1"/>
    <xf numFmtId="0" fontId="74" fillId="0" borderId="0" xfId="0" applyFont="1"/>
    <xf numFmtId="0" fontId="73" fillId="0" borderId="0" xfId="0" applyFont="1"/>
    <xf numFmtId="0" fontId="75" fillId="0" borderId="0" xfId="0" applyFont="1"/>
    <xf numFmtId="0" fontId="76" fillId="0" borderId="0" xfId="0" applyFont="1"/>
    <xf numFmtId="49" fontId="0" fillId="22" borderId="0" xfId="0" applyNumberFormat="1" applyFill="1"/>
    <xf numFmtId="0" fontId="77" fillId="0" borderId="0" xfId="0" applyFont="1" applyAlignment="1">
      <alignment horizontal="center"/>
    </xf>
    <xf numFmtId="0" fontId="78" fillId="0" borderId="0" xfId="0" applyFont="1"/>
    <xf numFmtId="0" fontId="79" fillId="0" borderId="0" xfId="0" applyFont="1"/>
    <xf numFmtId="0" fontId="31" fillId="0" borderId="18" xfId="0" applyFont="1" applyBorder="1"/>
    <xf numFmtId="0" fontId="31" fillId="0" borderId="18" xfId="0" applyFont="1" applyBorder="1" applyAlignment="1">
      <alignment horizontal="center"/>
    </xf>
    <xf numFmtId="0" fontId="78" fillId="0" borderId="19" xfId="0" applyFont="1" applyBorder="1"/>
    <xf numFmtId="0" fontId="78" fillId="0" borderId="19" xfId="0" applyFont="1" applyBorder="1" applyAlignment="1">
      <alignment horizontal="center"/>
    </xf>
    <xf numFmtId="0" fontId="78" fillId="0" borderId="20" xfId="0" applyFont="1" applyBorder="1"/>
    <xf numFmtId="0" fontId="78" fillId="0" borderId="20" xfId="0" applyFont="1" applyBorder="1" applyAlignment="1">
      <alignment horizontal="center"/>
    </xf>
    <xf numFmtId="0" fontId="78" fillId="0" borderId="18" xfId="0" applyFont="1" applyBorder="1"/>
    <xf numFmtId="0" fontId="78" fillId="0" borderId="18" xfId="0" applyFont="1" applyBorder="1" applyAlignment="1">
      <alignment horizontal="center"/>
    </xf>
    <xf numFmtId="0" fontId="0" fillId="0" borderId="18" xfId="0" applyBorder="1" applyAlignment="1">
      <alignment horizontal="center"/>
    </xf>
    <xf numFmtId="0" fontId="0" fillId="0" borderId="0" xfId="0" applyAlignment="1">
      <alignment vertical="top"/>
    </xf>
    <xf numFmtId="0" fontId="80" fillId="0" borderId="0" xfId="0" applyFont="1" applyAlignment="1">
      <alignment vertical="top"/>
    </xf>
    <xf numFmtId="0" fontId="76" fillId="0" borderId="0" xfId="0" applyFont="1" applyAlignment="1">
      <alignment vertical="top"/>
    </xf>
    <xf numFmtId="0" fontId="31" fillId="0" borderId="0" xfId="0" applyFont="1" applyAlignment="1">
      <alignment vertical="top"/>
    </xf>
    <xf numFmtId="0" fontId="18" fillId="0" borderId="0" xfId="0" applyFont="1" applyAlignment="1">
      <alignment vertical="top"/>
    </xf>
    <xf numFmtId="0" fontId="78" fillId="0" borderId="0" xfId="0" applyFont="1" applyAlignment="1">
      <alignment vertical="top"/>
    </xf>
    <xf numFmtId="0" fontId="31" fillId="0" borderId="18" xfId="0" applyFont="1" applyBorder="1" applyAlignment="1">
      <alignment vertical="top"/>
    </xf>
    <xf numFmtId="0" fontId="31" fillId="0" borderId="18" xfId="0" applyFont="1" applyBorder="1" applyAlignment="1">
      <alignment horizontal="center" vertical="top"/>
    </xf>
    <xf numFmtId="0" fontId="78" fillId="0" borderId="19" xfId="0" applyFont="1" applyBorder="1" applyAlignment="1">
      <alignment vertical="top"/>
    </xf>
    <xf numFmtId="0" fontId="78" fillId="0" borderId="19" xfId="0" applyFont="1" applyBorder="1" applyAlignment="1">
      <alignment horizontal="center" vertical="top"/>
    </xf>
    <xf numFmtId="0" fontId="31" fillId="23" borderId="19" xfId="0" applyFont="1" applyFill="1" applyBorder="1" applyAlignment="1">
      <alignment vertical="top"/>
    </xf>
    <xf numFmtId="0" fontId="78" fillId="23" borderId="19" xfId="0" applyFont="1" applyFill="1" applyBorder="1" applyAlignment="1">
      <alignment vertical="top"/>
    </xf>
    <xf numFmtId="0" fontId="83" fillId="23" borderId="19" xfId="0" applyFont="1" applyFill="1" applyBorder="1" applyAlignment="1">
      <alignment horizontal="center" vertical="top"/>
    </xf>
    <xf numFmtId="0" fontId="31" fillId="0" borderId="33" xfId="0" applyFont="1" applyBorder="1" applyAlignment="1">
      <alignment vertical="top"/>
    </xf>
    <xf numFmtId="0" fontId="84" fillId="0" borderId="33" xfId="0" applyFont="1" applyBorder="1" applyAlignment="1">
      <alignment vertical="top"/>
    </xf>
    <xf numFmtId="0" fontId="31" fillId="0" borderId="33" xfId="0" applyFont="1" applyBorder="1" applyAlignment="1">
      <alignment horizontal="center" vertical="top"/>
    </xf>
    <xf numFmtId="0" fontId="31" fillId="23" borderId="0" xfId="0" applyFont="1" applyFill="1" applyAlignment="1">
      <alignment vertical="top"/>
    </xf>
    <xf numFmtId="0" fontId="81" fillId="24" borderId="0" xfId="0" applyFont="1" applyFill="1" applyAlignment="1">
      <alignment vertical="top"/>
    </xf>
    <xf numFmtId="0" fontId="0" fillId="24" borderId="0" xfId="0" applyFill="1" applyAlignment="1">
      <alignment vertical="top"/>
    </xf>
    <xf numFmtId="0" fontId="82" fillId="25" borderId="0" xfId="0" applyFont="1" applyFill="1" applyAlignment="1">
      <alignment vertical="top"/>
    </xf>
    <xf numFmtId="0" fontId="0" fillId="25" borderId="0" xfId="0" applyFill="1" applyAlignment="1">
      <alignment vertical="top"/>
    </xf>
    <xf numFmtId="0" fontId="31" fillId="25" borderId="0" xfId="0" applyFont="1" applyFill="1" applyAlignment="1">
      <alignment vertical="top"/>
    </xf>
    <xf numFmtId="0" fontId="0" fillId="24" borderId="0" xfId="0" applyFill="1" applyAlignment="1">
      <alignment vertical="top" wrapText="1"/>
    </xf>
    <xf numFmtId="0" fontId="0" fillId="25" borderId="0" xfId="0" applyFill="1" applyAlignment="1">
      <alignment vertical="top" wrapText="1"/>
    </xf>
    <xf numFmtId="0" fontId="0" fillId="0" borderId="0" xfId="0" applyAlignment="1">
      <alignment vertical="top" wrapText="1"/>
    </xf>
    <xf numFmtId="0" fontId="78" fillId="0" borderId="0" xfId="0" applyFont="1" applyAlignment="1">
      <alignment vertical="top" wrapText="1"/>
    </xf>
    <xf numFmtId="0" fontId="78" fillId="23" borderId="0" xfId="0" applyFont="1" applyFill="1" applyAlignment="1">
      <alignment vertical="top" wrapText="1"/>
    </xf>
    <xf numFmtId="49" fontId="39" fillId="10" borderId="5" xfId="0" applyNumberFormat="1" applyFont="1" applyFill="1" applyBorder="1" applyAlignment="1">
      <alignment horizontal="center"/>
    </xf>
    <xf numFmtId="0" fontId="86" fillId="0" borderId="0" xfId="0" applyFont="1"/>
    <xf numFmtId="49" fontId="31" fillId="0" borderId="0" xfId="0" applyNumberFormat="1" applyFont="1"/>
    <xf numFmtId="1" fontId="88" fillId="10" borderId="7" xfId="0" applyNumberFormat="1" applyFont="1" applyFill="1" applyBorder="1" applyAlignment="1">
      <alignment horizontal="center"/>
    </xf>
    <xf numFmtId="0" fontId="89" fillId="26" borderId="22" xfId="0" applyFont="1" applyFill="1" applyBorder="1"/>
    <xf numFmtId="0" fontId="90" fillId="28" borderId="22" xfId="0" applyFont="1" applyFill="1" applyBorder="1" applyAlignment="1">
      <alignment horizontal="center"/>
    </xf>
    <xf numFmtId="0" fontId="90" fillId="28" borderId="0" xfId="0" applyFont="1" applyFill="1" applyAlignment="1">
      <alignment horizontal="center"/>
    </xf>
    <xf numFmtId="0" fontId="91" fillId="0" borderId="22" xfId="0" applyFont="1" applyBorder="1"/>
    <xf numFmtId="0" fontId="92" fillId="29" borderId="0" xfId="0" applyFont="1" applyFill="1" applyAlignment="1">
      <alignment horizontal="center"/>
    </xf>
    <xf numFmtId="0" fontId="93" fillId="29" borderId="0" xfId="0" applyFont="1" applyFill="1"/>
    <xf numFmtId="0" fontId="0" fillId="0" borderId="22" xfId="0" applyBorder="1"/>
    <xf numFmtId="0" fontId="97" fillId="26" borderId="22" xfId="0" applyFont="1" applyFill="1" applyBorder="1"/>
    <xf numFmtId="0" fontId="97" fillId="26" borderId="0" xfId="0" applyFont="1" applyFill="1"/>
    <xf numFmtId="0" fontId="99" fillId="29" borderId="22" xfId="0" applyFont="1" applyFill="1" applyBorder="1"/>
    <xf numFmtId="0" fontId="99" fillId="29" borderId="0" xfId="0" applyFont="1" applyFill="1"/>
    <xf numFmtId="0" fontId="97" fillId="26" borderId="19" xfId="0" applyFont="1" applyFill="1" applyBorder="1" applyAlignment="1">
      <alignment horizontal="center"/>
    </xf>
    <xf numFmtId="0" fontId="100" fillId="0" borderId="0" xfId="0" applyFont="1" applyAlignment="1">
      <alignment horizontal="center"/>
    </xf>
    <xf numFmtId="172" fontId="99" fillId="29" borderId="19" xfId="0" applyNumberFormat="1" applyFont="1" applyFill="1" applyBorder="1" applyAlignment="1">
      <alignment horizontal="center"/>
    </xf>
    <xf numFmtId="0" fontId="99" fillId="29" borderId="19" xfId="0" applyFont="1" applyFill="1" applyBorder="1" applyAlignment="1">
      <alignment horizontal="center"/>
    </xf>
    <xf numFmtId="0" fontId="100" fillId="0" borderId="19" xfId="0" applyFont="1" applyBorder="1" applyAlignment="1">
      <alignment horizontal="center"/>
    </xf>
    <xf numFmtId="0" fontId="101" fillId="0" borderId="0" xfId="0" applyFont="1"/>
    <xf numFmtId="0" fontId="97" fillId="26" borderId="4" xfId="0" applyFont="1" applyFill="1" applyBorder="1" applyAlignment="1">
      <alignment horizontal="center"/>
    </xf>
    <xf numFmtId="0" fontId="99" fillId="29" borderId="7" xfId="0" applyFont="1" applyFill="1" applyBorder="1" applyAlignment="1">
      <alignment horizontal="left"/>
    </xf>
    <xf numFmtId="0" fontId="99" fillId="29" borderId="7" xfId="0" applyFont="1" applyFill="1" applyBorder="1" applyAlignment="1">
      <alignment horizontal="center"/>
    </xf>
    <xf numFmtId="165" fontId="99" fillId="29" borderId="7" xfId="0" applyNumberFormat="1" applyFont="1" applyFill="1" applyBorder="1" applyAlignment="1">
      <alignment horizontal="center"/>
    </xf>
    <xf numFmtId="0" fontId="99" fillId="29" borderId="10" xfId="0" applyFont="1" applyFill="1" applyBorder="1" applyAlignment="1">
      <alignment horizontal="left"/>
    </xf>
    <xf numFmtId="0" fontId="99" fillId="29" borderId="10" xfId="0" applyFont="1" applyFill="1" applyBorder="1" applyAlignment="1">
      <alignment horizontal="center"/>
    </xf>
    <xf numFmtId="165" fontId="99" fillId="29" borderId="10" xfId="0" applyNumberFormat="1" applyFont="1" applyFill="1" applyBorder="1" applyAlignment="1">
      <alignment horizontal="center"/>
    </xf>
    <xf numFmtId="0" fontId="101" fillId="0" borderId="7" xfId="0" applyFont="1" applyBorder="1" applyAlignment="1">
      <alignment horizontal="center"/>
    </xf>
    <xf numFmtId="0" fontId="101" fillId="0" borderId="10" xfId="0" applyFont="1" applyBorder="1" applyAlignment="1">
      <alignment horizontal="center"/>
    </xf>
    <xf numFmtId="0" fontId="100" fillId="0" borderId="7" xfId="0" applyFont="1" applyBorder="1" applyAlignment="1">
      <alignment horizontal="center"/>
    </xf>
    <xf numFmtId="0" fontId="100" fillId="0" borderId="10" xfId="0" applyFont="1" applyBorder="1" applyAlignment="1">
      <alignment horizontal="center"/>
    </xf>
    <xf numFmtId="0" fontId="102" fillId="31" borderId="20" xfId="0" applyFont="1" applyFill="1" applyBorder="1" applyAlignment="1">
      <alignment horizontal="center"/>
    </xf>
    <xf numFmtId="0" fontId="97" fillId="26" borderId="38" xfId="0" applyFont="1" applyFill="1" applyBorder="1" applyAlignment="1">
      <alignment horizontal="center"/>
    </xf>
    <xf numFmtId="0" fontId="97" fillId="26" borderId="8" xfId="0" applyFont="1" applyFill="1" applyBorder="1" applyAlignment="1">
      <alignment horizontal="center"/>
    </xf>
    <xf numFmtId="165" fontId="102" fillId="31" borderId="20" xfId="0" applyNumberFormat="1" applyFont="1" applyFill="1" applyBorder="1" applyAlignment="1">
      <alignment horizontal="center"/>
    </xf>
    <xf numFmtId="0" fontId="101" fillId="31" borderId="10" xfId="0" applyFont="1" applyFill="1" applyBorder="1" applyAlignment="1">
      <alignment horizontal="center"/>
    </xf>
    <xf numFmtId="0" fontId="97" fillId="26" borderId="39" xfId="0" applyFont="1" applyFill="1" applyBorder="1" applyAlignment="1">
      <alignment horizontal="center"/>
    </xf>
    <xf numFmtId="0" fontId="97" fillId="26" borderId="7" xfId="0" applyFont="1" applyFill="1" applyBorder="1" applyAlignment="1">
      <alignment horizontal="center"/>
    </xf>
    <xf numFmtId="172" fontId="65" fillId="0" borderId="7" xfId="0" applyNumberFormat="1" applyFont="1" applyBorder="1" applyAlignment="1">
      <alignment horizontal="center"/>
    </xf>
    <xf numFmtId="1" fontId="97" fillId="26" borderId="7" xfId="0" applyNumberFormat="1" applyFont="1" applyFill="1" applyBorder="1" applyAlignment="1">
      <alignment horizontal="center"/>
    </xf>
    <xf numFmtId="0" fontId="97" fillId="26" borderId="7" xfId="0" applyFont="1" applyFill="1" applyBorder="1" applyAlignment="1">
      <alignment horizontal="center" vertical="top"/>
    </xf>
    <xf numFmtId="173" fontId="103" fillId="0" borderId="7" xfId="0" applyNumberFormat="1" applyFont="1" applyBorder="1" applyAlignment="1">
      <alignment horizontal="center"/>
    </xf>
    <xf numFmtId="169" fontId="100" fillId="0" borderId="7" xfId="0" applyNumberFormat="1" applyFont="1" applyBorder="1" applyAlignment="1">
      <alignment horizontal="center"/>
    </xf>
    <xf numFmtId="0" fontId="103" fillId="0" borderId="7" xfId="0" applyFont="1" applyBorder="1" applyAlignment="1">
      <alignment horizontal="center"/>
    </xf>
    <xf numFmtId="173" fontId="103" fillId="3" borderId="7" xfId="0" applyNumberFormat="1" applyFont="1" applyFill="1" applyBorder="1" applyAlignment="1">
      <alignment horizontal="center"/>
    </xf>
    <xf numFmtId="169" fontId="100" fillId="3" borderId="7" xfId="0" applyNumberFormat="1" applyFont="1" applyFill="1" applyBorder="1" applyAlignment="1">
      <alignment horizontal="center"/>
    </xf>
    <xf numFmtId="0" fontId="103" fillId="3" borderId="7" xfId="0" applyFont="1" applyFill="1" applyBorder="1" applyAlignment="1">
      <alignment horizontal="center"/>
    </xf>
    <xf numFmtId="0" fontId="100" fillId="3" borderId="7" xfId="0" applyFont="1" applyFill="1" applyBorder="1" applyAlignment="1">
      <alignment horizontal="center"/>
    </xf>
    <xf numFmtId="0" fontId="100" fillId="0" borderId="7" xfId="0" applyFont="1" applyBorder="1" applyAlignment="1">
      <alignment horizontal="left"/>
    </xf>
    <xf numFmtId="0" fontId="100" fillId="3" borderId="7" xfId="0" applyFont="1" applyFill="1" applyBorder="1" applyAlignment="1">
      <alignment horizontal="left"/>
    </xf>
    <xf numFmtId="1" fontId="22" fillId="2" borderId="4" xfId="0" applyNumberFormat="1" applyFont="1" applyFill="1" applyBorder="1" applyAlignment="1">
      <alignment horizontal="center"/>
    </xf>
    <xf numFmtId="0" fontId="66" fillId="10" borderId="4" xfId="0" applyFont="1" applyFill="1" applyBorder="1" applyAlignment="1">
      <alignment horizontal="left" vertical="top"/>
    </xf>
    <xf numFmtId="165" fontId="103" fillId="0" borderId="7" xfId="0" applyNumberFormat="1" applyFont="1" applyBorder="1" applyAlignment="1">
      <alignment horizontal="center"/>
    </xf>
    <xf numFmtId="0" fontId="104" fillId="26" borderId="0" xfId="0" applyFont="1" applyFill="1"/>
    <xf numFmtId="0" fontId="105" fillId="0" borderId="0" xfId="0" applyFont="1"/>
    <xf numFmtId="165" fontId="100" fillId="0" borderId="7" xfId="0" applyNumberFormat="1" applyFont="1" applyBorder="1" applyAlignment="1">
      <alignment horizontal="center"/>
    </xf>
    <xf numFmtId="165" fontId="100" fillId="3" borderId="7" xfId="0" applyNumberFormat="1" applyFont="1" applyFill="1" applyBorder="1" applyAlignment="1">
      <alignment horizontal="center"/>
    </xf>
    <xf numFmtId="172" fontId="65" fillId="0" borderId="4" xfId="0" applyNumberFormat="1" applyFont="1" applyBorder="1" applyAlignment="1">
      <alignment horizontal="center"/>
    </xf>
    <xf numFmtId="0" fontId="106" fillId="10" borderId="0" xfId="0" applyFont="1" applyFill="1" applyAlignment="1">
      <alignment horizontal="center"/>
    </xf>
    <xf numFmtId="165" fontId="106" fillId="10" borderId="0" xfId="0" applyNumberFormat="1" applyFont="1" applyFill="1" applyAlignment="1">
      <alignment horizontal="center"/>
    </xf>
    <xf numFmtId="0" fontId="98" fillId="0" borderId="7" xfId="0" applyFont="1" applyBorder="1" applyAlignment="1">
      <alignment horizontal="center"/>
    </xf>
    <xf numFmtId="0" fontId="98" fillId="0" borderId="7" xfId="0" applyFont="1" applyBorder="1" applyAlignment="1">
      <alignment horizontal="left"/>
    </xf>
    <xf numFmtId="165" fontId="98" fillId="0" borderId="7" xfId="0" applyNumberFormat="1" applyFont="1" applyBorder="1" applyAlignment="1">
      <alignment horizontal="center"/>
    </xf>
    <xf numFmtId="1" fontId="103" fillId="0" borderId="7" xfId="0" applyNumberFormat="1" applyFont="1" applyBorder="1" applyAlignment="1">
      <alignment horizontal="center"/>
    </xf>
    <xf numFmtId="0" fontId="103" fillId="0" borderId="7" xfId="0" applyFont="1" applyBorder="1" applyAlignment="1">
      <alignment horizontal="center" vertical="top"/>
    </xf>
    <xf numFmtId="172" fontId="100" fillId="0" borderId="7" xfId="0" applyNumberFormat="1" applyFont="1" applyBorder="1" applyAlignment="1">
      <alignment horizontal="center"/>
    </xf>
    <xf numFmtId="0" fontId="103" fillId="0" borderId="7" xfId="0" applyFont="1" applyBorder="1" applyAlignment="1">
      <alignment horizontal="left"/>
    </xf>
    <xf numFmtId="0" fontId="67" fillId="0" borderId="0" xfId="0" applyFont="1" applyAlignment="1">
      <alignment vertical="top" wrapText="1"/>
    </xf>
    <xf numFmtId="0" fontId="24" fillId="26" borderId="0" xfId="0" applyFont="1" applyFill="1"/>
    <xf numFmtId="0" fontId="70" fillId="0" borderId="0" xfId="0" applyFont="1" applyAlignment="1">
      <alignment horizontal="right"/>
    </xf>
    <xf numFmtId="0" fontId="4" fillId="13" borderId="22" xfId="0" applyFont="1" applyFill="1" applyBorder="1" applyAlignment="1">
      <alignment horizontal="right" wrapText="1"/>
    </xf>
    <xf numFmtId="0" fontId="14" fillId="26" borderId="5" xfId="0" applyFont="1" applyFill="1" applyBorder="1" applyAlignment="1">
      <alignment horizontal="center" wrapText="1"/>
    </xf>
    <xf numFmtId="0" fontId="14" fillId="26" borderId="22" xfId="0" applyFont="1" applyFill="1" applyBorder="1" applyAlignment="1">
      <alignment horizontal="center" wrapText="1"/>
    </xf>
    <xf numFmtId="0" fontId="32" fillId="29" borderId="0" xfId="0" applyFont="1" applyFill="1" applyAlignment="1">
      <alignment horizontal="center"/>
    </xf>
    <xf numFmtId="0" fontId="32" fillId="32" borderId="0" xfId="0" applyFont="1" applyFill="1" applyAlignment="1">
      <alignment horizontal="center"/>
    </xf>
    <xf numFmtId="0" fontId="6" fillId="30" borderId="0" xfId="0" applyFont="1" applyFill="1"/>
    <xf numFmtId="0" fontId="14" fillId="26" borderId="0" xfId="0" applyFont="1" applyFill="1" applyAlignment="1">
      <alignment horizontal="center"/>
    </xf>
    <xf numFmtId="0" fontId="24" fillId="26" borderId="0" xfId="0" applyFont="1" applyFill="1" applyAlignment="1">
      <alignment horizontal="center"/>
    </xf>
    <xf numFmtId="169" fontId="0" fillId="0" borderId="0" xfId="0" applyNumberFormat="1" applyAlignment="1">
      <alignment horizontal="center"/>
    </xf>
    <xf numFmtId="168" fontId="0" fillId="0" borderId="0" xfId="0" applyNumberFormat="1" applyAlignment="1">
      <alignment horizontal="center"/>
    </xf>
    <xf numFmtId="0" fontId="22" fillId="30" borderId="0" xfId="0" applyFont="1" applyFill="1"/>
    <xf numFmtId="0" fontId="14" fillId="2" borderId="0" xfId="0" applyFont="1" applyFill="1" applyAlignment="1">
      <alignment horizontal="center"/>
    </xf>
    <xf numFmtId="0" fontId="4" fillId="13" borderId="0" xfId="0" applyFont="1" applyFill="1"/>
    <xf numFmtId="0" fontId="6" fillId="4" borderId="0" xfId="0" applyFont="1" applyFill="1"/>
    <xf numFmtId="0" fontId="6" fillId="4" borderId="18" xfId="0" applyFont="1" applyFill="1" applyBorder="1"/>
    <xf numFmtId="0" fontId="14" fillId="2" borderId="20" xfId="0" applyFont="1" applyFill="1" applyBorder="1" applyAlignment="1">
      <alignment horizontal="center"/>
    </xf>
    <xf numFmtId="0" fontId="45" fillId="20" borderId="18" xfId="0" applyFont="1" applyFill="1" applyBorder="1" applyAlignment="1">
      <alignment horizontal="center"/>
    </xf>
    <xf numFmtId="0" fontId="6" fillId="4" borderId="0" xfId="0" applyFont="1" applyFill="1" applyAlignment="1">
      <alignment horizontal="left"/>
    </xf>
    <xf numFmtId="0" fontId="6" fillId="13" borderId="0" xfId="0" applyFont="1" applyFill="1"/>
    <xf numFmtId="0" fontId="85" fillId="26" borderId="23" xfId="0" applyFont="1" applyFill="1" applyBorder="1" applyAlignment="1">
      <alignment horizontal="center" vertical="center"/>
    </xf>
    <xf numFmtId="0" fontId="85" fillId="26" borderId="24" xfId="0" applyFont="1" applyFill="1" applyBorder="1" applyAlignment="1">
      <alignment horizontal="center" vertical="center"/>
    </xf>
    <xf numFmtId="0" fontId="85" fillId="26" borderId="25" xfId="0" applyFont="1" applyFill="1" applyBorder="1" applyAlignment="1">
      <alignment horizontal="center" vertical="center"/>
    </xf>
    <xf numFmtId="0" fontId="87" fillId="27" borderId="34" xfId="0" applyFont="1" applyFill="1" applyBorder="1" applyAlignment="1">
      <alignment horizontal="center" vertical="center"/>
    </xf>
    <xf numFmtId="0" fontId="87" fillId="27" borderId="35" xfId="0" applyFont="1" applyFill="1" applyBorder="1" applyAlignment="1">
      <alignment horizontal="center" vertical="center"/>
    </xf>
    <xf numFmtId="0" fontId="87" fillId="27" borderId="36" xfId="0" applyFont="1" applyFill="1" applyBorder="1" applyAlignment="1">
      <alignment horizontal="center" vertical="center"/>
    </xf>
    <xf numFmtId="0" fontId="14" fillId="13" borderId="20" xfId="0" applyFont="1" applyFill="1" applyBorder="1"/>
    <xf numFmtId="0" fontId="16" fillId="0" borderId="29" xfId="0" applyFont="1" applyBorder="1"/>
    <xf numFmtId="0" fontId="14" fillId="13" borderId="19" xfId="0" applyFont="1" applyFill="1" applyBorder="1"/>
    <xf numFmtId="0" fontId="16" fillId="0" borderId="27" xfId="0" applyFont="1" applyBorder="1"/>
    <xf numFmtId="0" fontId="16" fillId="0" borderId="19" xfId="0" applyFont="1" applyBorder="1"/>
    <xf numFmtId="0" fontId="14" fillId="13" borderId="18" xfId="0" applyFont="1" applyFill="1" applyBorder="1"/>
    <xf numFmtId="0" fontId="16" fillId="0" borderId="26" xfId="0" applyFont="1" applyBorder="1"/>
    <xf numFmtId="0" fontId="16" fillId="0" borderId="18" xfId="0" applyFont="1" applyBorder="1"/>
    <xf numFmtId="0" fontId="1" fillId="0" borderId="0" xfId="0" applyFont="1"/>
    <xf numFmtId="0" fontId="2" fillId="0" borderId="0" xfId="0" applyFont="1"/>
    <xf numFmtId="0" fontId="6" fillId="4" borderId="0" xfId="0" applyFont="1" applyFill="1" applyAlignment="1">
      <alignment horizontal="center"/>
    </xf>
    <xf numFmtId="0" fontId="96" fillId="30" borderId="0" xfId="0" applyFont="1" applyFill="1"/>
    <xf numFmtId="0" fontId="107" fillId="0" borderId="0" xfId="0" applyFont="1"/>
    <xf numFmtId="0" fontId="0" fillId="0" borderId="0" xfId="0"/>
    <xf numFmtId="0" fontId="14" fillId="9" borderId="6" xfId="0" applyFont="1" applyFill="1" applyBorder="1"/>
    <xf numFmtId="0" fontId="16" fillId="0" borderId="9" xfId="0" applyFont="1" applyBorder="1"/>
    <xf numFmtId="0" fontId="17" fillId="10" borderId="0" xfId="0" applyFont="1" applyFill="1" applyAlignment="1">
      <alignment horizontal="center"/>
    </xf>
    <xf numFmtId="0" fontId="16" fillId="0" borderId="0" xfId="0" applyFont="1"/>
    <xf numFmtId="0" fontId="14" fillId="5" borderId="6" xfId="0" applyFont="1" applyFill="1" applyBorder="1"/>
    <xf numFmtId="0" fontId="14" fillId="4" borderId="6" xfId="0" applyFont="1" applyFill="1" applyBorder="1"/>
    <xf numFmtId="0" fontId="14" fillId="6" borderId="6" xfId="0" applyFont="1" applyFill="1" applyBorder="1"/>
    <xf numFmtId="0" fontId="14" fillId="7" borderId="6" xfId="0" applyFont="1" applyFill="1" applyBorder="1"/>
    <xf numFmtId="0" fontId="14" fillId="8" borderId="6" xfId="0" applyFont="1" applyFill="1" applyBorder="1"/>
    <xf numFmtId="0" fontId="5" fillId="3" borderId="1" xfId="0" applyFont="1" applyFill="1" applyBorder="1" applyAlignment="1">
      <alignment horizontal="center" vertical="center"/>
    </xf>
    <xf numFmtId="1" fontId="5" fillId="3" borderId="2" xfId="0" applyNumberFormat="1" applyFont="1" applyFill="1" applyBorder="1" applyAlignment="1">
      <alignment horizontal="center" vertical="center"/>
    </xf>
    <xf numFmtId="0" fontId="4" fillId="2" borderId="3" xfId="0" applyFont="1" applyFill="1" applyBorder="1" applyAlignment="1">
      <alignment horizontal="center" wrapText="1"/>
    </xf>
    <xf numFmtId="164"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0" fontId="3" fillId="2" borderId="0" xfId="0" applyFont="1" applyFill="1" applyAlignment="1">
      <alignment horizontal="center"/>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33" fillId="0" borderId="7" xfId="0" applyFont="1" applyBorder="1" applyAlignment="1">
      <alignment vertical="top" wrapText="1"/>
    </xf>
    <xf numFmtId="0" fontId="25" fillId="4" borderId="7" xfId="0" applyFont="1" applyFill="1" applyBorder="1" applyAlignment="1">
      <alignment horizontal="left"/>
    </xf>
    <xf numFmtId="0" fontId="36" fillId="18" borderId="7" xfId="0" applyFont="1" applyFill="1" applyBorder="1" applyAlignment="1">
      <alignment vertical="top" wrapText="1"/>
    </xf>
    <xf numFmtId="0" fontId="0" fillId="0" borderId="7" xfId="0" applyBorder="1" applyAlignment="1">
      <alignment horizontal="left"/>
    </xf>
    <xf numFmtId="0" fontId="30" fillId="0" borderId="7" xfId="0" applyFont="1" applyBorder="1" applyAlignment="1">
      <alignment horizontal="center" vertical="center" textRotation="90"/>
    </xf>
    <xf numFmtId="0" fontId="0" fillId="17" borderId="7" xfId="0" applyFill="1" applyBorder="1" applyAlignment="1">
      <alignment horizontal="center"/>
    </xf>
    <xf numFmtId="171" fontId="22" fillId="4" borderId="16" xfId="0" applyNumberFormat="1" applyFont="1" applyFill="1" applyBorder="1" applyAlignment="1">
      <alignment horizontal="center"/>
    </xf>
    <xf numFmtId="0" fontId="0" fillId="4" borderId="7" xfId="0" applyFill="1" applyBorder="1" applyAlignment="1">
      <alignment horizontal="center"/>
    </xf>
    <xf numFmtId="0" fontId="19" fillId="4" borderId="13" xfId="0" applyFont="1" applyFill="1" applyBorder="1" applyAlignment="1">
      <alignment horizontal="center" vertical="center"/>
    </xf>
    <xf numFmtId="0" fontId="21" fillId="4" borderId="14" xfId="0" applyFont="1" applyFill="1" applyBorder="1" applyAlignment="1">
      <alignment horizontal="center" vertical="center"/>
    </xf>
    <xf numFmtId="171" fontId="22" fillId="4" borderId="15" xfId="0" applyNumberFormat="1" applyFont="1" applyFill="1" applyBorder="1" applyAlignment="1">
      <alignment horizontal="center"/>
    </xf>
    <xf numFmtId="0" fontId="28" fillId="4" borderId="7" xfId="0" applyFont="1" applyFill="1" applyBorder="1" applyAlignment="1">
      <alignment horizontal="center" vertical="center" textRotation="90"/>
    </xf>
    <xf numFmtId="171" fontId="4" fillId="13" borderId="18" xfId="0" applyNumberFormat="1" applyFont="1" applyFill="1" applyBorder="1" applyAlignment="1">
      <alignment horizontal="center"/>
    </xf>
    <xf numFmtId="0" fontId="14" fillId="13" borderId="4" xfId="0" applyFont="1" applyFill="1" applyBorder="1"/>
    <xf numFmtId="0" fontId="15" fillId="0" borderId="7" xfId="0" applyFont="1" applyBorder="1"/>
    <xf numFmtId="0" fontId="15" fillId="3" borderId="7" xfId="0" applyFont="1" applyFill="1" applyBorder="1"/>
    <xf numFmtId="0" fontId="15" fillId="3" borderId="10" xfId="0" applyFont="1" applyFill="1" applyBorder="1"/>
    <xf numFmtId="0" fontId="15" fillId="0" borderId="10" xfId="0" applyFont="1" applyBorder="1"/>
    <xf numFmtId="0" fontId="44" fillId="10" borderId="0" xfId="0" applyFont="1" applyFill="1" applyAlignment="1">
      <alignment horizontal="center"/>
    </xf>
    <xf numFmtId="0" fontId="45" fillId="0" borderId="0" xfId="0" applyFont="1" applyAlignment="1">
      <alignment horizontal="center"/>
    </xf>
    <xf numFmtId="0" fontId="38" fillId="10" borderId="0" xfId="0" applyFont="1" applyFill="1" applyAlignment="1">
      <alignment horizontal="center"/>
    </xf>
    <xf numFmtId="0" fontId="14" fillId="2" borderId="3" xfId="0" applyFont="1" applyFill="1" applyBorder="1" applyAlignment="1">
      <alignment horizontal="center" vertical="center" wrapText="1"/>
    </xf>
    <xf numFmtId="0" fontId="14" fillId="13" borderId="6" xfId="0" applyFont="1" applyFill="1" applyBorder="1" applyAlignment="1">
      <alignment horizontal="center" vertical="center" wrapText="1"/>
    </xf>
    <xf numFmtId="171" fontId="41" fillId="10" borderId="0" xfId="0" applyNumberFormat="1" applyFont="1" applyFill="1" applyAlignment="1">
      <alignment horizontal="center"/>
    </xf>
    <xf numFmtId="172" fontId="38" fillId="10" borderId="0" xfId="0" applyNumberFormat="1" applyFont="1" applyFill="1" applyAlignment="1">
      <alignment horizontal="center"/>
    </xf>
    <xf numFmtId="0" fontId="40" fillId="0" borderId="0" xfId="0" applyFont="1" applyAlignment="1">
      <alignment horizontal="center"/>
    </xf>
    <xf numFmtId="0" fontId="4" fillId="2" borderId="0" xfId="0" applyFont="1" applyFill="1" applyAlignment="1">
      <alignment horizontal="center"/>
    </xf>
    <xf numFmtId="0" fontId="6" fillId="2" borderId="0" xfId="0" applyFont="1" applyFill="1" applyAlignment="1">
      <alignment horizontal="center"/>
    </xf>
    <xf numFmtId="0" fontId="99" fillId="29" borderId="38" xfId="0" applyFont="1" applyFill="1" applyBorder="1" applyAlignment="1">
      <alignment horizontal="left"/>
    </xf>
    <xf numFmtId="0" fontId="99" fillId="29" borderId="37" xfId="0" applyFont="1" applyFill="1" applyBorder="1" applyAlignment="1">
      <alignment horizontal="center"/>
    </xf>
    <xf numFmtId="0" fontId="99" fillId="29" borderId="40" xfId="0" applyFont="1" applyFill="1" applyBorder="1" applyAlignment="1">
      <alignment horizontal="center"/>
    </xf>
    <xf numFmtId="0" fontId="99" fillId="29" borderId="8" xfId="0" applyFont="1" applyFill="1" applyBorder="1" applyAlignment="1">
      <alignment horizontal="left"/>
    </xf>
    <xf numFmtId="0" fontId="99" fillId="29" borderId="19" xfId="0" applyFont="1" applyFill="1" applyBorder="1" applyAlignment="1">
      <alignment horizontal="center"/>
    </xf>
    <xf numFmtId="0" fontId="99" fillId="29" borderId="6" xfId="0" applyFont="1" applyFill="1" applyBorder="1" applyAlignment="1">
      <alignment horizontal="center"/>
    </xf>
    <xf numFmtId="0" fontId="22" fillId="4" borderId="0" xfId="0" applyFont="1" applyFill="1"/>
    <xf numFmtId="0" fontId="22" fillId="4" borderId="21" xfId="0" applyFont="1" applyFill="1" applyBorder="1"/>
    <xf numFmtId="0" fontId="96" fillId="30" borderId="18" xfId="0" applyFont="1" applyFill="1" applyBorder="1"/>
    <xf numFmtId="0" fontId="99" fillId="29" borderId="37" xfId="0" applyFont="1" applyFill="1" applyBorder="1" applyAlignment="1">
      <alignment horizontal="left"/>
    </xf>
    <xf numFmtId="0" fontId="99" fillId="29" borderId="19" xfId="0" applyFont="1" applyFill="1" applyBorder="1" applyAlignment="1">
      <alignment horizontal="left"/>
    </xf>
    <xf numFmtId="0" fontId="64" fillId="0" borderId="7" xfId="0" applyFont="1" applyBorder="1"/>
    <xf numFmtId="0" fontId="65" fillId="3" borderId="7" xfId="0" applyFont="1" applyFill="1" applyBorder="1" applyAlignment="1">
      <alignment horizontal="center"/>
    </xf>
    <xf numFmtId="0" fontId="65" fillId="20" borderId="7" xfId="0" applyFont="1" applyFill="1" applyBorder="1" applyAlignment="1">
      <alignment horizontal="center"/>
    </xf>
    <xf numFmtId="0" fontId="69" fillId="0" borderId="7" xfId="0" applyFont="1" applyBorder="1" applyAlignment="1">
      <alignment vertical="top" wrapText="1"/>
    </xf>
    <xf numFmtId="0" fontId="96" fillId="30" borderId="22" xfId="0" applyFont="1" applyFill="1" applyBorder="1"/>
    <xf numFmtId="0" fontId="61" fillId="0" borderId="0" xfId="0" applyFont="1"/>
    <xf numFmtId="0" fontId="62" fillId="0" borderId="0" xfId="0" applyFont="1"/>
    <xf numFmtId="0" fontId="63" fillId="0" borderId="0" xfId="0" applyFont="1"/>
    <xf numFmtId="0" fontId="22" fillId="4" borderId="18" xfId="0" applyFont="1" applyFill="1" applyBorder="1"/>
    <xf numFmtId="177" fontId="65" fillId="20" borderId="7" xfId="0" applyNumberFormat="1" applyFont="1" applyFill="1" applyBorder="1" applyAlignment="1">
      <alignment horizontal="center"/>
    </xf>
    <xf numFmtId="0" fontId="4" fillId="4" borderId="0" xfId="0" applyFont="1" applyFill="1"/>
    <xf numFmtId="0" fontId="48" fillId="33" borderId="0" xfId="0" applyFont="1" applyFill="1"/>
    <xf numFmtId="3" fontId="0" fillId="0" borderId="0" xfId="0" applyNumberFormat="1" applyAlignment="1">
      <alignment horizontal="center"/>
    </xf>
    <xf numFmtId="3" fontId="31" fillId="0" borderId="0" xfId="0" applyNumberFormat="1" applyFont="1" applyAlignment="1">
      <alignment horizontal="center"/>
    </xf>
  </cellXfs>
  <cellStyles count="2">
    <cellStyle name="Hyperlink" xfId="1" builtinId="8"/>
    <cellStyle name="Normal" xfId="0" builtinId="0"/>
  </cellStyles>
  <dxfs count="58">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sz val="11"/>
        <color rgb="FF000000"/>
        <name val="Aptos Narrow"/>
        <family val="2"/>
        <charset val="1"/>
      </font>
      <alignment horizontal="general" vertical="bottom" textRotation="0" wrapText="0" indent="0" shrinkToFit="0"/>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EAF3E7"/>
      </font>
      <fill>
        <patternFill patternType="solid">
          <fgColor indexed="64"/>
          <bgColor rgb="FFEAF3E7"/>
        </patternFill>
      </fill>
      <border>
        <bottom style="thin">
          <color rgb="FFEAF3E7"/>
        </bottom>
      </border>
    </dxf>
    <dxf>
      <font>
        <b/>
        <color rgb="FF9C0006"/>
      </font>
    </dxf>
    <dxf>
      <font>
        <b/>
        <color rgb="FF404040"/>
      </font>
      <fill>
        <patternFill>
          <bgColor rgb="FFE7E6E6"/>
        </patternFill>
      </fill>
    </dxf>
    <dxf>
      <font>
        <b/>
        <color rgb="FF9C6500"/>
      </font>
      <fill>
        <patternFill>
          <bgColor rgb="FFFFEB9C"/>
        </patternFill>
      </fill>
    </dxf>
    <dxf>
      <font>
        <b/>
        <color rgb="FF9C0006"/>
      </font>
      <fill>
        <patternFill>
          <bgColor rgb="FFFFC7CE"/>
        </patternFill>
      </fill>
    </dxf>
    <dxf>
      <fill>
        <patternFill patternType="solid">
          <fgColor indexed="64"/>
          <bgColor rgb="FFD9D9D9"/>
        </patternFill>
      </fill>
    </dxf>
    <dxf>
      <font>
        <sz val="11"/>
        <color rgb="FF000000"/>
        <name val="Aptos Narrow"/>
        <family val="2"/>
        <charset val="1"/>
      </font>
      <alignment horizontal="general" vertical="bottom" textRotation="0" wrapText="0" indent="0" shrinkToFit="0"/>
    </dxf>
    <dxf>
      <font>
        <color rgb="FFFFFFFF"/>
      </font>
      <fill>
        <patternFill>
          <bgColor theme="9" tint="-0.499984740745262"/>
        </patternFill>
      </fill>
    </dxf>
    <dxf>
      <font>
        <color rgb="FF006100"/>
      </font>
      <fill>
        <patternFill>
          <bgColor rgb="FFC6EFCE"/>
        </patternFill>
      </fill>
    </dxf>
    <dxf>
      <font>
        <color rgb="FFFFFFFF"/>
      </font>
      <fill>
        <patternFill>
          <bgColor theme="9" tint="-0.499984740745262"/>
        </patternFill>
      </fill>
    </dxf>
    <dxf>
      <font>
        <color rgb="FFFFFFFF"/>
      </font>
      <fill>
        <patternFill>
          <bgColor theme="9" tint="-0.499984740745262"/>
        </patternFill>
      </fill>
    </dxf>
    <dxf>
      <font>
        <color rgb="FF78206E"/>
      </font>
      <fill>
        <patternFill>
          <bgColor theme="4" tint="0.39988402966399123"/>
        </patternFill>
      </fill>
    </dxf>
    <dxf>
      <font>
        <color rgb="FF9C6500"/>
      </font>
      <fill>
        <patternFill>
          <bgColor rgb="FFFFEB9C"/>
        </patternFill>
      </fill>
    </dxf>
    <dxf>
      <font>
        <color rgb="FFFFFFFF"/>
      </font>
      <fill>
        <patternFill>
          <bgColor theme="9" tint="-0.499984740745262"/>
        </patternFill>
      </fill>
    </dxf>
    <dxf>
      <font>
        <color rgb="FF78206E"/>
      </font>
      <fill>
        <patternFill>
          <bgColor theme="4" tint="0.39988402966399123"/>
        </patternFill>
      </fill>
    </dxf>
    <dxf>
      <font>
        <color rgb="FF9C6500"/>
      </font>
      <fill>
        <patternFill>
          <bgColor rgb="FFFFEB9C"/>
        </patternFill>
      </fill>
    </dxf>
    <dxf>
      <font>
        <color rgb="FF9C6500"/>
      </font>
      <fill>
        <patternFill>
          <bgColor rgb="FFFFEB9C"/>
        </patternFill>
      </fill>
    </dxf>
    <dxf>
      <font>
        <color rgb="FF78206E"/>
      </font>
      <fill>
        <patternFill>
          <bgColor theme="4" tint="0.39988402966399123"/>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78206E"/>
      </font>
      <fill>
        <patternFill>
          <bgColor theme="4" tint="0.39988402966399123"/>
        </patternFill>
      </fill>
    </dxf>
    <dxf>
      <font>
        <b/>
        <color rgb="FFFFFFFF"/>
      </font>
      <fill>
        <patternFill>
          <bgColor rgb="FF4EA72E"/>
        </patternFill>
      </fill>
    </dxf>
    <dxf>
      <font>
        <b/>
        <color rgb="FFFFFFFF"/>
      </font>
      <fill>
        <patternFill>
          <bgColor rgb="FFFFC000"/>
        </patternFill>
      </fill>
    </dxf>
    <dxf>
      <font>
        <b/>
        <color rgb="FFFFFFFF"/>
      </font>
      <fill>
        <patternFill>
          <bgColor rgb="FFED7D31"/>
        </patternFill>
      </fill>
    </dxf>
    <dxf>
      <font>
        <b/>
        <color rgb="FFFFFFFF"/>
      </font>
      <fill>
        <patternFill>
          <bgColor rgb="FFE4272B"/>
        </patternFill>
      </fill>
    </dxf>
    <dxf>
      <font>
        <b/>
        <color rgb="FFFFFFFF"/>
      </font>
      <fill>
        <patternFill>
          <bgColor rgb="FFA9D08E"/>
        </patternFill>
      </fill>
    </dxf>
    <dxf>
      <font>
        <b/>
        <color rgb="FFFFFFFF"/>
      </font>
      <fill>
        <patternFill>
          <bgColor rgb="FFC00000"/>
        </patternFill>
      </fill>
    </dxf>
    <dxf>
      <font>
        <b/>
        <color rgb="FFFFFFFF"/>
      </font>
      <fill>
        <patternFill>
          <bgColor rgb="FF80808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008000"/>
      <rgbColor rgb="FF000080"/>
      <rgbColor rgb="FF9C6500"/>
      <rgbColor rgb="FF800080"/>
      <rgbColor rgb="FF156082"/>
      <rgbColor rgb="FFBFBFBF"/>
      <rgbColor rgb="FF808080"/>
      <rgbColor rgb="FFEDF1F7"/>
      <rgbColor rgb="FFA02B93"/>
      <rgbColor rgb="FFFFF2CC"/>
      <rgbColor rgb="FFDEEBF7"/>
      <rgbColor rgb="FF660066"/>
      <rgbColor rgb="FFED7D31"/>
      <rgbColor rgb="FF0066CC"/>
      <rgbColor rgb="FFD9D9D9"/>
      <rgbColor rgb="FF000080"/>
      <rgbColor rgb="FFFF00FF"/>
      <rgbColor rgb="FFFFF7E6"/>
      <rgbColor rgb="FF00FFFF"/>
      <rgbColor rgb="FF800080"/>
      <rgbColor rgb="FF9C0006"/>
      <rgbColor rgb="FF196B24"/>
      <rgbColor rgb="FF0000FF"/>
      <rgbColor rgb="FF0F9ED5"/>
      <rgbColor rgb="FFEAF3E7"/>
      <rgbColor rgb="FFC6EFCE"/>
      <rgbColor rgb="FFFFEB9C"/>
      <rgbColor rgb="FF83CBEB"/>
      <rgbColor rgb="FFE7E6E6"/>
      <rgbColor rgb="FFE2EFDA"/>
      <rgbColor rgb="FFFFC7CE"/>
      <rgbColor rgb="FF3366FF"/>
      <rgbColor rgb="FF46B1E1"/>
      <rgbColor rgb="FF99CC00"/>
      <rgbColor rgb="FFFFC000"/>
      <rgbColor rgb="FFFF9900"/>
      <rgbColor rgb="FFE97132"/>
      <rgbColor rgb="FF467886"/>
      <rgbColor rgb="FFA9D08E"/>
      <rgbColor rgb="FF13294B"/>
      <rgbColor rgb="FF4EA72E"/>
      <rgbColor rgb="FF006100"/>
      <rgbColor rgb="FF275417"/>
      <rgbColor rgb="FFE4272B"/>
      <rgbColor rgb="FF78206E"/>
      <rgbColor rgb="FF59595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Season Score by Player (ranked)</a:t>
            </a:r>
          </a:p>
        </c:rich>
      </c:tx>
      <c:overlay val="0"/>
      <c:spPr>
        <a:noFill/>
        <a:ln w="0">
          <a:noFill/>
        </a:ln>
      </c:spPr>
    </c:title>
    <c:autoTitleDeleted val="0"/>
    <c:plotArea>
      <c:layout/>
      <c:barChart>
        <c:barDir val="col"/>
        <c:grouping val="clustered"/>
        <c:varyColors val="0"/>
        <c:ser>
          <c:idx val="0"/>
          <c:order val="0"/>
          <c:tx>
            <c:strRef>
              <c:f>Workings!$M$5:$M$24</c:f>
              <c:strCache>
                <c:ptCount val="20"/>
                <c:pt idx="0">
                  <c:v>Season Score %</c:v>
                </c:pt>
                <c:pt idx="1">
                  <c:v>84.4%</c:v>
                </c:pt>
                <c:pt idx="2">
                  <c:v>76.7%</c:v>
                </c:pt>
                <c:pt idx="3">
                  <c:v>76.7%</c:v>
                </c:pt>
                <c:pt idx="4">
                  <c:v>76.7%</c:v>
                </c:pt>
                <c:pt idx="5">
                  <c:v>76.7%</c:v>
                </c:pt>
                <c:pt idx="6">
                  <c:v>76.7%</c:v>
                </c:pt>
                <c:pt idx="7">
                  <c:v>76.7%</c:v>
                </c:pt>
                <c:pt idx="8">
                  <c:v>76.7%</c:v>
                </c:pt>
                <c:pt idx="9">
                  <c:v>76.7%</c:v>
                </c:pt>
                <c:pt idx="10">
                  <c:v>76.7%</c:v>
                </c:pt>
                <c:pt idx="11">
                  <c:v>76.7%</c:v>
                </c:pt>
                <c:pt idx="12">
                  <c:v>72.8%</c:v>
                </c:pt>
                <c:pt idx="13">
                  <c:v>68.6%</c:v>
                </c:pt>
                <c:pt idx="14">
                  <c:v>62.8%</c:v>
                </c:pt>
                <c:pt idx="15">
                  <c:v>62.8%</c:v>
                </c:pt>
                <c:pt idx="16">
                  <c:v>60.6%</c:v>
                </c:pt>
                <c:pt idx="17">
                  <c:v>0.0%</c:v>
                </c:pt>
                <c:pt idx="18">
                  <c:v>0.0%</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ptos Narrow"/>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multiLvlStrRef>
              <c:f>Workings!$L$25</c:f>
            </c:multiLvlStrRef>
          </c:cat>
          <c:val>
            <c:numRef>
              <c:f>Workings!$M$25</c:f>
              <c:numCache>
                <c:formatCode>0.0%</c:formatCode>
                <c:ptCount val="1"/>
                <c:pt idx="0">
                  <c:v>0</c:v>
                </c:pt>
              </c:numCache>
            </c:numRef>
          </c:val>
          <c:extLst>
            <c:ext xmlns:c16="http://schemas.microsoft.com/office/drawing/2014/chart" uri="{C3380CC4-5D6E-409C-BE32-E72D297353CC}">
              <c16:uniqueId val="{00000000-3875-482E-9991-7559CC300D1A}"/>
            </c:ext>
          </c:extLst>
        </c:ser>
        <c:dLbls>
          <c:showLegendKey val="0"/>
          <c:showVal val="0"/>
          <c:showCatName val="0"/>
          <c:showSerName val="0"/>
          <c:showPercent val="0"/>
          <c:showBubbleSize val="0"/>
        </c:dLbls>
        <c:gapWidth val="219"/>
        <c:overlap val="-27"/>
        <c:axId val="22248078"/>
        <c:axId val="63009567"/>
      </c:barChart>
      <c:catAx>
        <c:axId val="2224807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Aptos Narrow"/>
              </a:defRPr>
            </a:pPr>
            <a:endParaRPr lang="en-US"/>
          </a:p>
        </c:txPr>
        <c:crossAx val="63009567"/>
        <c:crosses val="autoZero"/>
        <c:auto val="1"/>
        <c:lblAlgn val="ctr"/>
        <c:lblOffset val="100"/>
        <c:noMultiLvlLbl val="0"/>
      </c:catAx>
      <c:valAx>
        <c:axId val="63009567"/>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12600">
            <a:noFill/>
          </a:ln>
        </c:spPr>
        <c:txPr>
          <a:bodyPr/>
          <a:lstStyle/>
          <a:p>
            <a:pPr>
              <a:defRPr sz="900" b="0" strike="noStrike" spc="-1">
                <a:solidFill>
                  <a:srgbClr val="595959"/>
                </a:solidFill>
                <a:latin typeface="Aptos Narrow"/>
              </a:defRPr>
            </a:pPr>
            <a:endParaRPr lang="en-US"/>
          </a:p>
        </c:txPr>
        <c:crossAx val="222480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Training Work Rate vs Match Rating</a:t>
            </a:r>
          </a:p>
        </c:rich>
      </c:tx>
      <c:overlay val="0"/>
      <c:spPr>
        <a:noFill/>
        <a:ln w="0">
          <a:noFill/>
        </a:ln>
      </c:spPr>
    </c:title>
    <c:autoTitleDeleted val="0"/>
    <c:plotArea>
      <c:layout/>
      <c:scatterChart>
        <c:scatterStyle val="lineMarker"/>
        <c:varyColors val="0"/>
        <c:ser>
          <c:idx val="0"/>
          <c:order val="0"/>
          <c:tx>
            <c:strRef>
              <c:f>Workings!$Q$5:$Q$24</c:f>
              <c:strCache>
                <c:ptCount val="20"/>
                <c:pt idx="0">
                  <c:v>Avg Match Rating</c:v>
                </c:pt>
                <c:pt idx="1">
                  <c:v>6.5</c:v>
                </c:pt>
                <c:pt idx="2">
                  <c:v>7.5</c:v>
                </c:pt>
                <c:pt idx="5">
                  <c:v>10.0</c:v>
                </c:pt>
                <c:pt idx="6">
                  <c:v>7.5</c:v>
                </c:pt>
                <c:pt idx="7">
                  <c:v>7.5</c:v>
                </c:pt>
                <c:pt idx="8">
                  <c:v>7.5</c:v>
                </c:pt>
                <c:pt idx="9">
                  <c:v>8.0</c:v>
                </c:pt>
                <c:pt idx="10">
                  <c:v>8.5</c:v>
                </c:pt>
                <c:pt idx="11">
                  <c:v>8.0</c:v>
                </c:pt>
                <c:pt idx="12">
                  <c:v>8.0</c:v>
                </c:pt>
                <c:pt idx="13">
                  <c:v>6.5</c:v>
                </c:pt>
                <c:pt idx="14">
                  <c:v>6.5</c:v>
                </c:pt>
                <c:pt idx="15">
                  <c:v>8.0</c:v>
                </c:pt>
                <c:pt idx="16">
                  <c:v>8.5</c:v>
                </c:pt>
                <c:pt idx="17">
                  <c:v>7.5</c:v>
                </c:pt>
                <c:pt idx="18">
                  <c:v>8.5</c:v>
                </c:pt>
              </c:strCache>
            </c:strRef>
          </c:tx>
          <c:spPr>
            <a:ln w="25560">
              <a:noFill/>
            </a:ln>
          </c:spPr>
          <c:marker>
            <c:symbol val="circle"/>
            <c:size val="5"/>
            <c:spPr>
              <a:solidFill>
                <a:srgbClr val="156082"/>
              </a:solidFill>
            </c:spPr>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Workings!$P$25</c:f>
            </c:numRef>
          </c:xVal>
          <c:yVal>
            <c:numRef>
              <c:f>Workings!$Q$25</c:f>
              <c:numCache>
                <c:formatCode>0.0</c:formatCode>
                <c:ptCount val="1"/>
                <c:pt idx="0">
                  <c:v>0</c:v>
                </c:pt>
              </c:numCache>
            </c:numRef>
          </c:yVal>
          <c:smooth val="0"/>
          <c:extLst>
            <c:ext xmlns:c16="http://schemas.microsoft.com/office/drawing/2014/chart" uri="{C3380CC4-5D6E-409C-BE32-E72D297353CC}">
              <c16:uniqueId val="{00000000-AD64-4172-9B95-04DF6524AB20}"/>
            </c:ext>
          </c:extLst>
        </c:ser>
        <c:dLbls>
          <c:showLegendKey val="0"/>
          <c:showVal val="0"/>
          <c:showCatName val="0"/>
          <c:showSerName val="0"/>
          <c:showPercent val="0"/>
          <c:showBubbleSize val="0"/>
        </c:dLbls>
        <c:axId val="76885777"/>
        <c:axId val="71803178"/>
      </c:scatterChart>
      <c:valAx>
        <c:axId val="76885777"/>
        <c:scaling>
          <c:orientation val="minMax"/>
        </c:scaling>
        <c:delete val="0"/>
        <c:axPos val="b"/>
        <c:majorGridlines>
          <c:spPr>
            <a:ln w="9360">
              <a:solidFill>
                <a:srgbClr val="D9D9D9"/>
              </a:solidFill>
              <a:round/>
            </a:ln>
          </c:spPr>
        </c:majorGridlines>
        <c:numFmt formatCode="General" sourceLinked="1"/>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en-US"/>
          </a:p>
        </c:txPr>
        <c:crossAx val="71803178"/>
        <c:crosses val="autoZero"/>
        <c:crossBetween val="midCat"/>
      </c:valAx>
      <c:valAx>
        <c:axId val="71803178"/>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en-US"/>
          </a:p>
        </c:txPr>
        <c:crossAx val="76885777"/>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Readiness Bands</a:t>
            </a:r>
          </a:p>
        </c:rich>
      </c:tx>
      <c:overlay val="0"/>
      <c:spPr>
        <a:noFill/>
        <a:ln w="0">
          <a:noFill/>
        </a:ln>
      </c:spPr>
    </c:title>
    <c:autoTitleDeleted val="0"/>
    <c:plotArea>
      <c:layout/>
      <c:doughnutChart>
        <c:varyColors val="1"/>
        <c:ser>
          <c:idx val="0"/>
          <c:order val="0"/>
          <c:tx>
            <c:strRef>
              <c:f>Workings!$AM$5</c:f>
              <c:strCache>
                <c:ptCount val="1"/>
                <c:pt idx="0">
                  <c:v>Players</c:v>
                </c:pt>
              </c:strCache>
            </c:strRef>
          </c:tx>
          <c:spPr>
            <a:solidFill>
              <a:srgbClr val="156082"/>
            </a:solidFill>
            <a:ln w="0">
              <a:noFill/>
            </a:ln>
          </c:spPr>
          <c:dPt>
            <c:idx val="0"/>
            <c:bubble3D val="0"/>
            <c:spPr>
              <a:solidFill>
                <a:srgbClr val="156082"/>
              </a:solidFill>
              <a:ln w="19080">
                <a:solidFill>
                  <a:srgbClr val="FFFFFF"/>
                </a:solidFill>
                <a:round/>
              </a:ln>
            </c:spPr>
            <c:extLst>
              <c:ext xmlns:c16="http://schemas.microsoft.com/office/drawing/2014/chart" uri="{C3380CC4-5D6E-409C-BE32-E72D297353CC}">
                <c16:uniqueId val="{00000001-D977-4836-AC1E-8C71D36EE2B5}"/>
              </c:ext>
            </c:extLst>
          </c:dPt>
          <c:dPt>
            <c:idx val="1"/>
            <c:bubble3D val="0"/>
            <c:spPr>
              <a:solidFill>
                <a:srgbClr val="E97132"/>
              </a:solidFill>
              <a:ln w="19080">
                <a:solidFill>
                  <a:srgbClr val="FFFFFF"/>
                </a:solidFill>
                <a:round/>
              </a:ln>
            </c:spPr>
            <c:extLst>
              <c:ext xmlns:c16="http://schemas.microsoft.com/office/drawing/2014/chart" uri="{C3380CC4-5D6E-409C-BE32-E72D297353CC}">
                <c16:uniqueId val="{00000003-D977-4836-AC1E-8C71D36EE2B5}"/>
              </c:ext>
            </c:extLst>
          </c:dPt>
          <c:dPt>
            <c:idx val="2"/>
            <c:bubble3D val="0"/>
            <c:spPr>
              <a:solidFill>
                <a:srgbClr val="196B24"/>
              </a:solidFill>
              <a:ln w="19080">
                <a:solidFill>
                  <a:srgbClr val="FFFFFF"/>
                </a:solidFill>
                <a:round/>
              </a:ln>
            </c:spPr>
            <c:extLst>
              <c:ext xmlns:c16="http://schemas.microsoft.com/office/drawing/2014/chart" uri="{C3380CC4-5D6E-409C-BE32-E72D297353CC}">
                <c16:uniqueId val="{00000005-D977-4836-AC1E-8C71D36EE2B5}"/>
              </c:ext>
            </c:extLst>
          </c:dPt>
          <c:dPt>
            <c:idx val="3"/>
            <c:bubble3D val="0"/>
            <c:spPr>
              <a:solidFill>
                <a:srgbClr val="0F9ED5"/>
              </a:solidFill>
              <a:ln w="19080">
                <a:solidFill>
                  <a:srgbClr val="FFFFFF"/>
                </a:solidFill>
                <a:round/>
              </a:ln>
            </c:spPr>
            <c:extLst>
              <c:ext xmlns:c16="http://schemas.microsoft.com/office/drawing/2014/chart" uri="{C3380CC4-5D6E-409C-BE32-E72D297353CC}">
                <c16:uniqueId val="{00000007-D977-4836-AC1E-8C71D36EE2B5}"/>
              </c:ext>
            </c:extLst>
          </c:dPt>
          <c:dPt>
            <c:idx val="4"/>
            <c:bubble3D val="0"/>
            <c:spPr>
              <a:solidFill>
                <a:srgbClr val="A02B93"/>
              </a:solidFill>
              <a:ln w="19080">
                <a:solidFill>
                  <a:srgbClr val="FFFFFF"/>
                </a:solidFill>
                <a:round/>
              </a:ln>
            </c:spPr>
            <c:extLst>
              <c:ext xmlns:c16="http://schemas.microsoft.com/office/drawing/2014/chart" uri="{C3380CC4-5D6E-409C-BE32-E72D297353CC}">
                <c16:uniqueId val="{00000009-D977-4836-AC1E-8C71D36EE2B5}"/>
              </c:ext>
            </c:extLst>
          </c:dPt>
          <c:dPt>
            <c:idx val="5"/>
            <c:bubble3D val="0"/>
            <c:spPr>
              <a:solidFill>
                <a:srgbClr val="4EA72E"/>
              </a:solidFill>
              <a:ln w="19080">
                <a:solidFill>
                  <a:srgbClr val="FFFFFF"/>
                </a:solidFill>
                <a:round/>
              </a:ln>
            </c:spPr>
            <c:extLst>
              <c:ext xmlns:c16="http://schemas.microsoft.com/office/drawing/2014/chart" uri="{C3380CC4-5D6E-409C-BE32-E72D297353CC}">
                <c16:uniqueId val="{0000000B-D977-4836-AC1E-8C71D36EE2B5}"/>
              </c:ext>
            </c:extLst>
          </c:dPt>
          <c:dLbls>
            <c:dLbl>
              <c:idx val="0"/>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977-4836-AC1E-8C71D36EE2B5}"/>
                </c:ext>
              </c:extLst>
            </c:dLbl>
            <c:dLbl>
              <c:idx val="1"/>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977-4836-AC1E-8C71D36EE2B5}"/>
                </c:ext>
              </c:extLst>
            </c:dLbl>
            <c:dLbl>
              <c:idx val="2"/>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977-4836-AC1E-8C71D36EE2B5}"/>
                </c:ext>
              </c:extLst>
            </c:dLbl>
            <c:dLbl>
              <c:idx val="3"/>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977-4836-AC1E-8C71D36EE2B5}"/>
                </c:ext>
              </c:extLst>
            </c:dLbl>
            <c:dLbl>
              <c:idx val="4"/>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D977-4836-AC1E-8C71D36EE2B5}"/>
                </c:ext>
              </c:extLst>
            </c:dLbl>
            <c:dLbl>
              <c:idx val="5"/>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D977-4836-AC1E-8C71D36EE2B5}"/>
                </c:ext>
              </c:extLst>
            </c:dLbl>
            <c:spPr>
              <a:noFill/>
              <a:ln>
                <a:noFill/>
              </a:ln>
              <a:effectLst/>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Workings!$AL$6:$AL$11</c:f>
              <c:strCache>
                <c:ptCount val="6"/>
                <c:pt idx="0">
                  <c:v>Critical</c:v>
                </c:pt>
                <c:pt idx="1">
                  <c:v>Not Ready</c:v>
                </c:pt>
                <c:pt idx="2">
                  <c:v>Improving</c:v>
                </c:pt>
                <c:pt idx="3">
                  <c:v>Nearly Ready</c:v>
                </c:pt>
                <c:pt idx="4">
                  <c:v>Not Ready for 90 min</c:v>
                </c:pt>
                <c:pt idx="5">
                  <c:v>Match Ready</c:v>
                </c:pt>
              </c:strCache>
            </c:strRef>
          </c:cat>
          <c:val>
            <c:numRef>
              <c:f>Workings!$AM$6:$AM$11</c:f>
              <c:numCache>
                <c:formatCode>General</c:formatCode>
                <c:ptCount val="6"/>
                <c:pt idx="0">
                  <c:v>0</c:v>
                </c:pt>
                <c:pt idx="1">
                  <c:v>0</c:v>
                </c:pt>
                <c:pt idx="2">
                  <c:v>0</c:v>
                </c:pt>
                <c:pt idx="3">
                  <c:v>9</c:v>
                </c:pt>
                <c:pt idx="4">
                  <c:v>6</c:v>
                </c:pt>
                <c:pt idx="5">
                  <c:v>1</c:v>
                </c:pt>
              </c:numCache>
            </c:numRef>
          </c:val>
          <c:extLst>
            <c:ext xmlns:c16="http://schemas.microsoft.com/office/drawing/2014/chart" uri="{C3380CC4-5D6E-409C-BE32-E72D297353CC}">
              <c16:uniqueId val="{0000000C-D977-4836-AC1E-8C71D36EE2B5}"/>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9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Work Rate &amp; Match Rating by Game Week</a:t>
            </a:r>
          </a:p>
        </c:rich>
      </c:tx>
      <c:overlay val="0"/>
      <c:spPr>
        <a:noFill/>
        <a:ln w="0">
          <a:noFill/>
        </a:ln>
      </c:spPr>
    </c:title>
    <c:autoTitleDeleted val="0"/>
    <c:plotArea>
      <c:layout/>
      <c:lineChart>
        <c:grouping val="standard"/>
        <c:varyColors val="0"/>
        <c:ser>
          <c:idx val="0"/>
          <c:order val="0"/>
          <c:tx>
            <c:strRef>
              <c:f>Workings!$Z$5:$Z$26</c:f>
              <c:strCache>
                <c:ptCount val="22"/>
                <c:pt idx="0">
                  <c:v>Match Rating</c:v>
                </c:pt>
              </c:strCache>
            </c:strRef>
          </c:tx>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Workings!$X$27:$Y$27</c:f>
              <c:strCache>
                <c:ptCount val="1"/>
                <c:pt idx="0">
                  <c:v>22</c:v>
                </c:pt>
              </c:strCache>
            </c:strRef>
          </c:cat>
          <c:val>
            <c:numRef>
              <c:f>Workings!$Z$27</c:f>
              <c:numCache>
                <c:formatCode>0.0</c:formatCode>
                <c:ptCount val="1"/>
                <c:pt idx="0">
                  <c:v>0</c:v>
                </c:pt>
              </c:numCache>
            </c:numRef>
          </c:val>
          <c:smooth val="0"/>
          <c:extLst>
            <c:ext xmlns:c16="http://schemas.microsoft.com/office/drawing/2014/chart" uri="{C3380CC4-5D6E-409C-BE32-E72D297353CC}">
              <c16:uniqueId val="{00000000-D074-4EB6-900F-3198DF10D2DA}"/>
            </c:ext>
          </c:extLst>
        </c:ser>
        <c:dLbls>
          <c:showLegendKey val="0"/>
          <c:showVal val="0"/>
          <c:showCatName val="0"/>
          <c:showSerName val="0"/>
          <c:showPercent val="0"/>
          <c:showBubbleSize val="0"/>
        </c:dLbls>
        <c:hiLowLines>
          <c:spPr>
            <a:ln w="0">
              <a:noFill/>
            </a:ln>
          </c:spPr>
        </c:hiLowLines>
        <c:smooth val="0"/>
        <c:axId val="40142064"/>
        <c:axId val="82611253"/>
      </c:lineChart>
      <c:catAx>
        <c:axId val="4014206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Aptos Narrow"/>
              </a:defRPr>
            </a:pPr>
            <a:endParaRPr lang="en-US"/>
          </a:p>
        </c:txPr>
        <c:crossAx val="82611253"/>
        <c:crosses val="autoZero"/>
        <c:auto val="1"/>
        <c:lblAlgn val="ctr"/>
        <c:lblOffset val="100"/>
        <c:noMultiLvlLbl val="0"/>
      </c:catAx>
      <c:valAx>
        <c:axId val="82611253"/>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12600">
            <a:noFill/>
          </a:ln>
        </c:spPr>
        <c:txPr>
          <a:bodyPr/>
          <a:lstStyle/>
          <a:p>
            <a:pPr>
              <a:defRPr sz="900" b="0" strike="noStrike" spc="-1">
                <a:solidFill>
                  <a:srgbClr val="595959"/>
                </a:solidFill>
                <a:latin typeface="Aptos Narrow"/>
              </a:defRPr>
            </a:pPr>
            <a:endParaRPr lang="en-US"/>
          </a:p>
        </c:txPr>
        <c:crossAx val="4014206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7</xdr:col>
      <xdr:colOff>1203765</xdr:colOff>
      <xdr:row>30</xdr:row>
      <xdr:rowOff>180720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11</xdr:row>
      <xdr:rowOff>0</xdr:rowOff>
    </xdr:from>
    <xdr:to>
      <xdr:col>15</xdr:col>
      <xdr:colOff>1203765</xdr:colOff>
      <xdr:row>30</xdr:row>
      <xdr:rowOff>180720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58</xdr:row>
      <xdr:rowOff>0</xdr:rowOff>
    </xdr:from>
    <xdr:to>
      <xdr:col>15</xdr:col>
      <xdr:colOff>1203765</xdr:colOff>
      <xdr:row>79</xdr:row>
      <xdr:rowOff>180720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87</xdr:row>
      <xdr:rowOff>0</xdr:rowOff>
    </xdr:from>
    <xdr:to>
      <xdr:col>15</xdr:col>
      <xdr:colOff>1203765</xdr:colOff>
      <xdr:row>107</xdr:row>
      <xdr:rowOff>180360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25560</xdr:colOff>
      <xdr:row>1</xdr:row>
      <xdr:rowOff>33120</xdr:rowOff>
    </xdr:from>
    <xdr:to>
      <xdr:col>2</xdr:col>
      <xdr:colOff>311040</xdr:colOff>
      <xdr:row>4</xdr:row>
      <xdr:rowOff>118440</xdr:rowOff>
    </xdr:to>
    <xdr:pic>
      <xdr:nvPicPr>
        <xdr:cNvPr id="4" name="Picture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a:xfrm>
          <a:off x="434520" y="233280"/>
          <a:ext cx="783360" cy="723240"/>
        </a:xfrm>
        <a:prstGeom prst="rect">
          <a:avLst/>
        </a:prstGeom>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7BA139-436E-48B8-98A2-F605BB72E0F1}">
  <we:reference id="WA200009404" version="1.0.0.8" store="Omex" storeType="OMEX"/>
  <we:alternateReferences>
    <we:reference id="WA200009404" version="1.0.0.8" store="WA200009404" storeType="OMEX"/>
  </we:alternateReferences>
  <we:properties>
    <we:property name="claude.fileId" value="&quot;48082432-b68a-42a2-b0f1-7de99efb9a8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H112"/>
  <sheetViews>
    <sheetView topLeftCell="AT27" zoomScaleNormal="100" workbookViewId="0">
      <selection activeCell="BL38" sqref="BL38"/>
    </sheetView>
  </sheetViews>
  <sheetFormatPr defaultColWidth="8.53125" defaultRowHeight="14.25" x14ac:dyDescent="0.45"/>
  <cols>
    <col min="2" max="16" width="16.86328125" customWidth="1"/>
    <col min="17" max="31" width="4" customWidth="1"/>
    <col min="32" max="32" width="23.1328125" customWidth="1"/>
    <col min="33" max="33" width="53.265625" customWidth="1"/>
    <col min="34" max="34" width="30.1328125" customWidth="1"/>
    <col min="35" max="56" width="4.59765625" customWidth="1"/>
    <col min="57" max="60" width="11" customWidth="1"/>
  </cols>
  <sheetData>
    <row r="2" spans="2:16" ht="18" customHeight="1" x14ac:dyDescent="0.55000000000000004">
      <c r="B2" s="456" t="s">
        <v>0</v>
      </c>
      <c r="C2" s="456"/>
      <c r="D2" s="456"/>
      <c r="E2" s="456"/>
      <c r="F2" s="456"/>
      <c r="G2" s="456"/>
      <c r="H2" s="456"/>
    </row>
    <row r="3" spans="2:16" x14ac:dyDescent="0.45">
      <c r="B3" s="457" t="s">
        <v>1</v>
      </c>
      <c r="C3" s="457"/>
      <c r="D3" s="457"/>
      <c r="E3" s="457"/>
      <c r="F3" s="457"/>
      <c r="G3" s="457"/>
      <c r="H3" s="457"/>
      <c r="I3" s="457"/>
      <c r="J3" s="457"/>
      <c r="K3" s="457"/>
      <c r="L3" s="457"/>
      <c r="M3" s="457"/>
      <c r="N3" s="457"/>
    </row>
    <row r="5" spans="2:16" ht="25.5" customHeight="1" x14ac:dyDescent="0.5">
      <c r="B5" s="476" t="str">
        <f t="array" ref="B5">"Girls Youth Squad  |  GW "&amp;MAX(1,SUMPRODUCT((Attendance!$CP$4:$FY$4="Att")*(Attendance!$CP$2:$FY$2&lt;&gt;"")))&amp;" of 22  |  "&amp;SUMPRODUCT((Attendance!$E$4:$CN$4="Att")*(Attendance!$E$3:$CN$3&lt;&gt;""))&amp;" sessions held  |  "&amp;SUMPRODUCT((Attendance!$CP$4:$FY$4="Att")*(Attendance!$CP$28:$FY$28&lt;&gt;""))&amp;" matches played  |  "&amp;COUNTA(Attendance!$D$5:$D$24)&amp;" players tracked"</f>
        <v>Girls Youth Squad  |  GW 1 of 22  |  1 sessions held  |  1 matches played  |  18 players tracked</v>
      </c>
      <c r="C5" s="476"/>
      <c r="D5" s="476"/>
      <c r="E5" s="476"/>
      <c r="F5" s="476"/>
      <c r="G5" s="476"/>
      <c r="H5" s="476"/>
      <c r="I5" s="476"/>
      <c r="J5" s="476"/>
      <c r="K5" s="476"/>
      <c r="L5" s="476"/>
      <c r="M5" s="476"/>
      <c r="N5" s="476"/>
      <c r="O5" s="476"/>
      <c r="P5" s="476"/>
    </row>
    <row r="7" spans="2:16" ht="31.5" customHeight="1" x14ac:dyDescent="0.45">
      <c r="B7" s="477" t="s">
        <v>2</v>
      </c>
      <c r="C7" s="477"/>
      <c r="D7" s="477" t="s">
        <v>3</v>
      </c>
      <c r="E7" s="477"/>
      <c r="F7" s="477" t="s">
        <v>4</v>
      </c>
      <c r="G7" s="477"/>
      <c r="H7" s="477" t="s">
        <v>5</v>
      </c>
      <c r="I7" s="477"/>
      <c r="J7" s="477" t="s">
        <v>6</v>
      </c>
      <c r="K7" s="477"/>
      <c r="L7" s="477" t="s">
        <v>7</v>
      </c>
      <c r="M7" s="477"/>
      <c r="N7" s="478" t="s">
        <v>8</v>
      </c>
      <c r="O7" s="478"/>
    </row>
    <row r="8" spans="2:16" ht="21.75" customHeight="1" x14ac:dyDescent="0.45">
      <c r="B8" s="474">
        <f>IFERROR(AVERAGE(Workings!$H$6:$H$25),0)</f>
        <v>0.65478395061728378</v>
      </c>
      <c r="C8" s="474"/>
      <c r="D8" s="474">
        <f>IFERROR(AVERAGE(Workings!$D$6:$D$25),0)</f>
        <v>0.79629629629629628</v>
      </c>
      <c r="E8" s="474"/>
      <c r="F8" s="475">
        <f>IFERROR(AVERAGE(Workings!$E$6:$E$25),0)</f>
        <v>3.114583333333333</v>
      </c>
      <c r="G8" s="475"/>
      <c r="H8" s="474">
        <f>IFERROR(AVERAGE(Workings!$F$6:$F$25),0)</f>
        <v>0</v>
      </c>
      <c r="I8" s="474"/>
      <c r="J8" s="475">
        <f>IFERROR(AVERAGE(Workings!$G$6:$G$25),0)</f>
        <v>7.78125</v>
      </c>
      <c r="K8" s="475"/>
      <c r="L8" s="471" t="str">
        <f>COUNTIF(Attendance!$CP$28:$FY$28,"W")&amp;" - "&amp;COUNTIF(Attendance!$CP$28:$FY$28,"D")&amp;" - "&amp;COUNTIF(Attendance!$CP$28:$FY$28,"L")</f>
        <v>1 - 0 - 0</v>
      </c>
      <c r="M8" s="471"/>
      <c r="N8" s="472">
        <f>COUNTIF(Workings!$D$6:$D$25,1)</f>
        <v>12</v>
      </c>
      <c r="O8" s="472"/>
    </row>
    <row r="9" spans="2:16" ht="15.75" customHeight="1" x14ac:dyDescent="0.45">
      <c r="B9" s="474"/>
      <c r="C9" s="474"/>
      <c r="D9" s="474"/>
      <c r="E9" s="474"/>
      <c r="F9" s="475"/>
      <c r="G9" s="475"/>
      <c r="H9" s="474"/>
      <c r="I9" s="474"/>
      <c r="J9" s="475"/>
      <c r="K9" s="475"/>
      <c r="L9" s="471"/>
      <c r="M9" s="471"/>
      <c r="N9" s="472"/>
      <c r="O9" s="472"/>
    </row>
    <row r="32" spans="2:9" ht="15" customHeight="1" x14ac:dyDescent="0.45">
      <c r="B32" s="1" t="s">
        <v>9</v>
      </c>
      <c r="C32" s="4"/>
      <c r="D32" s="4"/>
      <c r="E32" s="4"/>
      <c r="F32" s="4"/>
      <c r="G32" s="4"/>
      <c r="H32" s="4"/>
      <c r="I32" s="4"/>
    </row>
    <row r="33" spans="2:60" ht="15" customHeight="1" x14ac:dyDescent="0.45">
      <c r="B33" s="5" t="s">
        <v>10</v>
      </c>
      <c r="AF33" s="436" t="s">
        <v>11</v>
      </c>
      <c r="AG33" s="436"/>
      <c r="AH33" s="436"/>
      <c r="AI33" s="436"/>
      <c r="AJ33" s="436"/>
      <c r="AK33" s="436"/>
      <c r="AL33" s="436"/>
      <c r="AM33" s="436"/>
      <c r="AN33" s="436"/>
      <c r="AO33" s="436"/>
      <c r="AP33" s="436"/>
      <c r="AQ33" s="436"/>
      <c r="AR33" s="436"/>
      <c r="AS33" s="436"/>
      <c r="AT33" s="436"/>
      <c r="AU33" s="436"/>
      <c r="AV33" s="436"/>
      <c r="AW33" s="436"/>
      <c r="AX33" s="436"/>
      <c r="AY33" s="436"/>
      <c r="AZ33" s="436"/>
      <c r="BA33" s="436"/>
      <c r="BB33" s="436"/>
      <c r="BC33" s="436"/>
      <c r="BD33" s="436"/>
      <c r="BE33" s="436"/>
      <c r="BF33" s="436"/>
      <c r="BG33" s="436"/>
      <c r="BH33" s="436"/>
    </row>
    <row r="34" spans="2:60" ht="15" customHeight="1" x14ac:dyDescent="0.45">
      <c r="B34" s="6" t="s">
        <v>12</v>
      </c>
      <c r="C34" s="6" t="s">
        <v>13</v>
      </c>
      <c r="D34" s="6" t="s">
        <v>14</v>
      </c>
      <c r="E34" s="6" t="s">
        <v>15</v>
      </c>
      <c r="F34" s="6" t="s">
        <v>16</v>
      </c>
      <c r="G34" s="6" t="s">
        <v>17</v>
      </c>
      <c r="AF34" s="7" t="s">
        <v>18</v>
      </c>
      <c r="AG34" s="8" t="s">
        <v>19</v>
      </c>
      <c r="AH34" s="8" t="s">
        <v>20</v>
      </c>
      <c r="AI34" s="8">
        <v>1</v>
      </c>
      <c r="AJ34" s="8">
        <v>2</v>
      </c>
      <c r="AK34" s="8">
        <v>3</v>
      </c>
      <c r="AL34" s="8">
        <v>4</v>
      </c>
      <c r="AM34" s="8">
        <v>5</v>
      </c>
      <c r="AN34" s="8">
        <v>6</v>
      </c>
      <c r="AO34" s="8">
        <v>7</v>
      </c>
      <c r="AP34" s="8">
        <v>8</v>
      </c>
      <c r="AQ34" s="8">
        <v>9</v>
      </c>
      <c r="AR34" s="8">
        <v>10</v>
      </c>
      <c r="AS34" s="8">
        <v>11</v>
      </c>
      <c r="AT34" s="8">
        <v>12</v>
      </c>
      <c r="AU34" s="8">
        <v>13</v>
      </c>
      <c r="AV34" s="8">
        <v>14</v>
      </c>
      <c r="AW34" s="8">
        <v>15</v>
      </c>
      <c r="AX34" s="8">
        <v>16</v>
      </c>
      <c r="AY34" s="8">
        <v>17</v>
      </c>
      <c r="AZ34" s="8">
        <v>18</v>
      </c>
      <c r="BA34" s="8">
        <v>19</v>
      </c>
      <c r="BB34" s="8">
        <v>20</v>
      </c>
      <c r="BC34" s="8">
        <v>21</v>
      </c>
      <c r="BD34" s="8">
        <v>22</v>
      </c>
      <c r="BE34" s="8" t="s">
        <v>21</v>
      </c>
      <c r="BF34" s="8" t="s">
        <v>22</v>
      </c>
      <c r="BG34" s="8" t="s">
        <v>23</v>
      </c>
      <c r="BH34" s="9" t="s">
        <v>24</v>
      </c>
    </row>
    <row r="35" spans="2:60" ht="15" customHeight="1" x14ac:dyDescent="0.5">
      <c r="B35" s="10">
        <f>IFERROR(MAX(Workings!$AQ$6:$AQ$25),"")</f>
        <v>11</v>
      </c>
      <c r="C35" s="11">
        <f>IFERROR(SUM(Workings!$AP$6:$AP$25)/SUM(Workings!$AQ$6:$AQ$25),"")</f>
        <v>0.57754010695187163</v>
      </c>
      <c r="D35" s="12">
        <f>IFERROR(AVERAGE(Workings!$AS$6:$AS$25),"")</f>
        <v>3.1430905695611577</v>
      </c>
      <c r="E35" s="10">
        <f>COUNTIF(Workings!$AU$6:$AU$25,"Match Ready")</f>
        <v>4</v>
      </c>
      <c r="F35" s="10">
        <f>COUNTIFS(Workings!$AS$6:$AS$25,"&lt;2.5",Workings!$AS$6:$AS$25,"&gt;0")</f>
        <v>2</v>
      </c>
      <c r="G35" s="10">
        <f>COUNTIF(Workings!$AU$6:$AU$25,"Insufficient data")</f>
        <v>5</v>
      </c>
      <c r="AF35" s="13" t="str">
        <f>IF(Attendance!$D5="","",Attendance!$D5)</f>
        <v>Aoife Kennan</v>
      </c>
      <c r="AG35" s="14" t="str">
        <f t="array" ref="AG35">IF($AF35="","",_xlfn.TEXTJOIN("",TRUE(),IF(Attendance!$E$4:$CN$4="WR",IFERROR(CHOOSE(Attendance!$E5:$CN5,"▁","▃","▅","▆","█"),"·"),"")))</f>
        <v>▅▅▅·········································</v>
      </c>
      <c r="AH35" s="14" t="str">
        <f t="array" ref="AH35">IF($AF35="","",_xlfn.TEXTJOIN("",TRUE(),IF(Attendance!$CP$4:$FY$4="Rating",IFERROR(CHOOSE(ROUNDUP(Attendance!$CP5:$FY5/2,0),"▁","▃","▅","▆","█"),"·"),"")))</f>
        <v>▆·····················</v>
      </c>
      <c r="AI35" s="15">
        <f ca="1">IF($AF35="","",IFERROR(AVERAGE(OFFSET(Attendance!$A$1,4,5+(1-1)*4),OFFSET(Attendance!$A$1,4,7+(1-1)*4)),""))</f>
        <v>3</v>
      </c>
      <c r="AJ35" s="15">
        <f ca="1">IF($AF35="","",IFERROR(AVERAGE(OFFSET(Attendance!$A$1,4,5+(2-1)*4),OFFSET(Attendance!$A$1,4,7+(2-1)*4)),""))</f>
        <v>3</v>
      </c>
      <c r="AK35" s="15" t="str">
        <f ca="1">IF($AF35="","",IFERROR(AVERAGE(OFFSET(Attendance!$A$1,4,5+(3-1)*4),OFFSET(Attendance!$A$1,4,7+(3-1)*4)),""))</f>
        <v/>
      </c>
      <c r="AL35" s="15" t="str">
        <f ca="1">IF($AF35="","",IFERROR(AVERAGE(OFFSET(Attendance!$A$1,4,5+(4-1)*4),OFFSET(Attendance!$A$1,4,7+(4-1)*4)),""))</f>
        <v/>
      </c>
      <c r="AM35" s="15" t="str">
        <f ca="1">IF($AF35="","",IFERROR(AVERAGE(OFFSET(Attendance!$A$1,4,5+(5-1)*4),OFFSET(Attendance!$A$1,4,7+(5-1)*4)),""))</f>
        <v/>
      </c>
      <c r="AN35" s="15" t="str">
        <f ca="1">IF($AF35="","",IFERROR(AVERAGE(OFFSET(Attendance!$A$1,4,5+(6-1)*4),OFFSET(Attendance!$A$1,4,7+(6-1)*4)),""))</f>
        <v/>
      </c>
      <c r="AO35" s="15" t="str">
        <f ca="1">IF($AF35="","",IFERROR(AVERAGE(OFFSET(Attendance!$A$1,4,5+(7-1)*4),OFFSET(Attendance!$A$1,4,7+(7-1)*4)),""))</f>
        <v/>
      </c>
      <c r="AP35" s="15" t="str">
        <f ca="1">IF($AF35="","",IFERROR(AVERAGE(OFFSET(Attendance!$A$1,4,5+(8-1)*4),OFFSET(Attendance!$A$1,4,7+(8-1)*4)),""))</f>
        <v/>
      </c>
      <c r="AQ35" s="15" t="str">
        <f ca="1">IF($AF35="","",IFERROR(AVERAGE(OFFSET(Attendance!$A$1,4,5+(9-1)*4),OFFSET(Attendance!$A$1,4,7+(9-1)*4)),""))</f>
        <v/>
      </c>
      <c r="AR35" s="15" t="str">
        <f ca="1">IF($AF35="","",IFERROR(AVERAGE(OFFSET(Attendance!$A$1,4,5+(10-1)*4),OFFSET(Attendance!$A$1,4,7+(10-1)*4)),""))</f>
        <v/>
      </c>
      <c r="AS35" s="15" t="str">
        <f ca="1">IF($AF35="","",IFERROR(AVERAGE(OFFSET(Attendance!$A$1,4,5+(11-1)*4),OFFSET(Attendance!$A$1,4,7+(11-1)*4)),""))</f>
        <v/>
      </c>
      <c r="AT35" s="15" t="str">
        <f ca="1">IF($AF35="","",IFERROR(AVERAGE(OFFSET(Attendance!$A$1,4,5+(12-1)*4),OFFSET(Attendance!$A$1,4,7+(12-1)*4)),""))</f>
        <v/>
      </c>
      <c r="AU35" s="15" t="str">
        <f ca="1">IF($AF35="","",IFERROR(AVERAGE(OFFSET(Attendance!$A$1,4,5+(13-1)*4),OFFSET(Attendance!$A$1,4,7+(13-1)*4)),""))</f>
        <v/>
      </c>
      <c r="AV35" s="15" t="str">
        <f ca="1">IF($AF35="","",IFERROR(AVERAGE(OFFSET(Attendance!$A$1,4,5+(14-1)*4),OFFSET(Attendance!$A$1,4,7+(14-1)*4)),""))</f>
        <v/>
      </c>
      <c r="AW35" s="15" t="str">
        <f ca="1">IF($AF35="","",IFERROR(AVERAGE(OFFSET(Attendance!$A$1,4,5+(15-1)*4),OFFSET(Attendance!$A$1,4,7+(15-1)*4)),""))</f>
        <v/>
      </c>
      <c r="AX35" s="15" t="str">
        <f ca="1">IF($AF35="","",IFERROR(AVERAGE(OFFSET(Attendance!$A$1,4,5+(16-1)*4),OFFSET(Attendance!$A$1,4,7+(16-1)*4)),""))</f>
        <v/>
      </c>
      <c r="AY35" s="15" t="str">
        <f ca="1">IF($AF35="","",IFERROR(AVERAGE(OFFSET(Attendance!$A$1,4,5+(17-1)*4),OFFSET(Attendance!$A$1,4,7+(17-1)*4)),""))</f>
        <v/>
      </c>
      <c r="AZ35" s="15" t="str">
        <f ca="1">IF($AF35="","",IFERROR(AVERAGE(OFFSET(Attendance!$A$1,4,5+(18-1)*4),OFFSET(Attendance!$A$1,4,7+(18-1)*4)),""))</f>
        <v/>
      </c>
      <c r="BA35" s="15" t="str">
        <f ca="1">IF($AF35="","",IFERROR(AVERAGE(OFFSET(Attendance!$A$1,4,5+(19-1)*4),OFFSET(Attendance!$A$1,4,7+(19-1)*4)),""))</f>
        <v/>
      </c>
      <c r="BB35" s="15" t="str">
        <f ca="1">IF($AF35="","",IFERROR(AVERAGE(OFFSET(Attendance!$A$1,4,5+(20-1)*4),OFFSET(Attendance!$A$1,4,7+(20-1)*4)),""))</f>
        <v/>
      </c>
      <c r="BC35" s="15" t="str">
        <f ca="1">IF($AF35="","",IFERROR(AVERAGE(OFFSET(Attendance!$A$1,4,5+(21-1)*4),OFFSET(Attendance!$A$1,4,7+(21-1)*4)),""))</f>
        <v/>
      </c>
      <c r="BD35" s="15" t="str">
        <f ca="1">IF($AF35="","",IFERROR(AVERAGE(OFFSET(Attendance!$A$1,4,5+(22-1)*4),OFFSET(Attendance!$A$1,4,7+(22-1)*4)),""))</f>
        <v/>
      </c>
      <c r="BE35" s="16">
        <f>IF($AF35="","",IFERROR(Workings!$D6,""))</f>
        <v>1</v>
      </c>
      <c r="BF35" s="17">
        <f>IF($AF35="","",IFERROR(Workings!$E6,""))</f>
        <v>3</v>
      </c>
      <c r="BG35" s="17">
        <f>IF($AF35="","",IFERROR(Workings!$G6,""))</f>
        <v>6.5</v>
      </c>
      <c r="BH35" s="18">
        <f>IF($AF35="","",IFERROR(Workings!$H6,""))</f>
        <v>0.76666666666666661</v>
      </c>
    </row>
    <row r="36" spans="2:60" ht="15" customHeight="1" x14ac:dyDescent="0.45">
      <c r="AF36" s="13" t="str">
        <f>IF(Attendance!$D6="","",Attendance!$D6)</f>
        <v>Stella McEvoy</v>
      </c>
      <c r="AG36" s="14" t="str">
        <f t="array" ref="AG36">IF($AF36="","",_xlfn.TEXTJOIN("",TRUE(),IF(Attendance!$E$4:$CN$4="WR",IFERROR(CHOOSE(Attendance!$E6:$CN6,"▁","▃","▅","▆","█"),"·"),"")))</f>
        <v>▅▅▅·········································</v>
      </c>
      <c r="AH36" s="14" t="str">
        <f t="array" ref="AH36">IF($AF36="","",_xlfn.TEXTJOIN("",TRUE(),IF(Attendance!$CP$4:$FY$4="Rating",IFERROR(CHOOSE(ROUNDUP(Attendance!$CP6:$FY6/2,0),"▁","▃","▅","▆","█"),"·"),"")))</f>
        <v>▆·····················</v>
      </c>
      <c r="AI36" s="15">
        <f ca="1">IF($AF36="","",IFERROR(AVERAGE(OFFSET(Attendance!$A$1,5,5+(1-1)*4),OFFSET(Attendance!$A$1,5,7+(1-1)*4)),""))</f>
        <v>3</v>
      </c>
      <c r="AJ36" s="15">
        <f ca="1">IF($AF36="","",IFERROR(AVERAGE(OFFSET(Attendance!$A$1,5,5+(2-1)*4),OFFSET(Attendance!$A$1,5,7+(2-1)*4)),""))</f>
        <v>3</v>
      </c>
      <c r="AK36" s="15" t="str">
        <f ca="1">IF($AF36="","",IFERROR(AVERAGE(OFFSET(Attendance!$A$1,5,5+(3-1)*4),OFFSET(Attendance!$A$1,5,7+(3-1)*4)),""))</f>
        <v/>
      </c>
      <c r="AL36" s="15" t="str">
        <f ca="1">IF($AF36="","",IFERROR(AVERAGE(OFFSET(Attendance!$A$1,5,5+(4-1)*4),OFFSET(Attendance!$A$1,5,7+(4-1)*4)),""))</f>
        <v/>
      </c>
      <c r="AM36" s="15" t="str">
        <f ca="1">IF($AF36="","",IFERROR(AVERAGE(OFFSET(Attendance!$A$1,5,5+(5-1)*4),OFFSET(Attendance!$A$1,5,7+(5-1)*4)),""))</f>
        <v/>
      </c>
      <c r="AN36" s="15" t="str">
        <f ca="1">IF($AF36="","",IFERROR(AVERAGE(OFFSET(Attendance!$A$1,5,5+(6-1)*4),OFFSET(Attendance!$A$1,5,7+(6-1)*4)),""))</f>
        <v/>
      </c>
      <c r="AO36" s="15" t="str">
        <f ca="1">IF($AF36="","",IFERROR(AVERAGE(OFFSET(Attendance!$A$1,5,5+(7-1)*4),OFFSET(Attendance!$A$1,5,7+(7-1)*4)),""))</f>
        <v/>
      </c>
      <c r="AP36" s="15" t="str">
        <f ca="1">IF($AF36="","",IFERROR(AVERAGE(OFFSET(Attendance!$A$1,5,5+(8-1)*4),OFFSET(Attendance!$A$1,5,7+(8-1)*4)),""))</f>
        <v/>
      </c>
      <c r="AQ36" s="15" t="str">
        <f ca="1">IF($AF36="","",IFERROR(AVERAGE(OFFSET(Attendance!$A$1,5,5+(9-1)*4),OFFSET(Attendance!$A$1,5,7+(9-1)*4)),""))</f>
        <v/>
      </c>
      <c r="AR36" s="15" t="str">
        <f ca="1">IF($AF36="","",IFERROR(AVERAGE(OFFSET(Attendance!$A$1,5,5+(10-1)*4),OFFSET(Attendance!$A$1,5,7+(10-1)*4)),""))</f>
        <v/>
      </c>
      <c r="AS36" s="15" t="str">
        <f ca="1">IF($AF36="","",IFERROR(AVERAGE(OFFSET(Attendance!$A$1,5,5+(11-1)*4),OFFSET(Attendance!$A$1,5,7+(11-1)*4)),""))</f>
        <v/>
      </c>
      <c r="AT36" s="15" t="str">
        <f ca="1">IF($AF36="","",IFERROR(AVERAGE(OFFSET(Attendance!$A$1,5,5+(12-1)*4),OFFSET(Attendance!$A$1,5,7+(12-1)*4)),""))</f>
        <v/>
      </c>
      <c r="AU36" s="15" t="str">
        <f ca="1">IF($AF36="","",IFERROR(AVERAGE(OFFSET(Attendance!$A$1,5,5+(13-1)*4),OFFSET(Attendance!$A$1,5,7+(13-1)*4)),""))</f>
        <v/>
      </c>
      <c r="AV36" s="15" t="str">
        <f ca="1">IF($AF36="","",IFERROR(AVERAGE(OFFSET(Attendance!$A$1,5,5+(14-1)*4),OFFSET(Attendance!$A$1,5,7+(14-1)*4)),""))</f>
        <v/>
      </c>
      <c r="AW36" s="15" t="str">
        <f ca="1">IF($AF36="","",IFERROR(AVERAGE(OFFSET(Attendance!$A$1,5,5+(15-1)*4),OFFSET(Attendance!$A$1,5,7+(15-1)*4)),""))</f>
        <v/>
      </c>
      <c r="AX36" s="15" t="str">
        <f ca="1">IF($AF36="","",IFERROR(AVERAGE(OFFSET(Attendance!$A$1,5,5+(16-1)*4),OFFSET(Attendance!$A$1,5,7+(16-1)*4)),""))</f>
        <v/>
      </c>
      <c r="AY36" s="15" t="str">
        <f ca="1">IF($AF36="","",IFERROR(AVERAGE(OFFSET(Attendance!$A$1,5,5+(17-1)*4),OFFSET(Attendance!$A$1,5,7+(17-1)*4)),""))</f>
        <v/>
      </c>
      <c r="AZ36" s="15" t="str">
        <f ca="1">IF($AF36="","",IFERROR(AVERAGE(OFFSET(Attendance!$A$1,5,5+(18-1)*4),OFFSET(Attendance!$A$1,5,7+(18-1)*4)),""))</f>
        <v/>
      </c>
      <c r="BA36" s="15" t="str">
        <f ca="1">IF($AF36="","",IFERROR(AVERAGE(OFFSET(Attendance!$A$1,5,5+(19-1)*4),OFFSET(Attendance!$A$1,5,7+(19-1)*4)),""))</f>
        <v/>
      </c>
      <c r="BB36" s="15" t="str">
        <f ca="1">IF($AF36="","",IFERROR(AVERAGE(OFFSET(Attendance!$A$1,5,5+(20-1)*4),OFFSET(Attendance!$A$1,5,7+(20-1)*4)),""))</f>
        <v/>
      </c>
      <c r="BC36" s="15" t="str">
        <f ca="1">IF($AF36="","",IFERROR(AVERAGE(OFFSET(Attendance!$A$1,5,5+(21-1)*4),OFFSET(Attendance!$A$1,5,7+(21-1)*4)),""))</f>
        <v/>
      </c>
      <c r="BD36" s="15" t="str">
        <f ca="1">IF($AF36="","",IFERROR(AVERAGE(OFFSET(Attendance!$A$1,5,5+(22-1)*4),OFFSET(Attendance!$A$1,5,7+(22-1)*4)),""))</f>
        <v/>
      </c>
      <c r="BE36" s="16">
        <f>IF($AF36="","",IFERROR(Workings!$D7,""))</f>
        <v>1</v>
      </c>
      <c r="BF36" s="17">
        <f>IF($AF36="","",IFERROR(Workings!$E7,""))</f>
        <v>3</v>
      </c>
      <c r="BG36" s="17">
        <f>IF($AF36="","",IFERROR(Workings!$G7,""))</f>
        <v>7.5</v>
      </c>
      <c r="BH36" s="18">
        <f>IF($AF36="","",IFERROR(Workings!$H7,""))</f>
        <v>0.76666666666666661</v>
      </c>
    </row>
    <row r="37" spans="2:60" ht="15" customHeight="1" x14ac:dyDescent="0.45">
      <c r="B37" s="6" t="s">
        <v>25</v>
      </c>
      <c r="C37" s="6" t="s">
        <v>18</v>
      </c>
      <c r="D37" s="6" t="s">
        <v>26</v>
      </c>
      <c r="E37" s="6" t="s">
        <v>27</v>
      </c>
      <c r="F37" s="6" t="s">
        <v>28</v>
      </c>
      <c r="G37" s="6" t="s">
        <v>4</v>
      </c>
      <c r="H37" s="6" t="s">
        <v>29</v>
      </c>
      <c r="I37" s="6" t="s">
        <v>30</v>
      </c>
      <c r="AF37" s="13" t="str">
        <f>IF(Attendance!$D7="","",Attendance!$D7)</f>
        <v>Zara Power</v>
      </c>
      <c r="AG37" s="14" t="str">
        <f t="array" ref="AG37">IF($AF37="","",_xlfn.TEXTJOIN("",TRUE(),IF(Attendance!$E$4:$CN$4="WR",IFERROR(CHOOSE(Attendance!$E7:$CN7,"▁","▃","▅","▆","█"),"·"),"")))</f>
        <v>············································</v>
      </c>
      <c r="AH37" s="14" t="str">
        <f t="array" ref="AH37">IF($AF37="","",_xlfn.TEXTJOIN("",TRUE(),IF(Attendance!$CP$4:$FY$4="Rating",IFERROR(CHOOSE(ROUNDUP(Attendance!$CP7:$FY7/2,0),"▁","▃","▅","▆","█"),"·"),"")))</f>
        <v>······················</v>
      </c>
      <c r="AI37" s="15" t="str">
        <f ca="1">IF($AF37="","",IFERROR(AVERAGE(OFFSET(Attendance!$A$1,6,5+(1-1)*4),OFFSET(Attendance!$A$1,6,7+(1-1)*4)),""))</f>
        <v/>
      </c>
      <c r="AJ37" s="15" t="str">
        <f ca="1">IF($AF37="","",IFERROR(AVERAGE(OFFSET(Attendance!$A$1,6,5+(2-1)*4),OFFSET(Attendance!$A$1,6,7+(2-1)*4)),""))</f>
        <v/>
      </c>
      <c r="AK37" s="15" t="str">
        <f ca="1">IF($AF37="","",IFERROR(AVERAGE(OFFSET(Attendance!$A$1,6,5+(3-1)*4),OFFSET(Attendance!$A$1,6,7+(3-1)*4)),""))</f>
        <v/>
      </c>
      <c r="AL37" s="15" t="str">
        <f ca="1">IF($AF37="","",IFERROR(AVERAGE(OFFSET(Attendance!$A$1,6,5+(4-1)*4),OFFSET(Attendance!$A$1,6,7+(4-1)*4)),""))</f>
        <v/>
      </c>
      <c r="AM37" s="15" t="str">
        <f ca="1">IF($AF37="","",IFERROR(AVERAGE(OFFSET(Attendance!$A$1,6,5+(5-1)*4),OFFSET(Attendance!$A$1,6,7+(5-1)*4)),""))</f>
        <v/>
      </c>
      <c r="AN37" s="15" t="str">
        <f ca="1">IF($AF37="","",IFERROR(AVERAGE(OFFSET(Attendance!$A$1,6,5+(6-1)*4),OFFSET(Attendance!$A$1,6,7+(6-1)*4)),""))</f>
        <v/>
      </c>
      <c r="AO37" s="15" t="str">
        <f ca="1">IF($AF37="","",IFERROR(AVERAGE(OFFSET(Attendance!$A$1,6,5+(7-1)*4),OFFSET(Attendance!$A$1,6,7+(7-1)*4)),""))</f>
        <v/>
      </c>
      <c r="AP37" s="15" t="str">
        <f ca="1">IF($AF37="","",IFERROR(AVERAGE(OFFSET(Attendance!$A$1,6,5+(8-1)*4),OFFSET(Attendance!$A$1,6,7+(8-1)*4)),""))</f>
        <v/>
      </c>
      <c r="AQ37" s="15" t="str">
        <f ca="1">IF($AF37="","",IFERROR(AVERAGE(OFFSET(Attendance!$A$1,6,5+(9-1)*4),OFFSET(Attendance!$A$1,6,7+(9-1)*4)),""))</f>
        <v/>
      </c>
      <c r="AR37" s="15" t="str">
        <f ca="1">IF($AF37="","",IFERROR(AVERAGE(OFFSET(Attendance!$A$1,6,5+(10-1)*4),OFFSET(Attendance!$A$1,6,7+(10-1)*4)),""))</f>
        <v/>
      </c>
      <c r="AS37" s="15" t="str">
        <f ca="1">IF($AF37="","",IFERROR(AVERAGE(OFFSET(Attendance!$A$1,6,5+(11-1)*4),OFFSET(Attendance!$A$1,6,7+(11-1)*4)),""))</f>
        <v/>
      </c>
      <c r="AT37" s="15" t="str">
        <f ca="1">IF($AF37="","",IFERROR(AVERAGE(OFFSET(Attendance!$A$1,6,5+(12-1)*4),OFFSET(Attendance!$A$1,6,7+(12-1)*4)),""))</f>
        <v/>
      </c>
      <c r="AU37" s="15" t="str">
        <f ca="1">IF($AF37="","",IFERROR(AVERAGE(OFFSET(Attendance!$A$1,6,5+(13-1)*4),OFFSET(Attendance!$A$1,6,7+(13-1)*4)),""))</f>
        <v/>
      </c>
      <c r="AV37" s="15" t="str">
        <f ca="1">IF($AF37="","",IFERROR(AVERAGE(OFFSET(Attendance!$A$1,6,5+(14-1)*4),OFFSET(Attendance!$A$1,6,7+(14-1)*4)),""))</f>
        <v/>
      </c>
      <c r="AW37" s="15" t="str">
        <f ca="1">IF($AF37="","",IFERROR(AVERAGE(OFFSET(Attendance!$A$1,6,5+(15-1)*4),OFFSET(Attendance!$A$1,6,7+(15-1)*4)),""))</f>
        <v/>
      </c>
      <c r="AX37" s="15" t="str">
        <f ca="1">IF($AF37="","",IFERROR(AVERAGE(OFFSET(Attendance!$A$1,6,5+(16-1)*4),OFFSET(Attendance!$A$1,6,7+(16-1)*4)),""))</f>
        <v/>
      </c>
      <c r="AY37" s="15" t="str">
        <f ca="1">IF($AF37="","",IFERROR(AVERAGE(OFFSET(Attendance!$A$1,6,5+(17-1)*4),OFFSET(Attendance!$A$1,6,7+(17-1)*4)),""))</f>
        <v/>
      </c>
      <c r="AZ37" s="15" t="str">
        <f ca="1">IF($AF37="","",IFERROR(AVERAGE(OFFSET(Attendance!$A$1,6,5+(18-1)*4),OFFSET(Attendance!$A$1,6,7+(18-1)*4)),""))</f>
        <v/>
      </c>
      <c r="BA37" s="15" t="str">
        <f ca="1">IF($AF37="","",IFERROR(AVERAGE(OFFSET(Attendance!$A$1,6,5+(19-1)*4),OFFSET(Attendance!$A$1,6,7+(19-1)*4)),""))</f>
        <v/>
      </c>
      <c r="BB37" s="15" t="str">
        <f ca="1">IF($AF37="","",IFERROR(AVERAGE(OFFSET(Attendance!$A$1,6,5+(20-1)*4),OFFSET(Attendance!$A$1,6,7+(20-1)*4)),""))</f>
        <v/>
      </c>
      <c r="BC37" s="15" t="str">
        <f ca="1">IF($AF37="","",IFERROR(AVERAGE(OFFSET(Attendance!$A$1,6,5+(21-1)*4),OFFSET(Attendance!$A$1,6,7+(21-1)*4)),""))</f>
        <v/>
      </c>
      <c r="BD37" s="15" t="str">
        <f ca="1">IF($AF37="","",IFERROR(AVERAGE(OFFSET(Attendance!$A$1,6,5+(22-1)*4),OFFSET(Attendance!$A$1,6,7+(22-1)*4)),""))</f>
        <v/>
      </c>
      <c r="BE37" s="16">
        <f>IF($AF37="","",IFERROR(Workings!$D8,""))</f>
        <v>0</v>
      </c>
      <c r="BF37" s="17" t="str">
        <f>IF($AF37="","",IFERROR(Workings!$E8,""))</f>
        <v/>
      </c>
      <c r="BG37" s="17" t="str">
        <f>IF($AF37="","",IFERROR(Workings!$G8,""))</f>
        <v/>
      </c>
      <c r="BH37" s="18">
        <f>IF($AF37="","",IFERROR(Workings!$H8,""))</f>
        <v>0</v>
      </c>
    </row>
    <row r="38" spans="2:60" ht="15" customHeight="1" x14ac:dyDescent="0.45">
      <c r="B38" s="19">
        <f>IF(ROW()-37&gt;COUNT(Workings!$AX$6:$AX$25),"",ROW()-37)</f>
        <v>1</v>
      </c>
      <c r="C38" s="20" t="str">
        <f>IF($B38="","",IFERROR(INDEX(Workings!$AO$6:$AO$25,MATCH($B38,Workings!$AX$6:$AX$25,0)),""))</f>
        <v>Stella McEvoy</v>
      </c>
      <c r="D38" s="19">
        <f>IF($B38="","",IFERROR(INDEX(Workings!$AP$6:$AP$25,MATCH($B38,Workings!$AX$6:$AX$25,0)),""))</f>
        <v>9</v>
      </c>
      <c r="E38" s="19">
        <f>IF($B38="","",IFERROR(INDEX(Workings!$AQ$6:$AQ$25,MATCH($B38,Workings!$AX$6:$AX$25,0)),""))</f>
        <v>11</v>
      </c>
      <c r="F38" s="21">
        <f>IF($B38="","",IFERROR(INDEX(Workings!$AR$6:$AR$25,MATCH($B38,Workings!$AX$6:$AX$25,0)),""))</f>
        <v>0.81818181818181823</v>
      </c>
      <c r="G38" s="22">
        <f>IF($B38="","",IFERROR(INDEX(Workings!$AS$6:$AS$25,MATCH($B38,Workings!$AX$6:$AX$25,0)),""))</f>
        <v>3.6666666666666665</v>
      </c>
      <c r="H38" s="23" t="str">
        <f>IF($B38="","",IFERROR(INDEX(Workings!$AU$6:$AU$25,MATCH($B38,Workings!$AX$6:$AX$25,0)),""))</f>
        <v>Match Ready</v>
      </c>
      <c r="I38" s="24">
        <f>IF($B38="","",IFERROR(INDEX(Workings!$AT$6:$AT$25,MATCH($B38,Workings!$AX$6:$AX$25,0)),""))</f>
        <v>0.76727272727272733</v>
      </c>
      <c r="AF38" s="13" t="str">
        <f>IF(Attendance!$D8="","",Attendance!$D8)</f>
        <v>Heidi Cerubini Dunne</v>
      </c>
      <c r="AG38" s="14" t="str">
        <f t="array" ref="AG38">IF($AF38="","",_xlfn.TEXTJOIN("",TRUE(),IF(Attendance!$E$4:$CN$4="WR",IFERROR(CHOOSE(Attendance!$E8:$CN8,"▁","▃","▅","▆","█"),"·"),"")))</f>
        <v>············································</v>
      </c>
      <c r="AH38" s="14" t="str">
        <f t="array" ref="AH38">IF($AF38="","",_xlfn.TEXTJOIN("",TRUE(),IF(Attendance!$CP$4:$FY$4="Rating",IFERROR(CHOOSE(ROUNDUP(Attendance!$CP8:$FY8/2,0),"▁","▃","▅","▆","█"),"·"),"")))</f>
        <v>······················</v>
      </c>
      <c r="AI38" s="15" t="str">
        <f ca="1">IF($AF38="","",IFERROR(AVERAGE(OFFSET(Attendance!$A$1,7,5+(1-1)*4),OFFSET(Attendance!$A$1,7,7+(1-1)*4)),""))</f>
        <v/>
      </c>
      <c r="AJ38" s="15" t="str">
        <f ca="1">IF($AF38="","",IFERROR(AVERAGE(OFFSET(Attendance!$A$1,7,5+(2-1)*4),OFFSET(Attendance!$A$1,7,7+(2-1)*4)),""))</f>
        <v/>
      </c>
      <c r="AK38" s="15" t="str">
        <f ca="1">IF($AF38="","",IFERROR(AVERAGE(OFFSET(Attendance!$A$1,7,5+(3-1)*4),OFFSET(Attendance!$A$1,7,7+(3-1)*4)),""))</f>
        <v/>
      </c>
      <c r="AL38" s="15" t="str">
        <f ca="1">IF($AF38="","",IFERROR(AVERAGE(OFFSET(Attendance!$A$1,7,5+(4-1)*4),OFFSET(Attendance!$A$1,7,7+(4-1)*4)),""))</f>
        <v/>
      </c>
      <c r="AM38" s="15" t="str">
        <f ca="1">IF($AF38="","",IFERROR(AVERAGE(OFFSET(Attendance!$A$1,7,5+(5-1)*4),OFFSET(Attendance!$A$1,7,7+(5-1)*4)),""))</f>
        <v/>
      </c>
      <c r="AN38" s="15" t="str">
        <f ca="1">IF($AF38="","",IFERROR(AVERAGE(OFFSET(Attendance!$A$1,7,5+(6-1)*4),OFFSET(Attendance!$A$1,7,7+(6-1)*4)),""))</f>
        <v/>
      </c>
      <c r="AO38" s="15" t="str">
        <f ca="1">IF($AF38="","",IFERROR(AVERAGE(OFFSET(Attendance!$A$1,7,5+(7-1)*4),OFFSET(Attendance!$A$1,7,7+(7-1)*4)),""))</f>
        <v/>
      </c>
      <c r="AP38" s="15" t="str">
        <f ca="1">IF($AF38="","",IFERROR(AVERAGE(OFFSET(Attendance!$A$1,7,5+(8-1)*4),OFFSET(Attendance!$A$1,7,7+(8-1)*4)),""))</f>
        <v/>
      </c>
      <c r="AQ38" s="15" t="str">
        <f ca="1">IF($AF38="","",IFERROR(AVERAGE(OFFSET(Attendance!$A$1,7,5+(9-1)*4),OFFSET(Attendance!$A$1,7,7+(9-1)*4)),""))</f>
        <v/>
      </c>
      <c r="AR38" s="15" t="str">
        <f ca="1">IF($AF38="","",IFERROR(AVERAGE(OFFSET(Attendance!$A$1,7,5+(10-1)*4),OFFSET(Attendance!$A$1,7,7+(10-1)*4)),""))</f>
        <v/>
      </c>
      <c r="AS38" s="15" t="str">
        <f ca="1">IF($AF38="","",IFERROR(AVERAGE(OFFSET(Attendance!$A$1,7,5+(11-1)*4),OFFSET(Attendance!$A$1,7,7+(11-1)*4)),""))</f>
        <v/>
      </c>
      <c r="AT38" s="15" t="str">
        <f ca="1">IF($AF38="","",IFERROR(AVERAGE(OFFSET(Attendance!$A$1,7,5+(12-1)*4),OFFSET(Attendance!$A$1,7,7+(12-1)*4)),""))</f>
        <v/>
      </c>
      <c r="AU38" s="15" t="str">
        <f ca="1">IF($AF38="","",IFERROR(AVERAGE(OFFSET(Attendance!$A$1,7,5+(13-1)*4),OFFSET(Attendance!$A$1,7,7+(13-1)*4)),""))</f>
        <v/>
      </c>
      <c r="AV38" s="15" t="str">
        <f ca="1">IF($AF38="","",IFERROR(AVERAGE(OFFSET(Attendance!$A$1,7,5+(14-1)*4),OFFSET(Attendance!$A$1,7,7+(14-1)*4)),""))</f>
        <v/>
      </c>
      <c r="AW38" s="15" t="str">
        <f ca="1">IF($AF38="","",IFERROR(AVERAGE(OFFSET(Attendance!$A$1,7,5+(15-1)*4),OFFSET(Attendance!$A$1,7,7+(15-1)*4)),""))</f>
        <v/>
      </c>
      <c r="AX38" s="15" t="str">
        <f ca="1">IF($AF38="","",IFERROR(AVERAGE(OFFSET(Attendance!$A$1,7,5+(16-1)*4),OFFSET(Attendance!$A$1,7,7+(16-1)*4)),""))</f>
        <v/>
      </c>
      <c r="AY38" s="15" t="str">
        <f ca="1">IF($AF38="","",IFERROR(AVERAGE(OFFSET(Attendance!$A$1,7,5+(17-1)*4),OFFSET(Attendance!$A$1,7,7+(17-1)*4)),""))</f>
        <v/>
      </c>
      <c r="AZ38" s="15" t="str">
        <f ca="1">IF($AF38="","",IFERROR(AVERAGE(OFFSET(Attendance!$A$1,7,5+(18-1)*4),OFFSET(Attendance!$A$1,7,7+(18-1)*4)),""))</f>
        <v/>
      </c>
      <c r="BA38" s="15" t="str">
        <f ca="1">IF($AF38="","",IFERROR(AVERAGE(OFFSET(Attendance!$A$1,7,5+(19-1)*4),OFFSET(Attendance!$A$1,7,7+(19-1)*4)),""))</f>
        <v/>
      </c>
      <c r="BB38" s="15" t="str">
        <f ca="1">IF($AF38="","",IFERROR(AVERAGE(OFFSET(Attendance!$A$1,7,5+(20-1)*4),OFFSET(Attendance!$A$1,7,7+(20-1)*4)),""))</f>
        <v/>
      </c>
      <c r="BC38" s="15" t="str">
        <f ca="1">IF($AF38="","",IFERROR(AVERAGE(OFFSET(Attendance!$A$1,7,5+(21-1)*4),OFFSET(Attendance!$A$1,7,7+(21-1)*4)),""))</f>
        <v/>
      </c>
      <c r="BD38" s="15" t="str">
        <f ca="1">IF($AF38="","",IFERROR(AVERAGE(OFFSET(Attendance!$A$1,7,5+(22-1)*4),OFFSET(Attendance!$A$1,7,7+(22-1)*4)),""))</f>
        <v/>
      </c>
      <c r="BE38" s="16">
        <f>IF($AF38="","",IFERROR(Workings!$D9,""))</f>
        <v>0</v>
      </c>
      <c r="BF38" s="17" t="str">
        <f>IF($AF38="","",IFERROR(Workings!$E9,""))</f>
        <v/>
      </c>
      <c r="BG38" s="17" t="str">
        <f>IF($AF38="","",IFERROR(Workings!$G9,""))</f>
        <v/>
      </c>
      <c r="BH38" s="18">
        <f>IF($AF38="","",IFERROR(Workings!$H9,""))</f>
        <v>0</v>
      </c>
    </row>
    <row r="39" spans="2:60" ht="15" customHeight="1" x14ac:dyDescent="0.45">
      <c r="B39" s="19">
        <f>IF(ROW()-37&gt;COUNT(Workings!$AX$6:$AX$25),"",ROW()-37)</f>
        <v>2</v>
      </c>
      <c r="C39" s="20" t="str">
        <f>IF($B39="","",IFERROR(INDEX(Workings!$AO$6:$AO$25,MATCH($B39,Workings!$AX$6:$AX$25,0)),""))</f>
        <v>Roisin Offenhausen</v>
      </c>
      <c r="D39" s="19">
        <f>IF($B39="","",IFERROR(INDEX(Workings!$AP$6:$AP$25,MATCH($B39,Workings!$AX$6:$AX$25,0)),""))</f>
        <v>8</v>
      </c>
      <c r="E39" s="19">
        <f>IF($B39="","",IFERROR(INDEX(Workings!$AQ$6:$AQ$25,MATCH($B39,Workings!$AX$6:$AX$25,0)),""))</f>
        <v>11</v>
      </c>
      <c r="F39" s="21">
        <f>IF($B39="","",IFERROR(INDEX(Workings!$AR$6:$AR$25,MATCH($B39,Workings!$AX$6:$AX$25,0)),""))</f>
        <v>0.72727272727272729</v>
      </c>
      <c r="G39" s="22">
        <f>IF($B39="","",IFERROR(INDEX(Workings!$AS$6:$AS$25,MATCH($B39,Workings!$AX$6:$AX$25,0)),""))</f>
        <v>3.875</v>
      </c>
      <c r="H39" s="23" t="str">
        <f>IF($B39="","",IFERROR(INDEX(Workings!$AU$6:$AU$25,MATCH($B39,Workings!$AX$6:$AX$25,0)),""))</f>
        <v>Match Ready</v>
      </c>
      <c r="I39" s="24">
        <f>IF($B39="","",IFERROR(INDEX(Workings!$AT$6:$AT$25,MATCH($B39,Workings!$AX$6:$AX$25,0)),""))</f>
        <v>0.74181818181818193</v>
      </c>
      <c r="AF39" s="13" t="str">
        <f>IF(Attendance!$D9="","",Attendance!$D9)</f>
        <v>Roisin Offenhausen</v>
      </c>
      <c r="AG39" s="14" t="str">
        <f t="array" ref="AG39">IF($AF39="","",_xlfn.TEXTJOIN("",TRUE(),IF(Attendance!$E$4:$CN$4="WR",IFERROR(CHOOSE(Attendance!$E9:$CN9,"▁","▃","▅","▆","█"),"·"),"")))</f>
        <v>▅▅█·········································</v>
      </c>
      <c r="AH39" s="14" t="str">
        <f t="array" ref="AH39">IF($AF39="","",_xlfn.TEXTJOIN("",TRUE(),IF(Attendance!$CP$4:$FY$4="Rating",IFERROR(CHOOSE(ROUNDUP(Attendance!$CP9:$FY9/2,0),"▁","▃","▅","▆","█"),"·"),"")))</f>
        <v>█·····················</v>
      </c>
      <c r="AI39" s="15">
        <f ca="1">IF($AF39="","",IFERROR(AVERAGE(OFFSET(Attendance!$A$1,8,5+(1-1)*4),OFFSET(Attendance!$A$1,8,7+(1-1)*4)),""))</f>
        <v>3</v>
      </c>
      <c r="AJ39" s="15">
        <f ca="1">IF($AF39="","",IFERROR(AVERAGE(OFFSET(Attendance!$A$1,8,5+(2-1)*4),OFFSET(Attendance!$A$1,8,7+(2-1)*4)),""))</f>
        <v>5</v>
      </c>
      <c r="AK39" s="15" t="str">
        <f ca="1">IF($AF39="","",IFERROR(AVERAGE(OFFSET(Attendance!$A$1,8,5+(3-1)*4),OFFSET(Attendance!$A$1,8,7+(3-1)*4)),""))</f>
        <v/>
      </c>
      <c r="AL39" s="15" t="str">
        <f ca="1">IF($AF39="","",IFERROR(AVERAGE(OFFSET(Attendance!$A$1,8,5+(4-1)*4),OFFSET(Attendance!$A$1,8,7+(4-1)*4)),""))</f>
        <v/>
      </c>
      <c r="AM39" s="15" t="str">
        <f ca="1">IF($AF39="","",IFERROR(AVERAGE(OFFSET(Attendance!$A$1,8,5+(5-1)*4),OFFSET(Attendance!$A$1,8,7+(5-1)*4)),""))</f>
        <v/>
      </c>
      <c r="AN39" s="15" t="str">
        <f ca="1">IF($AF39="","",IFERROR(AVERAGE(OFFSET(Attendance!$A$1,8,5+(6-1)*4),OFFSET(Attendance!$A$1,8,7+(6-1)*4)),""))</f>
        <v/>
      </c>
      <c r="AO39" s="15" t="str">
        <f ca="1">IF($AF39="","",IFERROR(AVERAGE(OFFSET(Attendance!$A$1,8,5+(7-1)*4),OFFSET(Attendance!$A$1,8,7+(7-1)*4)),""))</f>
        <v/>
      </c>
      <c r="AP39" s="15" t="str">
        <f ca="1">IF($AF39="","",IFERROR(AVERAGE(OFFSET(Attendance!$A$1,8,5+(8-1)*4),OFFSET(Attendance!$A$1,8,7+(8-1)*4)),""))</f>
        <v/>
      </c>
      <c r="AQ39" s="15" t="str">
        <f ca="1">IF($AF39="","",IFERROR(AVERAGE(OFFSET(Attendance!$A$1,8,5+(9-1)*4),OFFSET(Attendance!$A$1,8,7+(9-1)*4)),""))</f>
        <v/>
      </c>
      <c r="AR39" s="15" t="str">
        <f ca="1">IF($AF39="","",IFERROR(AVERAGE(OFFSET(Attendance!$A$1,8,5+(10-1)*4),OFFSET(Attendance!$A$1,8,7+(10-1)*4)),""))</f>
        <v/>
      </c>
      <c r="AS39" s="15" t="str">
        <f ca="1">IF($AF39="","",IFERROR(AVERAGE(OFFSET(Attendance!$A$1,8,5+(11-1)*4),OFFSET(Attendance!$A$1,8,7+(11-1)*4)),""))</f>
        <v/>
      </c>
      <c r="AT39" s="15" t="str">
        <f ca="1">IF($AF39="","",IFERROR(AVERAGE(OFFSET(Attendance!$A$1,8,5+(12-1)*4),OFFSET(Attendance!$A$1,8,7+(12-1)*4)),""))</f>
        <v/>
      </c>
      <c r="AU39" s="15" t="str">
        <f ca="1">IF($AF39="","",IFERROR(AVERAGE(OFFSET(Attendance!$A$1,8,5+(13-1)*4),OFFSET(Attendance!$A$1,8,7+(13-1)*4)),""))</f>
        <v/>
      </c>
      <c r="AV39" s="15" t="str">
        <f ca="1">IF($AF39="","",IFERROR(AVERAGE(OFFSET(Attendance!$A$1,8,5+(14-1)*4),OFFSET(Attendance!$A$1,8,7+(14-1)*4)),""))</f>
        <v/>
      </c>
      <c r="AW39" s="15" t="str">
        <f ca="1">IF($AF39="","",IFERROR(AVERAGE(OFFSET(Attendance!$A$1,8,5+(15-1)*4),OFFSET(Attendance!$A$1,8,7+(15-1)*4)),""))</f>
        <v/>
      </c>
      <c r="AX39" s="15" t="str">
        <f ca="1">IF($AF39="","",IFERROR(AVERAGE(OFFSET(Attendance!$A$1,8,5+(16-1)*4),OFFSET(Attendance!$A$1,8,7+(16-1)*4)),""))</f>
        <v/>
      </c>
      <c r="AY39" s="15" t="str">
        <f ca="1">IF($AF39="","",IFERROR(AVERAGE(OFFSET(Attendance!$A$1,8,5+(17-1)*4),OFFSET(Attendance!$A$1,8,7+(17-1)*4)),""))</f>
        <v/>
      </c>
      <c r="AZ39" s="15" t="str">
        <f ca="1">IF($AF39="","",IFERROR(AVERAGE(OFFSET(Attendance!$A$1,8,5+(18-1)*4),OFFSET(Attendance!$A$1,8,7+(18-1)*4)),""))</f>
        <v/>
      </c>
      <c r="BA39" s="15" t="str">
        <f ca="1">IF($AF39="","",IFERROR(AVERAGE(OFFSET(Attendance!$A$1,8,5+(19-1)*4),OFFSET(Attendance!$A$1,8,7+(19-1)*4)),""))</f>
        <v/>
      </c>
      <c r="BB39" s="15" t="str">
        <f ca="1">IF($AF39="","",IFERROR(AVERAGE(OFFSET(Attendance!$A$1,8,5+(20-1)*4),OFFSET(Attendance!$A$1,8,7+(20-1)*4)),""))</f>
        <v/>
      </c>
      <c r="BC39" s="15" t="str">
        <f ca="1">IF($AF39="","",IFERROR(AVERAGE(OFFSET(Attendance!$A$1,8,5+(21-1)*4),OFFSET(Attendance!$A$1,8,7+(21-1)*4)),""))</f>
        <v/>
      </c>
      <c r="BD39" s="15" t="str">
        <f ca="1">IF($AF39="","",IFERROR(AVERAGE(OFFSET(Attendance!$A$1,8,5+(22-1)*4),OFFSET(Attendance!$A$1,8,7+(22-1)*4)),""))</f>
        <v/>
      </c>
      <c r="BE39" s="16">
        <f>IF($AF39="","",IFERROR(Workings!$D10,""))</f>
        <v>1</v>
      </c>
      <c r="BF39" s="17">
        <f>IF($AF39="","",IFERROR(Workings!$E10,""))</f>
        <v>3.6666666666666665</v>
      </c>
      <c r="BG39" s="17">
        <f>IF($AF39="","",IFERROR(Workings!$G10,""))</f>
        <v>10</v>
      </c>
      <c r="BH39" s="18">
        <f>IF($AF39="","",IFERROR(Workings!$H10,""))</f>
        <v>0.84444444444444433</v>
      </c>
    </row>
    <row r="40" spans="2:60" ht="15" customHeight="1" x14ac:dyDescent="0.45">
      <c r="B40" s="19">
        <f>IF(ROW()-37&gt;COUNT(Workings!$AX$6:$AX$25),"",ROW()-37)</f>
        <v>3</v>
      </c>
      <c r="C40" s="20" t="str">
        <f>IF($B40="","",IFERROR(INDEX(Workings!$AO$6:$AO$25,MATCH($B40,Workings!$AX$6:$AX$25,0)),""))</f>
        <v>Elsie Morrison</v>
      </c>
      <c r="D40" s="19">
        <f>IF($B40="","",IFERROR(INDEX(Workings!$AP$6:$AP$25,MATCH($B40,Workings!$AX$6:$AX$25,0)),""))</f>
        <v>9</v>
      </c>
      <c r="E40" s="19">
        <f>IF($B40="","",IFERROR(INDEX(Workings!$AQ$6:$AQ$25,MATCH($B40,Workings!$AX$6:$AX$25,0)),""))</f>
        <v>11</v>
      </c>
      <c r="F40" s="21">
        <f>IF($B40="","",IFERROR(INDEX(Workings!$AR$6:$AR$25,MATCH($B40,Workings!$AX$6:$AX$25,0)),""))</f>
        <v>0.81818181818181823</v>
      </c>
      <c r="G40" s="22">
        <f>IF($B40="","",IFERROR(INDEX(Workings!$AS$6:$AS$25,MATCH($B40,Workings!$AX$6:$AX$25,0)),""))</f>
        <v>3.2222222222222223</v>
      </c>
      <c r="H40" s="23" t="str">
        <f>IF($B40="","",IFERROR(INDEX(Workings!$AU$6:$AU$25,MATCH($B40,Workings!$AX$6:$AX$25,0)),""))</f>
        <v>Not Ready for 90 min</v>
      </c>
      <c r="I40" s="24">
        <f>IF($B40="","",IFERROR(INDEX(Workings!$AT$6:$AT$25,MATCH($B40,Workings!$AX$6:$AX$25,0)),""))</f>
        <v>0.71393939393939398</v>
      </c>
      <c r="AF40" s="13" t="str">
        <f>IF(Attendance!$D10="","",Attendance!$D10)</f>
        <v>Naomi Adewoyin</v>
      </c>
      <c r="AG40" s="14" t="str">
        <f t="array" ref="AG40">IF($AF40="","",_xlfn.TEXTJOIN("",TRUE(),IF(Attendance!$E$4:$CN$4="WR",IFERROR(CHOOSE(Attendance!$E10:$CN10,"▁","▃","▅","▆","█"),"·"),"")))</f>
        <v>▅▅▅·········································</v>
      </c>
      <c r="AH40" s="14" t="str">
        <f t="array" ref="AH40">IF($AF40="","",_xlfn.TEXTJOIN("",TRUE(),IF(Attendance!$CP$4:$FY$4="Rating",IFERROR(CHOOSE(ROUNDUP(Attendance!$CP10:$FY10/2,0),"▁","▃","▅","▆","█"),"·"),"")))</f>
        <v>▆·····················</v>
      </c>
      <c r="AI40" s="15">
        <f ca="1">IF($AF40="","",IFERROR(AVERAGE(OFFSET(Attendance!$A$1,9,5+(1-1)*4),OFFSET(Attendance!$A$1,9,7+(1-1)*4)),""))</f>
        <v>3</v>
      </c>
      <c r="AJ40" s="15">
        <f ca="1">IF($AF40="","",IFERROR(AVERAGE(OFFSET(Attendance!$A$1,9,5+(2-1)*4),OFFSET(Attendance!$A$1,9,7+(2-1)*4)),""))</f>
        <v>3</v>
      </c>
      <c r="AK40" s="15" t="str">
        <f ca="1">IF($AF40="","",IFERROR(AVERAGE(OFFSET(Attendance!$A$1,9,5+(3-1)*4),OFFSET(Attendance!$A$1,9,7+(3-1)*4)),""))</f>
        <v/>
      </c>
      <c r="AL40" s="15" t="str">
        <f ca="1">IF($AF40="","",IFERROR(AVERAGE(OFFSET(Attendance!$A$1,9,5+(4-1)*4),OFFSET(Attendance!$A$1,9,7+(4-1)*4)),""))</f>
        <v/>
      </c>
      <c r="AM40" s="15" t="str">
        <f ca="1">IF($AF40="","",IFERROR(AVERAGE(OFFSET(Attendance!$A$1,9,5+(5-1)*4),OFFSET(Attendance!$A$1,9,7+(5-1)*4)),""))</f>
        <v/>
      </c>
      <c r="AN40" s="15" t="str">
        <f ca="1">IF($AF40="","",IFERROR(AVERAGE(OFFSET(Attendance!$A$1,9,5+(6-1)*4),OFFSET(Attendance!$A$1,9,7+(6-1)*4)),""))</f>
        <v/>
      </c>
      <c r="AO40" s="15" t="str">
        <f ca="1">IF($AF40="","",IFERROR(AVERAGE(OFFSET(Attendance!$A$1,9,5+(7-1)*4),OFFSET(Attendance!$A$1,9,7+(7-1)*4)),""))</f>
        <v/>
      </c>
      <c r="AP40" s="15" t="str">
        <f ca="1">IF($AF40="","",IFERROR(AVERAGE(OFFSET(Attendance!$A$1,9,5+(8-1)*4),OFFSET(Attendance!$A$1,9,7+(8-1)*4)),""))</f>
        <v/>
      </c>
      <c r="AQ40" s="15" t="str">
        <f ca="1">IF($AF40="","",IFERROR(AVERAGE(OFFSET(Attendance!$A$1,9,5+(9-1)*4),OFFSET(Attendance!$A$1,9,7+(9-1)*4)),""))</f>
        <v/>
      </c>
      <c r="AR40" s="15" t="str">
        <f ca="1">IF($AF40="","",IFERROR(AVERAGE(OFFSET(Attendance!$A$1,9,5+(10-1)*4),OFFSET(Attendance!$A$1,9,7+(10-1)*4)),""))</f>
        <v/>
      </c>
      <c r="AS40" s="15" t="str">
        <f ca="1">IF($AF40="","",IFERROR(AVERAGE(OFFSET(Attendance!$A$1,9,5+(11-1)*4),OFFSET(Attendance!$A$1,9,7+(11-1)*4)),""))</f>
        <v/>
      </c>
      <c r="AT40" s="15" t="str">
        <f ca="1">IF($AF40="","",IFERROR(AVERAGE(OFFSET(Attendance!$A$1,9,5+(12-1)*4),OFFSET(Attendance!$A$1,9,7+(12-1)*4)),""))</f>
        <v/>
      </c>
      <c r="AU40" s="15" t="str">
        <f ca="1">IF($AF40="","",IFERROR(AVERAGE(OFFSET(Attendance!$A$1,9,5+(13-1)*4),OFFSET(Attendance!$A$1,9,7+(13-1)*4)),""))</f>
        <v/>
      </c>
      <c r="AV40" s="15" t="str">
        <f ca="1">IF($AF40="","",IFERROR(AVERAGE(OFFSET(Attendance!$A$1,9,5+(14-1)*4),OFFSET(Attendance!$A$1,9,7+(14-1)*4)),""))</f>
        <v/>
      </c>
      <c r="AW40" s="15" t="str">
        <f ca="1">IF($AF40="","",IFERROR(AVERAGE(OFFSET(Attendance!$A$1,9,5+(15-1)*4),OFFSET(Attendance!$A$1,9,7+(15-1)*4)),""))</f>
        <v/>
      </c>
      <c r="AX40" s="15" t="str">
        <f ca="1">IF($AF40="","",IFERROR(AVERAGE(OFFSET(Attendance!$A$1,9,5+(16-1)*4),OFFSET(Attendance!$A$1,9,7+(16-1)*4)),""))</f>
        <v/>
      </c>
      <c r="AY40" s="15" t="str">
        <f ca="1">IF($AF40="","",IFERROR(AVERAGE(OFFSET(Attendance!$A$1,9,5+(17-1)*4),OFFSET(Attendance!$A$1,9,7+(17-1)*4)),""))</f>
        <v/>
      </c>
      <c r="AZ40" s="15" t="str">
        <f ca="1">IF($AF40="","",IFERROR(AVERAGE(OFFSET(Attendance!$A$1,9,5+(18-1)*4),OFFSET(Attendance!$A$1,9,7+(18-1)*4)),""))</f>
        <v/>
      </c>
      <c r="BA40" s="15" t="str">
        <f ca="1">IF($AF40="","",IFERROR(AVERAGE(OFFSET(Attendance!$A$1,9,5+(19-1)*4),OFFSET(Attendance!$A$1,9,7+(19-1)*4)),""))</f>
        <v/>
      </c>
      <c r="BB40" s="15" t="str">
        <f ca="1">IF($AF40="","",IFERROR(AVERAGE(OFFSET(Attendance!$A$1,9,5+(20-1)*4),OFFSET(Attendance!$A$1,9,7+(20-1)*4)),""))</f>
        <v/>
      </c>
      <c r="BC40" s="15" t="str">
        <f ca="1">IF($AF40="","",IFERROR(AVERAGE(OFFSET(Attendance!$A$1,9,5+(21-1)*4),OFFSET(Attendance!$A$1,9,7+(21-1)*4)),""))</f>
        <v/>
      </c>
      <c r="BD40" s="15" t="str">
        <f ca="1">IF($AF40="","",IFERROR(AVERAGE(OFFSET(Attendance!$A$1,9,5+(22-1)*4),OFFSET(Attendance!$A$1,9,7+(22-1)*4)),""))</f>
        <v/>
      </c>
      <c r="BE40" s="16">
        <f>IF($AF40="","",IFERROR(Workings!$D11,""))</f>
        <v>1</v>
      </c>
      <c r="BF40" s="17">
        <f>IF($AF40="","",IFERROR(Workings!$E11,""))</f>
        <v>3</v>
      </c>
      <c r="BG40" s="17">
        <f>IF($AF40="","",IFERROR(Workings!$G11,""))</f>
        <v>7.5</v>
      </c>
      <c r="BH40" s="18">
        <f>IF($AF40="","",IFERROR(Workings!$H11,""))</f>
        <v>0.76666666666666661</v>
      </c>
    </row>
    <row r="41" spans="2:60" ht="15" customHeight="1" x14ac:dyDescent="0.45">
      <c r="B41" s="19">
        <f>IF(ROW()-37&gt;COUNT(Workings!$AX$6:$AX$25),"",ROW()-37)</f>
        <v>4</v>
      </c>
      <c r="C41" s="20" t="str">
        <f>IF($B41="","",IFERROR(INDEX(Workings!$AO$6:$AO$25,MATCH($B41,Workings!$AX$6:$AX$25,0)),""))</f>
        <v>Hannah Fleming</v>
      </c>
      <c r="D41" s="19">
        <f>IF($B41="","",IFERROR(INDEX(Workings!$AP$6:$AP$25,MATCH($B41,Workings!$AX$6:$AX$25,0)),""))</f>
        <v>8</v>
      </c>
      <c r="E41" s="19">
        <f>IF($B41="","",IFERROR(INDEX(Workings!$AQ$6:$AQ$25,MATCH($B41,Workings!$AX$6:$AX$25,0)),""))</f>
        <v>11</v>
      </c>
      <c r="F41" s="21">
        <f>IF($B41="","",IFERROR(INDEX(Workings!$AR$6:$AR$25,MATCH($B41,Workings!$AX$6:$AX$25,0)),""))</f>
        <v>0.72727272727272729</v>
      </c>
      <c r="G41" s="22">
        <f>IF($B41="","",IFERROR(INDEX(Workings!$AS$6:$AS$25,MATCH($B41,Workings!$AX$6:$AX$25,0)),""))</f>
        <v>3.25</v>
      </c>
      <c r="H41" s="23" t="str">
        <f>IF($B41="","",IFERROR(INDEX(Workings!$AU$6:$AU$25,MATCH($B41,Workings!$AX$6:$AX$25,0)),""))</f>
        <v>Not Ready for 90 min</v>
      </c>
      <c r="I41" s="24">
        <f>IF($B41="","",IFERROR(INDEX(Workings!$AT$6:$AT$25,MATCH($B41,Workings!$AX$6:$AX$25,0)),""))</f>
        <v>0.66909090909090918</v>
      </c>
      <c r="AF41" s="13" t="str">
        <f>IF(Attendance!$D11="","",Attendance!$D11)</f>
        <v>Amber Kilalee</v>
      </c>
      <c r="AG41" s="14" t="str">
        <f t="array" ref="AG41">IF($AF41="","",_xlfn.TEXTJOIN("",TRUE(),IF(Attendance!$E$4:$CN$4="WR",IFERROR(CHOOSE(Attendance!$E11:$CN11,"▁","▃","▅","▆","█"),"·"),"")))</f>
        <v>▅▅▅·········································</v>
      </c>
      <c r="AH41" s="14" t="str">
        <f t="array" ref="AH41">IF($AF41="","",_xlfn.TEXTJOIN("",TRUE(),IF(Attendance!$CP$4:$FY$4="Rating",IFERROR(CHOOSE(ROUNDUP(Attendance!$CP11:$FY11/2,0),"▁","▃","▅","▆","█"),"·"),"")))</f>
        <v>▆·····················</v>
      </c>
      <c r="AI41" s="15">
        <f ca="1">IF($AF41="","",IFERROR(AVERAGE(OFFSET(Attendance!$A$1,10,5+(1-1)*4),OFFSET(Attendance!$A$1,10,7+(1-1)*4)),""))</f>
        <v>3</v>
      </c>
      <c r="AJ41" s="15">
        <f ca="1">IF($AF41="","",IFERROR(AVERAGE(OFFSET(Attendance!$A$1,10,5+(2-1)*4),OFFSET(Attendance!$A$1,10,7+(2-1)*4)),""))</f>
        <v>3</v>
      </c>
      <c r="AK41" s="15" t="str">
        <f ca="1">IF($AF41="","",IFERROR(AVERAGE(OFFSET(Attendance!$A$1,10,5+(3-1)*4),OFFSET(Attendance!$A$1,10,7+(3-1)*4)),""))</f>
        <v/>
      </c>
      <c r="AL41" s="15" t="str">
        <f ca="1">IF($AF41="","",IFERROR(AVERAGE(OFFSET(Attendance!$A$1,10,5+(4-1)*4),OFFSET(Attendance!$A$1,10,7+(4-1)*4)),""))</f>
        <v/>
      </c>
      <c r="AM41" s="15" t="str">
        <f ca="1">IF($AF41="","",IFERROR(AVERAGE(OFFSET(Attendance!$A$1,10,5+(5-1)*4),OFFSET(Attendance!$A$1,10,7+(5-1)*4)),""))</f>
        <v/>
      </c>
      <c r="AN41" s="15" t="str">
        <f ca="1">IF($AF41="","",IFERROR(AVERAGE(OFFSET(Attendance!$A$1,10,5+(6-1)*4),OFFSET(Attendance!$A$1,10,7+(6-1)*4)),""))</f>
        <v/>
      </c>
      <c r="AO41" s="15" t="str">
        <f ca="1">IF($AF41="","",IFERROR(AVERAGE(OFFSET(Attendance!$A$1,10,5+(7-1)*4),OFFSET(Attendance!$A$1,10,7+(7-1)*4)),""))</f>
        <v/>
      </c>
      <c r="AP41" s="15" t="str">
        <f ca="1">IF($AF41="","",IFERROR(AVERAGE(OFFSET(Attendance!$A$1,10,5+(8-1)*4),OFFSET(Attendance!$A$1,10,7+(8-1)*4)),""))</f>
        <v/>
      </c>
      <c r="AQ41" s="15" t="str">
        <f ca="1">IF($AF41="","",IFERROR(AVERAGE(OFFSET(Attendance!$A$1,10,5+(9-1)*4),OFFSET(Attendance!$A$1,10,7+(9-1)*4)),""))</f>
        <v/>
      </c>
      <c r="AR41" s="15" t="str">
        <f ca="1">IF($AF41="","",IFERROR(AVERAGE(OFFSET(Attendance!$A$1,10,5+(10-1)*4),OFFSET(Attendance!$A$1,10,7+(10-1)*4)),""))</f>
        <v/>
      </c>
      <c r="AS41" s="15" t="str">
        <f ca="1">IF($AF41="","",IFERROR(AVERAGE(OFFSET(Attendance!$A$1,10,5+(11-1)*4),OFFSET(Attendance!$A$1,10,7+(11-1)*4)),""))</f>
        <v/>
      </c>
      <c r="AT41" s="15" t="str">
        <f ca="1">IF($AF41="","",IFERROR(AVERAGE(OFFSET(Attendance!$A$1,10,5+(12-1)*4),OFFSET(Attendance!$A$1,10,7+(12-1)*4)),""))</f>
        <v/>
      </c>
      <c r="AU41" s="15" t="str">
        <f ca="1">IF($AF41="","",IFERROR(AVERAGE(OFFSET(Attendance!$A$1,10,5+(13-1)*4),OFFSET(Attendance!$A$1,10,7+(13-1)*4)),""))</f>
        <v/>
      </c>
      <c r="AV41" s="15" t="str">
        <f ca="1">IF($AF41="","",IFERROR(AVERAGE(OFFSET(Attendance!$A$1,10,5+(14-1)*4),OFFSET(Attendance!$A$1,10,7+(14-1)*4)),""))</f>
        <v/>
      </c>
      <c r="AW41" s="15" t="str">
        <f ca="1">IF($AF41="","",IFERROR(AVERAGE(OFFSET(Attendance!$A$1,10,5+(15-1)*4),OFFSET(Attendance!$A$1,10,7+(15-1)*4)),""))</f>
        <v/>
      </c>
      <c r="AX41" s="15" t="str">
        <f ca="1">IF($AF41="","",IFERROR(AVERAGE(OFFSET(Attendance!$A$1,10,5+(16-1)*4),OFFSET(Attendance!$A$1,10,7+(16-1)*4)),""))</f>
        <v/>
      </c>
      <c r="AY41" s="15" t="str">
        <f ca="1">IF($AF41="","",IFERROR(AVERAGE(OFFSET(Attendance!$A$1,10,5+(17-1)*4),OFFSET(Attendance!$A$1,10,7+(17-1)*4)),""))</f>
        <v/>
      </c>
      <c r="AZ41" s="15" t="str">
        <f ca="1">IF($AF41="","",IFERROR(AVERAGE(OFFSET(Attendance!$A$1,10,5+(18-1)*4),OFFSET(Attendance!$A$1,10,7+(18-1)*4)),""))</f>
        <v/>
      </c>
      <c r="BA41" s="15" t="str">
        <f ca="1">IF($AF41="","",IFERROR(AVERAGE(OFFSET(Attendance!$A$1,10,5+(19-1)*4),OFFSET(Attendance!$A$1,10,7+(19-1)*4)),""))</f>
        <v/>
      </c>
      <c r="BB41" s="15" t="str">
        <f ca="1">IF($AF41="","",IFERROR(AVERAGE(OFFSET(Attendance!$A$1,10,5+(20-1)*4),OFFSET(Attendance!$A$1,10,7+(20-1)*4)),""))</f>
        <v/>
      </c>
      <c r="BC41" s="15" t="str">
        <f ca="1">IF($AF41="","",IFERROR(AVERAGE(OFFSET(Attendance!$A$1,10,5+(21-1)*4),OFFSET(Attendance!$A$1,10,7+(21-1)*4)),""))</f>
        <v/>
      </c>
      <c r="BD41" s="15" t="str">
        <f ca="1">IF($AF41="","",IFERROR(AVERAGE(OFFSET(Attendance!$A$1,10,5+(22-1)*4),OFFSET(Attendance!$A$1,10,7+(22-1)*4)),""))</f>
        <v/>
      </c>
      <c r="BE41" s="16">
        <f>IF($AF41="","",IFERROR(Workings!$D12,""))</f>
        <v>1</v>
      </c>
      <c r="BF41" s="17">
        <f>IF($AF41="","",IFERROR(Workings!$E12,""))</f>
        <v>3</v>
      </c>
      <c r="BG41" s="17">
        <f>IF($AF41="","",IFERROR(Workings!$G12,""))</f>
        <v>7.5</v>
      </c>
      <c r="BH41" s="18">
        <f>IF($AF41="","",IFERROR(Workings!$H12,""))</f>
        <v>0.76666666666666661</v>
      </c>
    </row>
    <row r="42" spans="2:60" ht="15" customHeight="1" x14ac:dyDescent="0.45">
      <c r="B42" s="19">
        <f>IF(ROW()-37&gt;COUNT(Workings!$AX$6:$AX$25),"",ROW()-37)</f>
        <v>5</v>
      </c>
      <c r="C42" s="20" t="str">
        <f>IF($B42="","",IFERROR(INDEX(Workings!$AO$6:$AO$25,MATCH($B42,Workings!$AX$6:$AX$25,0)),""))</f>
        <v>Aoife Kennan</v>
      </c>
      <c r="D42" s="19">
        <f>IF($B42="","",IFERROR(INDEX(Workings!$AP$6:$AP$25,MATCH($B42,Workings!$AX$6:$AX$25,0)),""))</f>
        <v>8</v>
      </c>
      <c r="E42" s="19">
        <f>IF($B42="","",IFERROR(INDEX(Workings!$AQ$6:$AQ$25,MATCH($B42,Workings!$AX$6:$AX$25,0)),""))</f>
        <v>11</v>
      </c>
      <c r="F42" s="21">
        <f>IF($B42="","",IFERROR(INDEX(Workings!$AR$6:$AR$25,MATCH($B42,Workings!$AX$6:$AX$25,0)),""))</f>
        <v>0.72727272727272729</v>
      </c>
      <c r="G42" s="22">
        <f>IF($B42="","",IFERROR(INDEX(Workings!$AS$6:$AS$25,MATCH($B42,Workings!$AX$6:$AX$25,0)),""))</f>
        <v>2.875</v>
      </c>
      <c r="H42" s="23" t="str">
        <f>IF($B42="","",IFERROR(INDEX(Workings!$AU$6:$AU$25,MATCH($B42,Workings!$AX$6:$AX$25,0)),""))</f>
        <v>Nearly Ready</v>
      </c>
      <c r="I42" s="24">
        <f>IF($B42="","",IFERROR(INDEX(Workings!$AT$6:$AT$25,MATCH($B42,Workings!$AX$6:$AX$25,0)),""))</f>
        <v>0.62545454545454549</v>
      </c>
      <c r="AF42" s="13" t="str">
        <f>IF(Attendance!$D12="","",Attendance!$D12)</f>
        <v>Shauna Kavanagh</v>
      </c>
      <c r="AG42" s="14" t="str">
        <f t="array" ref="AG42">IF($AF42="","",_xlfn.TEXTJOIN("",TRUE(),IF(Attendance!$E$4:$CN$4="WR",IFERROR(CHOOSE(Attendance!$E12:$CN12,"▁","▃","▅","▆","█"),"·"),"")))</f>
        <v>▃▅▅·········································</v>
      </c>
      <c r="AH42" s="14" t="str">
        <f t="array" ref="AH42">IF($AF42="","",_xlfn.TEXTJOIN("",TRUE(),IF(Attendance!$CP$4:$FY$4="Rating",IFERROR(CHOOSE(ROUNDUP(Attendance!$CP12:$FY12/2,0),"▁","▃","▅","▆","█"),"·"),"")))</f>
        <v>▆·····················</v>
      </c>
      <c r="AI42" s="15">
        <f ca="1">IF($AF42="","",IFERROR(AVERAGE(OFFSET(Attendance!$A$1,11,5+(1-1)*4),OFFSET(Attendance!$A$1,11,7+(1-1)*4)),""))</f>
        <v>2.5</v>
      </c>
      <c r="AJ42" s="15">
        <f ca="1">IF($AF42="","",IFERROR(AVERAGE(OFFSET(Attendance!$A$1,11,5+(2-1)*4),OFFSET(Attendance!$A$1,11,7+(2-1)*4)),""))</f>
        <v>3</v>
      </c>
      <c r="AK42" s="15" t="str">
        <f ca="1">IF($AF42="","",IFERROR(AVERAGE(OFFSET(Attendance!$A$1,11,5+(3-1)*4),OFFSET(Attendance!$A$1,11,7+(3-1)*4)),""))</f>
        <v/>
      </c>
      <c r="AL42" s="15" t="str">
        <f ca="1">IF($AF42="","",IFERROR(AVERAGE(OFFSET(Attendance!$A$1,11,5+(4-1)*4),OFFSET(Attendance!$A$1,11,7+(4-1)*4)),""))</f>
        <v/>
      </c>
      <c r="AM42" s="15" t="str">
        <f ca="1">IF($AF42="","",IFERROR(AVERAGE(OFFSET(Attendance!$A$1,11,5+(5-1)*4),OFFSET(Attendance!$A$1,11,7+(5-1)*4)),""))</f>
        <v/>
      </c>
      <c r="AN42" s="15" t="str">
        <f ca="1">IF($AF42="","",IFERROR(AVERAGE(OFFSET(Attendance!$A$1,11,5+(6-1)*4),OFFSET(Attendance!$A$1,11,7+(6-1)*4)),""))</f>
        <v/>
      </c>
      <c r="AO42" s="15" t="str">
        <f ca="1">IF($AF42="","",IFERROR(AVERAGE(OFFSET(Attendance!$A$1,11,5+(7-1)*4),OFFSET(Attendance!$A$1,11,7+(7-1)*4)),""))</f>
        <v/>
      </c>
      <c r="AP42" s="15" t="str">
        <f ca="1">IF($AF42="","",IFERROR(AVERAGE(OFFSET(Attendance!$A$1,11,5+(8-1)*4),OFFSET(Attendance!$A$1,11,7+(8-1)*4)),""))</f>
        <v/>
      </c>
      <c r="AQ42" s="15" t="str">
        <f ca="1">IF($AF42="","",IFERROR(AVERAGE(OFFSET(Attendance!$A$1,11,5+(9-1)*4),OFFSET(Attendance!$A$1,11,7+(9-1)*4)),""))</f>
        <v/>
      </c>
      <c r="AR42" s="15" t="str">
        <f ca="1">IF($AF42="","",IFERROR(AVERAGE(OFFSET(Attendance!$A$1,11,5+(10-1)*4),OFFSET(Attendance!$A$1,11,7+(10-1)*4)),""))</f>
        <v/>
      </c>
      <c r="AS42" s="15" t="str">
        <f ca="1">IF($AF42="","",IFERROR(AVERAGE(OFFSET(Attendance!$A$1,11,5+(11-1)*4),OFFSET(Attendance!$A$1,11,7+(11-1)*4)),""))</f>
        <v/>
      </c>
      <c r="AT42" s="15" t="str">
        <f ca="1">IF($AF42="","",IFERROR(AVERAGE(OFFSET(Attendance!$A$1,11,5+(12-1)*4),OFFSET(Attendance!$A$1,11,7+(12-1)*4)),""))</f>
        <v/>
      </c>
      <c r="AU42" s="15" t="str">
        <f ca="1">IF($AF42="","",IFERROR(AVERAGE(OFFSET(Attendance!$A$1,11,5+(13-1)*4),OFFSET(Attendance!$A$1,11,7+(13-1)*4)),""))</f>
        <v/>
      </c>
      <c r="AV42" s="15" t="str">
        <f ca="1">IF($AF42="","",IFERROR(AVERAGE(OFFSET(Attendance!$A$1,11,5+(14-1)*4),OFFSET(Attendance!$A$1,11,7+(14-1)*4)),""))</f>
        <v/>
      </c>
      <c r="AW42" s="15" t="str">
        <f ca="1">IF($AF42="","",IFERROR(AVERAGE(OFFSET(Attendance!$A$1,11,5+(15-1)*4),OFFSET(Attendance!$A$1,11,7+(15-1)*4)),""))</f>
        <v/>
      </c>
      <c r="AX42" s="15" t="str">
        <f ca="1">IF($AF42="","",IFERROR(AVERAGE(OFFSET(Attendance!$A$1,11,5+(16-1)*4),OFFSET(Attendance!$A$1,11,7+(16-1)*4)),""))</f>
        <v/>
      </c>
      <c r="AY42" s="15" t="str">
        <f ca="1">IF($AF42="","",IFERROR(AVERAGE(OFFSET(Attendance!$A$1,11,5+(17-1)*4),OFFSET(Attendance!$A$1,11,7+(17-1)*4)),""))</f>
        <v/>
      </c>
      <c r="AZ42" s="15" t="str">
        <f ca="1">IF($AF42="","",IFERROR(AVERAGE(OFFSET(Attendance!$A$1,11,5+(18-1)*4),OFFSET(Attendance!$A$1,11,7+(18-1)*4)),""))</f>
        <v/>
      </c>
      <c r="BA42" s="15" t="str">
        <f ca="1">IF($AF42="","",IFERROR(AVERAGE(OFFSET(Attendance!$A$1,11,5+(19-1)*4),OFFSET(Attendance!$A$1,11,7+(19-1)*4)),""))</f>
        <v/>
      </c>
      <c r="BB42" s="15" t="str">
        <f ca="1">IF($AF42="","",IFERROR(AVERAGE(OFFSET(Attendance!$A$1,11,5+(20-1)*4),OFFSET(Attendance!$A$1,11,7+(20-1)*4)),""))</f>
        <v/>
      </c>
      <c r="BC42" s="15" t="str">
        <f ca="1">IF($AF42="","",IFERROR(AVERAGE(OFFSET(Attendance!$A$1,11,5+(21-1)*4),OFFSET(Attendance!$A$1,11,7+(21-1)*4)),""))</f>
        <v/>
      </c>
      <c r="BD42" s="15" t="str">
        <f ca="1">IF($AF42="","",IFERROR(AVERAGE(OFFSET(Attendance!$A$1,11,5+(22-1)*4),OFFSET(Attendance!$A$1,11,7+(22-1)*4)),""))</f>
        <v/>
      </c>
      <c r="BE42" s="16">
        <f>IF($AF42="","",IFERROR(Workings!$D13,""))</f>
        <v>1</v>
      </c>
      <c r="BF42" s="17">
        <f>IF($AF42="","",IFERROR(Workings!$E13,""))</f>
        <v>2.6666666666666665</v>
      </c>
      <c r="BG42" s="17">
        <f>IF($AF42="","",IFERROR(Workings!$G13,""))</f>
        <v>7.5</v>
      </c>
      <c r="BH42" s="18">
        <f>IF($AF42="","",IFERROR(Workings!$H13,""))</f>
        <v>0.72777777777777775</v>
      </c>
    </row>
    <row r="43" spans="2:60" ht="15" customHeight="1" x14ac:dyDescent="0.45">
      <c r="B43" s="19">
        <f>IF(ROW()-37&gt;COUNT(Workings!$AX$6:$AX$25),"",ROW()-37)</f>
        <v>6</v>
      </c>
      <c r="C43" s="20" t="str">
        <f>IF($B43="","",IFERROR(INDEX(Workings!$AO$6:$AO$25,MATCH($B43,Workings!$AX$6:$AX$25,0)),""))</f>
        <v>Semilore Adesanya</v>
      </c>
      <c r="D43" s="19">
        <f>IF($B43="","",IFERROR(INDEX(Workings!$AP$6:$AP$25,MATCH($B43,Workings!$AX$6:$AX$25,0)),""))</f>
        <v>7</v>
      </c>
      <c r="E43" s="19">
        <f>IF($B43="","",IFERROR(INDEX(Workings!$AQ$6:$AQ$25,MATCH($B43,Workings!$AX$6:$AX$25,0)),""))</f>
        <v>11</v>
      </c>
      <c r="F43" s="21">
        <f>IF($B43="","",IFERROR(INDEX(Workings!$AR$6:$AR$25,MATCH($B43,Workings!$AX$6:$AX$25,0)),""))</f>
        <v>0.63636363636363635</v>
      </c>
      <c r="G43" s="22">
        <f>IF($B43="","",IFERROR(INDEX(Workings!$AS$6:$AS$25,MATCH($B43,Workings!$AX$6:$AX$25,0)),""))</f>
        <v>3.5714285714285716</v>
      </c>
      <c r="H43" s="23" t="str">
        <f>IF($B43="","",IFERROR(INDEX(Workings!$AU$6:$AU$25,MATCH($B43,Workings!$AX$6:$AX$25,0)),""))</f>
        <v>Match Ready</v>
      </c>
      <c r="I43" s="24">
        <f>IF($B43="","",IFERROR(INDEX(Workings!$AT$6:$AT$25,MATCH($B43,Workings!$AX$6:$AX$25,0)),""))</f>
        <v>0.61818181818181817</v>
      </c>
      <c r="AF43" s="13" t="str">
        <f>IF(Attendance!$D13="","",Attendance!$D13)</f>
        <v>Tara Brannigan</v>
      </c>
      <c r="AG43" s="14" t="str">
        <f t="array" ref="AG43">IF($AF43="","",_xlfn.TEXTJOIN("",TRUE(),IF(Attendance!$E$4:$CN$4="WR",IFERROR(CHOOSE(Attendance!$E13:$CN13,"▁","▃","▅","▆","█"),"·"),"")))</f>
        <v>▅▅▅·········································</v>
      </c>
      <c r="AH43" s="14" t="str">
        <f t="array" ref="AH43">IF($AF43="","",_xlfn.TEXTJOIN("",TRUE(),IF(Attendance!$CP$4:$FY$4="Rating",IFERROR(CHOOSE(ROUNDUP(Attendance!$CP13:$FY13/2,0),"▁","▃","▅","▆","█"),"·"),"")))</f>
        <v>▆·····················</v>
      </c>
      <c r="AI43" s="15">
        <f ca="1">IF($AF43="","",IFERROR(AVERAGE(OFFSET(Attendance!$A$1,12,5+(1-1)*4),OFFSET(Attendance!$A$1,12,7+(1-1)*4)),""))</f>
        <v>3</v>
      </c>
      <c r="AJ43" s="15">
        <f ca="1">IF($AF43="","",IFERROR(AVERAGE(OFFSET(Attendance!$A$1,12,5+(2-1)*4),OFFSET(Attendance!$A$1,12,7+(2-1)*4)),""))</f>
        <v>3</v>
      </c>
      <c r="AK43" s="15" t="str">
        <f ca="1">IF($AF43="","",IFERROR(AVERAGE(OFFSET(Attendance!$A$1,12,5+(3-1)*4),OFFSET(Attendance!$A$1,12,7+(3-1)*4)),""))</f>
        <v/>
      </c>
      <c r="AL43" s="15" t="str">
        <f ca="1">IF($AF43="","",IFERROR(AVERAGE(OFFSET(Attendance!$A$1,12,5+(4-1)*4),OFFSET(Attendance!$A$1,12,7+(4-1)*4)),""))</f>
        <v/>
      </c>
      <c r="AM43" s="15" t="str">
        <f ca="1">IF($AF43="","",IFERROR(AVERAGE(OFFSET(Attendance!$A$1,12,5+(5-1)*4),OFFSET(Attendance!$A$1,12,7+(5-1)*4)),""))</f>
        <v/>
      </c>
      <c r="AN43" s="15" t="str">
        <f ca="1">IF($AF43="","",IFERROR(AVERAGE(OFFSET(Attendance!$A$1,12,5+(6-1)*4),OFFSET(Attendance!$A$1,12,7+(6-1)*4)),""))</f>
        <v/>
      </c>
      <c r="AO43" s="15" t="str">
        <f ca="1">IF($AF43="","",IFERROR(AVERAGE(OFFSET(Attendance!$A$1,12,5+(7-1)*4),OFFSET(Attendance!$A$1,12,7+(7-1)*4)),""))</f>
        <v/>
      </c>
      <c r="AP43" s="15" t="str">
        <f ca="1">IF($AF43="","",IFERROR(AVERAGE(OFFSET(Attendance!$A$1,12,5+(8-1)*4),OFFSET(Attendance!$A$1,12,7+(8-1)*4)),""))</f>
        <v/>
      </c>
      <c r="AQ43" s="15" t="str">
        <f ca="1">IF($AF43="","",IFERROR(AVERAGE(OFFSET(Attendance!$A$1,12,5+(9-1)*4),OFFSET(Attendance!$A$1,12,7+(9-1)*4)),""))</f>
        <v/>
      </c>
      <c r="AR43" s="15" t="str">
        <f ca="1">IF($AF43="","",IFERROR(AVERAGE(OFFSET(Attendance!$A$1,12,5+(10-1)*4),OFFSET(Attendance!$A$1,12,7+(10-1)*4)),""))</f>
        <v/>
      </c>
      <c r="AS43" s="15" t="str">
        <f ca="1">IF($AF43="","",IFERROR(AVERAGE(OFFSET(Attendance!$A$1,12,5+(11-1)*4),OFFSET(Attendance!$A$1,12,7+(11-1)*4)),""))</f>
        <v/>
      </c>
      <c r="AT43" s="15" t="str">
        <f ca="1">IF($AF43="","",IFERROR(AVERAGE(OFFSET(Attendance!$A$1,12,5+(12-1)*4),OFFSET(Attendance!$A$1,12,7+(12-1)*4)),""))</f>
        <v/>
      </c>
      <c r="AU43" s="15" t="str">
        <f ca="1">IF($AF43="","",IFERROR(AVERAGE(OFFSET(Attendance!$A$1,12,5+(13-1)*4),OFFSET(Attendance!$A$1,12,7+(13-1)*4)),""))</f>
        <v/>
      </c>
      <c r="AV43" s="15" t="str">
        <f ca="1">IF($AF43="","",IFERROR(AVERAGE(OFFSET(Attendance!$A$1,12,5+(14-1)*4),OFFSET(Attendance!$A$1,12,7+(14-1)*4)),""))</f>
        <v/>
      </c>
      <c r="AW43" s="15" t="str">
        <f ca="1">IF($AF43="","",IFERROR(AVERAGE(OFFSET(Attendance!$A$1,12,5+(15-1)*4),OFFSET(Attendance!$A$1,12,7+(15-1)*4)),""))</f>
        <v/>
      </c>
      <c r="AX43" s="15" t="str">
        <f ca="1">IF($AF43="","",IFERROR(AVERAGE(OFFSET(Attendance!$A$1,12,5+(16-1)*4),OFFSET(Attendance!$A$1,12,7+(16-1)*4)),""))</f>
        <v/>
      </c>
      <c r="AY43" s="15" t="str">
        <f ca="1">IF($AF43="","",IFERROR(AVERAGE(OFFSET(Attendance!$A$1,12,5+(17-1)*4),OFFSET(Attendance!$A$1,12,7+(17-1)*4)),""))</f>
        <v/>
      </c>
      <c r="AZ43" s="15" t="str">
        <f ca="1">IF($AF43="","",IFERROR(AVERAGE(OFFSET(Attendance!$A$1,12,5+(18-1)*4),OFFSET(Attendance!$A$1,12,7+(18-1)*4)),""))</f>
        <v/>
      </c>
      <c r="BA43" s="15" t="str">
        <f ca="1">IF($AF43="","",IFERROR(AVERAGE(OFFSET(Attendance!$A$1,12,5+(19-1)*4),OFFSET(Attendance!$A$1,12,7+(19-1)*4)),""))</f>
        <v/>
      </c>
      <c r="BB43" s="15" t="str">
        <f ca="1">IF($AF43="","",IFERROR(AVERAGE(OFFSET(Attendance!$A$1,12,5+(20-1)*4),OFFSET(Attendance!$A$1,12,7+(20-1)*4)),""))</f>
        <v/>
      </c>
      <c r="BC43" s="15" t="str">
        <f ca="1">IF($AF43="","",IFERROR(AVERAGE(OFFSET(Attendance!$A$1,12,5+(21-1)*4),OFFSET(Attendance!$A$1,12,7+(21-1)*4)),""))</f>
        <v/>
      </c>
      <c r="BD43" s="15" t="str">
        <f ca="1">IF($AF43="","",IFERROR(AVERAGE(OFFSET(Attendance!$A$1,12,5+(22-1)*4),OFFSET(Attendance!$A$1,12,7+(22-1)*4)),""))</f>
        <v/>
      </c>
      <c r="BE43" s="16">
        <f>IF($AF43="","",IFERROR(Workings!$D14,""))</f>
        <v>1</v>
      </c>
      <c r="BF43" s="17">
        <f>IF($AF43="","",IFERROR(Workings!$E14,""))</f>
        <v>3</v>
      </c>
      <c r="BG43" s="17">
        <f>IF($AF43="","",IFERROR(Workings!$G14,""))</f>
        <v>8</v>
      </c>
      <c r="BH43" s="18">
        <f>IF($AF43="","",IFERROR(Workings!$H14,""))</f>
        <v>0.76666666666666661</v>
      </c>
    </row>
    <row r="44" spans="2:60" ht="15" customHeight="1" x14ac:dyDescent="0.45">
      <c r="B44" s="19">
        <f>IF(ROW()-37&gt;COUNT(Workings!$AX$6:$AX$25),"",ROW()-37)</f>
        <v>7</v>
      </c>
      <c r="C44" s="20" t="str">
        <f>IF($B44="","",IFERROR(INDEX(Workings!$AO$6:$AO$25,MATCH($B44,Workings!$AX$6:$AX$25,0)),""))</f>
        <v>Naomi Adewoyin</v>
      </c>
      <c r="D44" s="19">
        <f>IF($B44="","",IFERROR(INDEX(Workings!$AP$6:$AP$25,MATCH($B44,Workings!$AX$6:$AX$25,0)),""))</f>
        <v>7</v>
      </c>
      <c r="E44" s="19">
        <f>IF($B44="","",IFERROR(INDEX(Workings!$AQ$6:$AQ$25,MATCH($B44,Workings!$AX$6:$AX$25,0)),""))</f>
        <v>11</v>
      </c>
      <c r="F44" s="21">
        <f>IF($B44="","",IFERROR(INDEX(Workings!$AR$6:$AR$25,MATCH($B44,Workings!$AX$6:$AX$25,0)),""))</f>
        <v>0.63636363636363635</v>
      </c>
      <c r="G44" s="22">
        <f>IF($B44="","",IFERROR(INDEX(Workings!$AS$6:$AS$25,MATCH($B44,Workings!$AX$6:$AX$25,0)),""))</f>
        <v>3.4285714285714284</v>
      </c>
      <c r="H44" s="23" t="str">
        <f>IF($B44="","",IFERROR(INDEX(Workings!$AU$6:$AU$25,MATCH($B44,Workings!$AX$6:$AX$25,0)),""))</f>
        <v>Not Ready for 90 min</v>
      </c>
      <c r="I44" s="24">
        <f>IF($B44="","",IFERROR(INDEX(Workings!$AT$6:$AT$25,MATCH($B44,Workings!$AX$6:$AX$25,0)),""))</f>
        <v>0.60363636363636364</v>
      </c>
      <c r="AF44" s="13" t="str">
        <f>IF(Attendance!$D14="","",Attendance!$D14)</f>
        <v>Semilore Adesanya</v>
      </c>
      <c r="AG44" s="14" t="str">
        <f t="array" ref="AG44">IF($AF44="","",_xlfn.TEXTJOIN("",TRUE(),IF(Attendance!$E$4:$CN$4="WR",IFERROR(CHOOSE(Attendance!$E14:$CN14,"▁","▃","▅","▆","█"),"·"),"")))</f>
        <v>▅·▆·········································</v>
      </c>
      <c r="AH44" s="14" t="str">
        <f t="array" ref="AH44">IF($AF44="","",_xlfn.TEXTJOIN("",TRUE(),IF(Attendance!$CP$4:$FY$4="Rating",IFERROR(CHOOSE(ROUNDUP(Attendance!$CP14:$FY14/2,0),"▁","▃","▅","▆","█"),"·"),"")))</f>
        <v>█·····················</v>
      </c>
      <c r="AI44" s="15">
        <f ca="1">IF($AF44="","",IFERROR(AVERAGE(OFFSET(Attendance!$A$1,13,5+(1-1)*4),OFFSET(Attendance!$A$1,13,7+(1-1)*4)),""))</f>
        <v>3</v>
      </c>
      <c r="AJ44" s="15">
        <f ca="1">IF($AF44="","",IFERROR(AVERAGE(OFFSET(Attendance!$A$1,13,5+(2-1)*4),OFFSET(Attendance!$A$1,13,7+(2-1)*4)),""))</f>
        <v>4</v>
      </c>
      <c r="AK44" s="15" t="str">
        <f ca="1">IF($AF44="","",IFERROR(AVERAGE(OFFSET(Attendance!$A$1,13,5+(3-1)*4),OFFSET(Attendance!$A$1,13,7+(3-1)*4)),""))</f>
        <v/>
      </c>
      <c r="AL44" s="15" t="str">
        <f ca="1">IF($AF44="","",IFERROR(AVERAGE(OFFSET(Attendance!$A$1,13,5+(4-1)*4),OFFSET(Attendance!$A$1,13,7+(4-1)*4)),""))</f>
        <v/>
      </c>
      <c r="AM44" s="15" t="str">
        <f ca="1">IF($AF44="","",IFERROR(AVERAGE(OFFSET(Attendance!$A$1,13,5+(5-1)*4),OFFSET(Attendance!$A$1,13,7+(5-1)*4)),""))</f>
        <v/>
      </c>
      <c r="AN44" s="15" t="str">
        <f ca="1">IF($AF44="","",IFERROR(AVERAGE(OFFSET(Attendance!$A$1,13,5+(6-1)*4),OFFSET(Attendance!$A$1,13,7+(6-1)*4)),""))</f>
        <v/>
      </c>
      <c r="AO44" s="15" t="str">
        <f ca="1">IF($AF44="","",IFERROR(AVERAGE(OFFSET(Attendance!$A$1,13,5+(7-1)*4),OFFSET(Attendance!$A$1,13,7+(7-1)*4)),""))</f>
        <v/>
      </c>
      <c r="AP44" s="15" t="str">
        <f ca="1">IF($AF44="","",IFERROR(AVERAGE(OFFSET(Attendance!$A$1,13,5+(8-1)*4),OFFSET(Attendance!$A$1,13,7+(8-1)*4)),""))</f>
        <v/>
      </c>
      <c r="AQ44" s="15" t="str">
        <f ca="1">IF($AF44="","",IFERROR(AVERAGE(OFFSET(Attendance!$A$1,13,5+(9-1)*4),OFFSET(Attendance!$A$1,13,7+(9-1)*4)),""))</f>
        <v/>
      </c>
      <c r="AR44" s="15" t="str">
        <f ca="1">IF($AF44="","",IFERROR(AVERAGE(OFFSET(Attendance!$A$1,13,5+(10-1)*4),OFFSET(Attendance!$A$1,13,7+(10-1)*4)),""))</f>
        <v/>
      </c>
      <c r="AS44" s="15" t="str">
        <f ca="1">IF($AF44="","",IFERROR(AVERAGE(OFFSET(Attendance!$A$1,13,5+(11-1)*4),OFFSET(Attendance!$A$1,13,7+(11-1)*4)),""))</f>
        <v/>
      </c>
      <c r="AT44" s="15" t="str">
        <f ca="1">IF($AF44="","",IFERROR(AVERAGE(OFFSET(Attendance!$A$1,13,5+(12-1)*4),OFFSET(Attendance!$A$1,13,7+(12-1)*4)),""))</f>
        <v/>
      </c>
      <c r="AU44" s="15" t="str">
        <f ca="1">IF($AF44="","",IFERROR(AVERAGE(OFFSET(Attendance!$A$1,13,5+(13-1)*4),OFFSET(Attendance!$A$1,13,7+(13-1)*4)),""))</f>
        <v/>
      </c>
      <c r="AV44" s="15" t="str">
        <f ca="1">IF($AF44="","",IFERROR(AVERAGE(OFFSET(Attendance!$A$1,13,5+(14-1)*4),OFFSET(Attendance!$A$1,13,7+(14-1)*4)),""))</f>
        <v/>
      </c>
      <c r="AW44" s="15" t="str">
        <f ca="1">IF($AF44="","",IFERROR(AVERAGE(OFFSET(Attendance!$A$1,13,5+(15-1)*4),OFFSET(Attendance!$A$1,13,7+(15-1)*4)),""))</f>
        <v/>
      </c>
      <c r="AX44" s="15" t="str">
        <f ca="1">IF($AF44="","",IFERROR(AVERAGE(OFFSET(Attendance!$A$1,13,5+(16-1)*4),OFFSET(Attendance!$A$1,13,7+(16-1)*4)),""))</f>
        <v/>
      </c>
      <c r="AY44" s="15" t="str">
        <f ca="1">IF($AF44="","",IFERROR(AVERAGE(OFFSET(Attendance!$A$1,13,5+(17-1)*4),OFFSET(Attendance!$A$1,13,7+(17-1)*4)),""))</f>
        <v/>
      </c>
      <c r="AZ44" s="15" t="str">
        <f ca="1">IF($AF44="","",IFERROR(AVERAGE(OFFSET(Attendance!$A$1,13,5+(18-1)*4),OFFSET(Attendance!$A$1,13,7+(18-1)*4)),""))</f>
        <v/>
      </c>
      <c r="BA44" s="15" t="str">
        <f ca="1">IF($AF44="","",IFERROR(AVERAGE(OFFSET(Attendance!$A$1,13,5+(19-1)*4),OFFSET(Attendance!$A$1,13,7+(19-1)*4)),""))</f>
        <v/>
      </c>
      <c r="BB44" s="15" t="str">
        <f ca="1">IF($AF44="","",IFERROR(AVERAGE(OFFSET(Attendance!$A$1,13,5+(20-1)*4),OFFSET(Attendance!$A$1,13,7+(20-1)*4)),""))</f>
        <v/>
      </c>
      <c r="BC44" s="15" t="str">
        <f ca="1">IF($AF44="","",IFERROR(AVERAGE(OFFSET(Attendance!$A$1,13,5+(21-1)*4),OFFSET(Attendance!$A$1,13,7+(21-1)*4)),""))</f>
        <v/>
      </c>
      <c r="BD44" s="15" t="str">
        <f ca="1">IF($AF44="","",IFERROR(AVERAGE(OFFSET(Attendance!$A$1,13,5+(22-1)*4),OFFSET(Attendance!$A$1,13,7+(22-1)*4)),""))</f>
        <v/>
      </c>
      <c r="BE44" s="16">
        <f>IF($AF44="","",IFERROR(Workings!$D15,""))</f>
        <v>0.66666666666666663</v>
      </c>
      <c r="BF44" s="17">
        <f>IF($AF44="","",IFERROR(Workings!$E15,""))</f>
        <v>3.5</v>
      </c>
      <c r="BG44" s="17">
        <f>IF($AF44="","",IFERROR(Workings!$G15,""))</f>
        <v>8.5</v>
      </c>
      <c r="BH44" s="18">
        <f>IF($AF44="","",IFERROR(Workings!$H15,""))</f>
        <v>0.68611111111111112</v>
      </c>
    </row>
    <row r="45" spans="2:60" ht="15" customHeight="1" x14ac:dyDescent="0.45">
      <c r="B45" s="19">
        <f>IF(ROW()-37&gt;COUNT(Workings!$AX$6:$AX$25),"",ROW()-37)</f>
        <v>8</v>
      </c>
      <c r="C45" s="20" t="str">
        <f>IF($B45="","",IFERROR(INDEX(Workings!$AO$6:$AO$25,MATCH($B45,Workings!$AX$6:$AX$25,0)),""))</f>
        <v>Shauna Kavanagh</v>
      </c>
      <c r="D45" s="19">
        <f>IF($B45="","",IFERROR(INDEX(Workings!$AP$6:$AP$25,MATCH($B45,Workings!$AX$6:$AX$25,0)),""))</f>
        <v>9</v>
      </c>
      <c r="E45" s="19">
        <f>IF($B45="","",IFERROR(INDEX(Workings!$AQ$6:$AQ$25,MATCH($B45,Workings!$AX$6:$AX$25,0)),""))</f>
        <v>11</v>
      </c>
      <c r="F45" s="21">
        <f>IF($B45="","",IFERROR(INDEX(Workings!$AR$6:$AR$25,MATCH($B45,Workings!$AX$6:$AX$25,0)),""))</f>
        <v>0.81818181818181823</v>
      </c>
      <c r="G45" s="22">
        <f>IF($B45="","",IFERROR(INDEX(Workings!$AS$6:$AS$25,MATCH($B45,Workings!$AX$6:$AX$25,0)),""))</f>
        <v>2.2222222222222223</v>
      </c>
      <c r="H45" s="23" t="str">
        <f>IF($B45="","",IFERROR(INDEX(Workings!$AU$6:$AU$25,MATCH($B45,Workings!$AX$6:$AX$25,0)),""))</f>
        <v>Improving</v>
      </c>
      <c r="I45" s="24">
        <f>IF($B45="","",IFERROR(INDEX(Workings!$AT$6:$AT$25,MATCH($B45,Workings!$AX$6:$AX$25,0)),""))</f>
        <v>0.59393939393939399</v>
      </c>
      <c r="AF45" s="13" t="str">
        <f>IF(Attendance!$D15="","",Attendance!$D15)</f>
        <v>Hannah Fleming</v>
      </c>
      <c r="AG45" s="14" t="str">
        <f t="array" ref="AG45">IF($AF45="","",_xlfn.TEXTJOIN("",TRUE(),IF(Attendance!$E$4:$CN$4="WR",IFERROR(CHOOSE(Attendance!$E15:$CN15,"▁","▃","▅","▆","█"),"·"),"")))</f>
        <v>▅▅▅·········································</v>
      </c>
      <c r="AH45" s="14" t="str">
        <f t="array" ref="AH45">IF($AF45="","",_xlfn.TEXTJOIN("",TRUE(),IF(Attendance!$CP$4:$FY$4="Rating",IFERROR(CHOOSE(ROUNDUP(Attendance!$CP15:$FY15/2,0),"▁","▃","▅","▆","█"),"·"),"")))</f>
        <v>▆·····················</v>
      </c>
      <c r="AI45" s="15">
        <f ca="1">IF($AF45="","",IFERROR(AVERAGE(OFFSET(Attendance!$A$1,14,5+(1-1)*4),OFFSET(Attendance!$A$1,14,7+(1-1)*4)),""))</f>
        <v>3</v>
      </c>
      <c r="AJ45" s="15">
        <f ca="1">IF($AF45="","",IFERROR(AVERAGE(OFFSET(Attendance!$A$1,14,5+(2-1)*4),OFFSET(Attendance!$A$1,14,7+(2-1)*4)),""))</f>
        <v>3</v>
      </c>
      <c r="AK45" s="15" t="str">
        <f ca="1">IF($AF45="","",IFERROR(AVERAGE(OFFSET(Attendance!$A$1,14,5+(3-1)*4),OFFSET(Attendance!$A$1,14,7+(3-1)*4)),""))</f>
        <v/>
      </c>
      <c r="AL45" s="15" t="str">
        <f ca="1">IF($AF45="","",IFERROR(AVERAGE(OFFSET(Attendance!$A$1,14,5+(4-1)*4),OFFSET(Attendance!$A$1,14,7+(4-1)*4)),""))</f>
        <v/>
      </c>
      <c r="AM45" s="15" t="str">
        <f ca="1">IF($AF45="","",IFERROR(AVERAGE(OFFSET(Attendance!$A$1,14,5+(5-1)*4),OFFSET(Attendance!$A$1,14,7+(5-1)*4)),""))</f>
        <v/>
      </c>
      <c r="AN45" s="15" t="str">
        <f ca="1">IF($AF45="","",IFERROR(AVERAGE(OFFSET(Attendance!$A$1,14,5+(6-1)*4),OFFSET(Attendance!$A$1,14,7+(6-1)*4)),""))</f>
        <v/>
      </c>
      <c r="AO45" s="15" t="str">
        <f ca="1">IF($AF45="","",IFERROR(AVERAGE(OFFSET(Attendance!$A$1,14,5+(7-1)*4),OFFSET(Attendance!$A$1,14,7+(7-1)*4)),""))</f>
        <v/>
      </c>
      <c r="AP45" s="15" t="str">
        <f ca="1">IF($AF45="","",IFERROR(AVERAGE(OFFSET(Attendance!$A$1,14,5+(8-1)*4),OFFSET(Attendance!$A$1,14,7+(8-1)*4)),""))</f>
        <v/>
      </c>
      <c r="AQ45" s="15" t="str">
        <f ca="1">IF($AF45="","",IFERROR(AVERAGE(OFFSET(Attendance!$A$1,14,5+(9-1)*4),OFFSET(Attendance!$A$1,14,7+(9-1)*4)),""))</f>
        <v/>
      </c>
      <c r="AR45" s="15" t="str">
        <f ca="1">IF($AF45="","",IFERROR(AVERAGE(OFFSET(Attendance!$A$1,14,5+(10-1)*4),OFFSET(Attendance!$A$1,14,7+(10-1)*4)),""))</f>
        <v/>
      </c>
      <c r="AS45" s="15" t="str">
        <f ca="1">IF($AF45="","",IFERROR(AVERAGE(OFFSET(Attendance!$A$1,14,5+(11-1)*4),OFFSET(Attendance!$A$1,14,7+(11-1)*4)),""))</f>
        <v/>
      </c>
      <c r="AT45" s="15" t="str">
        <f ca="1">IF($AF45="","",IFERROR(AVERAGE(OFFSET(Attendance!$A$1,14,5+(12-1)*4),OFFSET(Attendance!$A$1,14,7+(12-1)*4)),""))</f>
        <v/>
      </c>
      <c r="AU45" s="15" t="str">
        <f ca="1">IF($AF45="","",IFERROR(AVERAGE(OFFSET(Attendance!$A$1,14,5+(13-1)*4),OFFSET(Attendance!$A$1,14,7+(13-1)*4)),""))</f>
        <v/>
      </c>
      <c r="AV45" s="15" t="str">
        <f ca="1">IF($AF45="","",IFERROR(AVERAGE(OFFSET(Attendance!$A$1,14,5+(14-1)*4),OFFSET(Attendance!$A$1,14,7+(14-1)*4)),""))</f>
        <v/>
      </c>
      <c r="AW45" s="15" t="str">
        <f ca="1">IF($AF45="","",IFERROR(AVERAGE(OFFSET(Attendance!$A$1,14,5+(15-1)*4),OFFSET(Attendance!$A$1,14,7+(15-1)*4)),""))</f>
        <v/>
      </c>
      <c r="AX45" s="15" t="str">
        <f ca="1">IF($AF45="","",IFERROR(AVERAGE(OFFSET(Attendance!$A$1,14,5+(16-1)*4),OFFSET(Attendance!$A$1,14,7+(16-1)*4)),""))</f>
        <v/>
      </c>
      <c r="AY45" s="15" t="str">
        <f ca="1">IF($AF45="","",IFERROR(AVERAGE(OFFSET(Attendance!$A$1,14,5+(17-1)*4),OFFSET(Attendance!$A$1,14,7+(17-1)*4)),""))</f>
        <v/>
      </c>
      <c r="AZ45" s="15" t="str">
        <f ca="1">IF($AF45="","",IFERROR(AVERAGE(OFFSET(Attendance!$A$1,14,5+(18-1)*4),OFFSET(Attendance!$A$1,14,7+(18-1)*4)),""))</f>
        <v/>
      </c>
      <c r="BA45" s="15" t="str">
        <f ca="1">IF($AF45="","",IFERROR(AVERAGE(OFFSET(Attendance!$A$1,14,5+(19-1)*4),OFFSET(Attendance!$A$1,14,7+(19-1)*4)),""))</f>
        <v/>
      </c>
      <c r="BB45" s="15" t="str">
        <f ca="1">IF($AF45="","",IFERROR(AVERAGE(OFFSET(Attendance!$A$1,14,5+(20-1)*4),OFFSET(Attendance!$A$1,14,7+(20-1)*4)),""))</f>
        <v/>
      </c>
      <c r="BC45" s="15" t="str">
        <f ca="1">IF($AF45="","",IFERROR(AVERAGE(OFFSET(Attendance!$A$1,14,5+(21-1)*4),OFFSET(Attendance!$A$1,14,7+(21-1)*4)),""))</f>
        <v/>
      </c>
      <c r="BD45" s="15" t="str">
        <f ca="1">IF($AF45="","",IFERROR(AVERAGE(OFFSET(Attendance!$A$1,14,5+(22-1)*4),OFFSET(Attendance!$A$1,14,7+(22-1)*4)),""))</f>
        <v/>
      </c>
      <c r="BE45" s="16">
        <f>IF($AF45="","",IFERROR(Workings!$D16,""))</f>
        <v>1</v>
      </c>
      <c r="BF45" s="17">
        <f>IF($AF45="","",IFERROR(Workings!$E16,""))</f>
        <v>3</v>
      </c>
      <c r="BG45" s="17">
        <f>IF($AF45="","",IFERROR(Workings!$G16,""))</f>
        <v>8</v>
      </c>
      <c r="BH45" s="18">
        <f>IF($AF45="","",IFERROR(Workings!$H16,""))</f>
        <v>0.76666666666666661</v>
      </c>
    </row>
    <row r="46" spans="2:60" ht="15" customHeight="1" x14ac:dyDescent="0.45">
      <c r="B46" s="19">
        <f>IF(ROW()-37&gt;COUNT(Workings!$AX$6:$AX$25),"",ROW()-37)</f>
        <v>9</v>
      </c>
      <c r="C46" s="20" t="str">
        <f>IF($B46="","",IFERROR(INDEX(Workings!$AO$6:$AO$25,MATCH($B46,Workings!$AX$6:$AX$25,0)),""))</f>
        <v>Emma Kelly</v>
      </c>
      <c r="D46" s="19">
        <f>IF($B46="","",IFERROR(INDEX(Workings!$AP$6:$AP$25,MATCH($B46,Workings!$AX$6:$AX$25,0)),""))</f>
        <v>7</v>
      </c>
      <c r="E46" s="19">
        <f>IF($B46="","",IFERROR(INDEX(Workings!$AQ$6:$AQ$25,MATCH($B46,Workings!$AX$6:$AX$25,0)),""))</f>
        <v>11</v>
      </c>
      <c r="F46" s="21">
        <f>IF($B46="","",IFERROR(INDEX(Workings!$AR$6:$AR$25,MATCH($B46,Workings!$AX$6:$AX$25,0)),""))</f>
        <v>0.63636363636363635</v>
      </c>
      <c r="G46" s="22">
        <f>IF($B46="","",IFERROR(INDEX(Workings!$AS$6:$AS$25,MATCH($B46,Workings!$AX$6:$AX$25,0)),""))</f>
        <v>3.2857142857142856</v>
      </c>
      <c r="H46" s="23" t="str">
        <f>IF($B46="","",IFERROR(INDEX(Workings!$AU$6:$AU$25,MATCH($B46,Workings!$AX$6:$AX$25,0)),""))</f>
        <v>Not Ready for 90 min</v>
      </c>
      <c r="I46" s="24">
        <f>IF($B46="","",IFERROR(INDEX(Workings!$AT$6:$AT$25,MATCH($B46,Workings!$AX$6:$AX$25,0)),""))</f>
        <v>0.58909090909090911</v>
      </c>
      <c r="AF46" s="13" t="str">
        <f>IF(Attendance!$D16="","",Attendance!$D16)</f>
        <v>Emma Kelly</v>
      </c>
      <c r="AG46" s="14" t="str">
        <f t="array" ref="AG46">IF($AF46="","",_xlfn.TEXTJOIN("",TRUE(),IF(Attendance!$E$4:$CN$4="WR",IFERROR(CHOOSE(Attendance!$E16:$CN16,"▁","▃","▅","▆","█"),"·"),"")))</f>
        <v>··▆·········································</v>
      </c>
      <c r="AH46" s="14" t="str">
        <f t="array" ref="AH46">IF($AF46="","",_xlfn.TEXTJOIN("",TRUE(),IF(Attendance!$CP$4:$FY$4="Rating",IFERROR(CHOOSE(ROUNDUP(Attendance!$CP16:$FY16/2,0),"▁","▃","▅","▆","█"),"·"),"")))</f>
        <v>▆·····················</v>
      </c>
      <c r="AI46" s="15" t="str">
        <f ca="1">IF($AF46="","",IFERROR(AVERAGE(OFFSET(Attendance!$A$1,15,5+(1-1)*4),OFFSET(Attendance!$A$1,15,7+(1-1)*4)),""))</f>
        <v/>
      </c>
      <c r="AJ46" s="15">
        <f ca="1">IF($AF46="","",IFERROR(AVERAGE(OFFSET(Attendance!$A$1,15,5+(2-1)*4),OFFSET(Attendance!$A$1,15,7+(2-1)*4)),""))</f>
        <v>4</v>
      </c>
      <c r="AK46" s="15" t="str">
        <f ca="1">IF($AF46="","",IFERROR(AVERAGE(OFFSET(Attendance!$A$1,15,5+(3-1)*4),OFFSET(Attendance!$A$1,15,7+(3-1)*4)),""))</f>
        <v/>
      </c>
      <c r="AL46" s="15" t="str">
        <f ca="1">IF($AF46="","",IFERROR(AVERAGE(OFFSET(Attendance!$A$1,15,5+(4-1)*4),OFFSET(Attendance!$A$1,15,7+(4-1)*4)),""))</f>
        <v/>
      </c>
      <c r="AM46" s="15" t="str">
        <f ca="1">IF($AF46="","",IFERROR(AVERAGE(OFFSET(Attendance!$A$1,15,5+(5-1)*4),OFFSET(Attendance!$A$1,15,7+(5-1)*4)),""))</f>
        <v/>
      </c>
      <c r="AN46" s="15" t="str">
        <f ca="1">IF($AF46="","",IFERROR(AVERAGE(OFFSET(Attendance!$A$1,15,5+(6-1)*4),OFFSET(Attendance!$A$1,15,7+(6-1)*4)),""))</f>
        <v/>
      </c>
      <c r="AO46" s="15" t="str">
        <f ca="1">IF($AF46="","",IFERROR(AVERAGE(OFFSET(Attendance!$A$1,15,5+(7-1)*4),OFFSET(Attendance!$A$1,15,7+(7-1)*4)),""))</f>
        <v/>
      </c>
      <c r="AP46" s="15" t="str">
        <f ca="1">IF($AF46="","",IFERROR(AVERAGE(OFFSET(Attendance!$A$1,15,5+(8-1)*4),OFFSET(Attendance!$A$1,15,7+(8-1)*4)),""))</f>
        <v/>
      </c>
      <c r="AQ46" s="15" t="str">
        <f ca="1">IF($AF46="","",IFERROR(AVERAGE(OFFSET(Attendance!$A$1,15,5+(9-1)*4),OFFSET(Attendance!$A$1,15,7+(9-1)*4)),""))</f>
        <v/>
      </c>
      <c r="AR46" s="15" t="str">
        <f ca="1">IF($AF46="","",IFERROR(AVERAGE(OFFSET(Attendance!$A$1,15,5+(10-1)*4),OFFSET(Attendance!$A$1,15,7+(10-1)*4)),""))</f>
        <v/>
      </c>
      <c r="AS46" s="15" t="str">
        <f ca="1">IF($AF46="","",IFERROR(AVERAGE(OFFSET(Attendance!$A$1,15,5+(11-1)*4),OFFSET(Attendance!$A$1,15,7+(11-1)*4)),""))</f>
        <v/>
      </c>
      <c r="AT46" s="15" t="str">
        <f ca="1">IF($AF46="","",IFERROR(AVERAGE(OFFSET(Attendance!$A$1,15,5+(12-1)*4),OFFSET(Attendance!$A$1,15,7+(12-1)*4)),""))</f>
        <v/>
      </c>
      <c r="AU46" s="15" t="str">
        <f ca="1">IF($AF46="","",IFERROR(AVERAGE(OFFSET(Attendance!$A$1,15,5+(13-1)*4),OFFSET(Attendance!$A$1,15,7+(13-1)*4)),""))</f>
        <v/>
      </c>
      <c r="AV46" s="15" t="str">
        <f ca="1">IF($AF46="","",IFERROR(AVERAGE(OFFSET(Attendance!$A$1,15,5+(14-1)*4),OFFSET(Attendance!$A$1,15,7+(14-1)*4)),""))</f>
        <v/>
      </c>
      <c r="AW46" s="15" t="str">
        <f ca="1">IF($AF46="","",IFERROR(AVERAGE(OFFSET(Attendance!$A$1,15,5+(15-1)*4),OFFSET(Attendance!$A$1,15,7+(15-1)*4)),""))</f>
        <v/>
      </c>
      <c r="AX46" s="15" t="str">
        <f ca="1">IF($AF46="","",IFERROR(AVERAGE(OFFSET(Attendance!$A$1,15,5+(16-1)*4),OFFSET(Attendance!$A$1,15,7+(16-1)*4)),""))</f>
        <v/>
      </c>
      <c r="AY46" s="15" t="str">
        <f ca="1">IF($AF46="","",IFERROR(AVERAGE(OFFSET(Attendance!$A$1,15,5+(17-1)*4),OFFSET(Attendance!$A$1,15,7+(17-1)*4)),""))</f>
        <v/>
      </c>
      <c r="AZ46" s="15" t="str">
        <f ca="1">IF($AF46="","",IFERROR(AVERAGE(OFFSET(Attendance!$A$1,15,5+(18-1)*4),OFFSET(Attendance!$A$1,15,7+(18-1)*4)),""))</f>
        <v/>
      </c>
      <c r="BA46" s="15" t="str">
        <f ca="1">IF($AF46="","",IFERROR(AVERAGE(OFFSET(Attendance!$A$1,15,5+(19-1)*4),OFFSET(Attendance!$A$1,15,7+(19-1)*4)),""))</f>
        <v/>
      </c>
      <c r="BB46" s="15" t="str">
        <f ca="1">IF($AF46="","",IFERROR(AVERAGE(OFFSET(Attendance!$A$1,15,5+(20-1)*4),OFFSET(Attendance!$A$1,15,7+(20-1)*4)),""))</f>
        <v/>
      </c>
      <c r="BC46" s="15" t="str">
        <f ca="1">IF($AF46="","",IFERROR(AVERAGE(OFFSET(Attendance!$A$1,15,5+(21-1)*4),OFFSET(Attendance!$A$1,15,7+(21-1)*4)),""))</f>
        <v/>
      </c>
      <c r="BD46" s="15" t="str">
        <f ca="1">IF($AF46="","",IFERROR(AVERAGE(OFFSET(Attendance!$A$1,15,5+(22-1)*4),OFFSET(Attendance!$A$1,15,7+(22-1)*4)),""))</f>
        <v/>
      </c>
      <c r="BE46" s="16">
        <f>IF($AF46="","",IFERROR(Workings!$D17,""))</f>
        <v>0.33333333333333331</v>
      </c>
      <c r="BF46" s="17">
        <f>IF($AF46="","",IFERROR(Workings!$E17,""))</f>
        <v>4</v>
      </c>
      <c r="BG46" s="17">
        <f>IF($AF46="","",IFERROR(Workings!$G17,""))</f>
        <v>8</v>
      </c>
      <c r="BH46" s="18">
        <f>IF($AF46="","",IFERROR(Workings!$H17,""))</f>
        <v>0.60555555555555551</v>
      </c>
    </row>
    <row r="47" spans="2:60" ht="15" customHeight="1" x14ac:dyDescent="0.45">
      <c r="B47" s="19">
        <f>IF(ROW()-37&gt;COUNT(Workings!$AX$6:$AX$25),"",ROW()-37)</f>
        <v>10</v>
      </c>
      <c r="C47" s="20" t="str">
        <f>IF($B47="","",IFERROR(INDEX(Workings!$AO$6:$AO$25,MATCH($B47,Workings!$AX$6:$AX$25,0)),""))</f>
        <v>Roma Memon</v>
      </c>
      <c r="D47" s="19">
        <f>IF($B47="","",IFERROR(INDEX(Workings!$AP$6:$AP$25,MATCH($B47,Workings!$AX$6:$AX$25,0)),""))</f>
        <v>7</v>
      </c>
      <c r="E47" s="19">
        <f>IF($B47="","",IFERROR(INDEX(Workings!$AQ$6:$AQ$25,MATCH($B47,Workings!$AX$6:$AX$25,0)),""))</f>
        <v>11</v>
      </c>
      <c r="F47" s="21">
        <f>IF($B47="","",IFERROR(INDEX(Workings!$AR$6:$AR$25,MATCH($B47,Workings!$AX$6:$AX$25,0)),""))</f>
        <v>0.63636363636363635</v>
      </c>
      <c r="G47" s="22">
        <f>IF($B47="","",IFERROR(INDEX(Workings!$AS$6:$AS$25,MATCH($B47,Workings!$AX$6:$AX$25,0)),""))</f>
        <v>3.2857142857142856</v>
      </c>
      <c r="H47" s="23" t="str">
        <f>IF($B47="","",IFERROR(INDEX(Workings!$AU$6:$AU$25,MATCH($B47,Workings!$AX$6:$AX$25,0)),""))</f>
        <v>Not Ready for 90 min</v>
      </c>
      <c r="I47" s="24">
        <f>IF($B47="","",IFERROR(INDEX(Workings!$AT$6:$AT$25,MATCH($B47,Workings!$AX$6:$AX$25,0)),""))</f>
        <v>0.58909090909090911</v>
      </c>
      <c r="AF47" s="13" t="str">
        <f>IF(Attendance!$D17="","",Attendance!$D17)</f>
        <v>Roma Memon</v>
      </c>
      <c r="AG47" s="14" t="str">
        <f t="array" ref="AG47">IF($AF47="","",_xlfn.TEXTJOIN("",TRUE(),IF(Attendance!$E$4:$CN$4="WR",IFERROR(CHOOSE(Attendance!$E17:$CN17,"▁","▃","▅","▆","█"),"·"),"")))</f>
        <v>▅·▅·········································</v>
      </c>
      <c r="AH47" s="14" t="str">
        <f t="array" ref="AH47">IF($AF47="","",_xlfn.TEXTJOIN("",TRUE(),IF(Attendance!$CP$4:$FY$4="Rating",IFERROR(CHOOSE(ROUNDUP(Attendance!$CP17:$FY17/2,0),"▁","▃","▅","▆","█"),"·"),"")))</f>
        <v>▆·····················</v>
      </c>
      <c r="AI47" s="15">
        <f ca="1">IF($AF47="","",IFERROR(AVERAGE(OFFSET(Attendance!$A$1,16,5+(1-1)*4),OFFSET(Attendance!$A$1,16,7+(1-1)*4)),""))</f>
        <v>3</v>
      </c>
      <c r="AJ47" s="15">
        <f ca="1">IF($AF47="","",IFERROR(AVERAGE(OFFSET(Attendance!$A$1,16,5+(2-1)*4),OFFSET(Attendance!$A$1,16,7+(2-1)*4)),""))</f>
        <v>3</v>
      </c>
      <c r="AK47" s="15" t="str">
        <f ca="1">IF($AF47="","",IFERROR(AVERAGE(OFFSET(Attendance!$A$1,16,5+(3-1)*4),OFFSET(Attendance!$A$1,16,7+(3-1)*4)),""))</f>
        <v/>
      </c>
      <c r="AL47" s="15" t="str">
        <f ca="1">IF($AF47="","",IFERROR(AVERAGE(OFFSET(Attendance!$A$1,16,5+(4-1)*4),OFFSET(Attendance!$A$1,16,7+(4-1)*4)),""))</f>
        <v/>
      </c>
      <c r="AM47" s="15" t="str">
        <f ca="1">IF($AF47="","",IFERROR(AVERAGE(OFFSET(Attendance!$A$1,16,5+(5-1)*4),OFFSET(Attendance!$A$1,16,7+(5-1)*4)),""))</f>
        <v/>
      </c>
      <c r="AN47" s="15" t="str">
        <f ca="1">IF($AF47="","",IFERROR(AVERAGE(OFFSET(Attendance!$A$1,16,5+(6-1)*4),OFFSET(Attendance!$A$1,16,7+(6-1)*4)),""))</f>
        <v/>
      </c>
      <c r="AO47" s="15" t="str">
        <f ca="1">IF($AF47="","",IFERROR(AVERAGE(OFFSET(Attendance!$A$1,16,5+(7-1)*4),OFFSET(Attendance!$A$1,16,7+(7-1)*4)),""))</f>
        <v/>
      </c>
      <c r="AP47" s="15" t="str">
        <f ca="1">IF($AF47="","",IFERROR(AVERAGE(OFFSET(Attendance!$A$1,16,5+(8-1)*4),OFFSET(Attendance!$A$1,16,7+(8-1)*4)),""))</f>
        <v/>
      </c>
      <c r="AQ47" s="15" t="str">
        <f ca="1">IF($AF47="","",IFERROR(AVERAGE(OFFSET(Attendance!$A$1,16,5+(9-1)*4),OFFSET(Attendance!$A$1,16,7+(9-1)*4)),""))</f>
        <v/>
      </c>
      <c r="AR47" s="15" t="str">
        <f ca="1">IF($AF47="","",IFERROR(AVERAGE(OFFSET(Attendance!$A$1,16,5+(10-1)*4),OFFSET(Attendance!$A$1,16,7+(10-1)*4)),""))</f>
        <v/>
      </c>
      <c r="AS47" s="15" t="str">
        <f ca="1">IF($AF47="","",IFERROR(AVERAGE(OFFSET(Attendance!$A$1,16,5+(11-1)*4),OFFSET(Attendance!$A$1,16,7+(11-1)*4)),""))</f>
        <v/>
      </c>
      <c r="AT47" s="15" t="str">
        <f ca="1">IF($AF47="","",IFERROR(AVERAGE(OFFSET(Attendance!$A$1,16,5+(12-1)*4),OFFSET(Attendance!$A$1,16,7+(12-1)*4)),""))</f>
        <v/>
      </c>
      <c r="AU47" s="15" t="str">
        <f ca="1">IF($AF47="","",IFERROR(AVERAGE(OFFSET(Attendance!$A$1,16,5+(13-1)*4),OFFSET(Attendance!$A$1,16,7+(13-1)*4)),""))</f>
        <v/>
      </c>
      <c r="AV47" s="15" t="str">
        <f ca="1">IF($AF47="","",IFERROR(AVERAGE(OFFSET(Attendance!$A$1,16,5+(14-1)*4),OFFSET(Attendance!$A$1,16,7+(14-1)*4)),""))</f>
        <v/>
      </c>
      <c r="AW47" s="15" t="str">
        <f ca="1">IF($AF47="","",IFERROR(AVERAGE(OFFSET(Attendance!$A$1,16,5+(15-1)*4),OFFSET(Attendance!$A$1,16,7+(15-1)*4)),""))</f>
        <v/>
      </c>
      <c r="AX47" s="15" t="str">
        <f ca="1">IF($AF47="","",IFERROR(AVERAGE(OFFSET(Attendance!$A$1,16,5+(16-1)*4),OFFSET(Attendance!$A$1,16,7+(16-1)*4)),""))</f>
        <v/>
      </c>
      <c r="AY47" s="15" t="str">
        <f ca="1">IF($AF47="","",IFERROR(AVERAGE(OFFSET(Attendance!$A$1,16,5+(17-1)*4),OFFSET(Attendance!$A$1,16,7+(17-1)*4)),""))</f>
        <v/>
      </c>
      <c r="AZ47" s="15" t="str">
        <f ca="1">IF($AF47="","",IFERROR(AVERAGE(OFFSET(Attendance!$A$1,16,5+(18-1)*4),OFFSET(Attendance!$A$1,16,7+(18-1)*4)),""))</f>
        <v/>
      </c>
      <c r="BA47" s="15" t="str">
        <f ca="1">IF($AF47="","",IFERROR(AVERAGE(OFFSET(Attendance!$A$1,16,5+(19-1)*4),OFFSET(Attendance!$A$1,16,7+(19-1)*4)),""))</f>
        <v/>
      </c>
      <c r="BB47" s="15" t="str">
        <f ca="1">IF($AF47="","",IFERROR(AVERAGE(OFFSET(Attendance!$A$1,16,5+(20-1)*4),OFFSET(Attendance!$A$1,16,7+(20-1)*4)),""))</f>
        <v/>
      </c>
      <c r="BC47" s="15" t="str">
        <f ca="1">IF($AF47="","",IFERROR(AVERAGE(OFFSET(Attendance!$A$1,16,5+(21-1)*4),OFFSET(Attendance!$A$1,16,7+(21-1)*4)),""))</f>
        <v/>
      </c>
      <c r="BD47" s="15" t="str">
        <f ca="1">IF($AF47="","",IFERROR(AVERAGE(OFFSET(Attendance!$A$1,16,5+(22-1)*4),OFFSET(Attendance!$A$1,16,7+(22-1)*4)),""))</f>
        <v/>
      </c>
      <c r="BE47" s="16">
        <f>IF($AF47="","",IFERROR(Workings!$D18,""))</f>
        <v>0.66666666666666663</v>
      </c>
      <c r="BF47" s="17">
        <f>IF($AF47="","",IFERROR(Workings!$E18,""))</f>
        <v>3</v>
      </c>
      <c r="BG47" s="17">
        <f>IF($AF47="","",IFERROR(Workings!$G18,""))</f>
        <v>6.5</v>
      </c>
      <c r="BH47" s="18">
        <f>IF($AF47="","",IFERROR(Workings!$H18,""))</f>
        <v>0.62777777777777777</v>
      </c>
    </row>
    <row r="48" spans="2:60" ht="15" customHeight="1" x14ac:dyDescent="0.45">
      <c r="B48" s="19">
        <f>IF(ROW()-37&gt;COUNT(Workings!$AX$6:$AX$25),"",ROW()-37)</f>
        <v>11</v>
      </c>
      <c r="C48" s="20" t="str">
        <f>IF($B48="","",IFERROR(INDEX(Workings!$AO$6:$AO$25,MATCH($B48,Workings!$AX$6:$AX$25,0)),""))</f>
        <v>Amber Kilalee</v>
      </c>
      <c r="D48" s="19">
        <f>IF($B48="","",IFERROR(INDEX(Workings!$AP$6:$AP$25,MATCH($B48,Workings!$AX$6:$AX$25,0)),""))</f>
        <v>7</v>
      </c>
      <c r="E48" s="19">
        <f>IF($B48="","",IFERROR(INDEX(Workings!$AQ$6:$AQ$25,MATCH($B48,Workings!$AX$6:$AX$25,0)),""))</f>
        <v>11</v>
      </c>
      <c r="F48" s="21">
        <f>IF($B48="","",IFERROR(INDEX(Workings!$AR$6:$AR$25,MATCH($B48,Workings!$AX$6:$AX$25,0)),""))</f>
        <v>0.63636363636363635</v>
      </c>
      <c r="G48" s="22">
        <f>IF($B48="","",IFERROR(INDEX(Workings!$AS$6:$AS$25,MATCH($B48,Workings!$AX$6:$AX$25,0)),""))</f>
        <v>3</v>
      </c>
      <c r="H48" s="23" t="str">
        <f>IF($B48="","",IFERROR(INDEX(Workings!$AU$6:$AU$25,MATCH($B48,Workings!$AX$6:$AX$25,0)),""))</f>
        <v>Nearly Ready</v>
      </c>
      <c r="I48" s="24">
        <f>IF($B48="","",IFERROR(INDEX(Workings!$AT$6:$AT$25,MATCH($B48,Workings!$AX$6:$AX$25,0)),""))</f>
        <v>0.56000000000000005</v>
      </c>
      <c r="AF48" s="13" t="str">
        <f>IF(Attendance!$D18="","",Attendance!$D18)</f>
        <v>Emma Dromgoole</v>
      </c>
      <c r="AG48" s="14" t="str">
        <f t="array" ref="AG48">IF($AF48="","",_xlfn.TEXTJOIN("",TRUE(),IF(Attendance!$E$4:$CN$4="WR",IFERROR(CHOOSE(Attendance!$E18:$CN18,"▁","▃","▅","▆","█"),"·"),"")))</f>
        <v>▅▅▅·········································</v>
      </c>
      <c r="AH48" s="14" t="str">
        <f t="array" ref="AH48">IF($AF48="","",_xlfn.TEXTJOIN("",TRUE(),IF(Attendance!$CP$4:$FY$4="Rating",IFERROR(CHOOSE(ROUNDUP(Attendance!$CP18:$FY18/2,0),"▁","▃","▅","▆","█"),"·"),"")))</f>
        <v>▆·····················</v>
      </c>
      <c r="AI48" s="15">
        <f ca="1">IF($AF48="","",IFERROR(AVERAGE(OFFSET(Attendance!$A$1,17,5+(1-1)*4),OFFSET(Attendance!$A$1,17,7+(1-1)*4)),""))</f>
        <v>3</v>
      </c>
      <c r="AJ48" s="15">
        <f ca="1">IF($AF48="","",IFERROR(AVERAGE(OFFSET(Attendance!$A$1,17,5+(2-1)*4),OFFSET(Attendance!$A$1,17,7+(2-1)*4)),""))</f>
        <v>3</v>
      </c>
      <c r="AK48" s="15" t="str">
        <f ca="1">IF($AF48="","",IFERROR(AVERAGE(OFFSET(Attendance!$A$1,17,5+(3-1)*4),OFFSET(Attendance!$A$1,17,7+(3-1)*4)),""))</f>
        <v/>
      </c>
      <c r="AL48" s="15" t="str">
        <f ca="1">IF($AF48="","",IFERROR(AVERAGE(OFFSET(Attendance!$A$1,17,5+(4-1)*4),OFFSET(Attendance!$A$1,17,7+(4-1)*4)),""))</f>
        <v/>
      </c>
      <c r="AM48" s="15" t="str">
        <f ca="1">IF($AF48="","",IFERROR(AVERAGE(OFFSET(Attendance!$A$1,17,5+(5-1)*4),OFFSET(Attendance!$A$1,17,7+(5-1)*4)),""))</f>
        <v/>
      </c>
      <c r="AN48" s="15" t="str">
        <f ca="1">IF($AF48="","",IFERROR(AVERAGE(OFFSET(Attendance!$A$1,17,5+(6-1)*4),OFFSET(Attendance!$A$1,17,7+(6-1)*4)),""))</f>
        <v/>
      </c>
      <c r="AO48" s="15" t="str">
        <f ca="1">IF($AF48="","",IFERROR(AVERAGE(OFFSET(Attendance!$A$1,17,5+(7-1)*4),OFFSET(Attendance!$A$1,17,7+(7-1)*4)),""))</f>
        <v/>
      </c>
      <c r="AP48" s="15" t="str">
        <f ca="1">IF($AF48="","",IFERROR(AVERAGE(OFFSET(Attendance!$A$1,17,5+(8-1)*4),OFFSET(Attendance!$A$1,17,7+(8-1)*4)),""))</f>
        <v/>
      </c>
      <c r="AQ48" s="15" t="str">
        <f ca="1">IF($AF48="","",IFERROR(AVERAGE(OFFSET(Attendance!$A$1,17,5+(9-1)*4),OFFSET(Attendance!$A$1,17,7+(9-1)*4)),""))</f>
        <v/>
      </c>
      <c r="AR48" s="15" t="str">
        <f ca="1">IF($AF48="","",IFERROR(AVERAGE(OFFSET(Attendance!$A$1,17,5+(10-1)*4),OFFSET(Attendance!$A$1,17,7+(10-1)*4)),""))</f>
        <v/>
      </c>
      <c r="AS48" s="15" t="str">
        <f ca="1">IF($AF48="","",IFERROR(AVERAGE(OFFSET(Attendance!$A$1,17,5+(11-1)*4),OFFSET(Attendance!$A$1,17,7+(11-1)*4)),""))</f>
        <v/>
      </c>
      <c r="AT48" s="15" t="str">
        <f ca="1">IF($AF48="","",IFERROR(AVERAGE(OFFSET(Attendance!$A$1,17,5+(12-1)*4),OFFSET(Attendance!$A$1,17,7+(12-1)*4)),""))</f>
        <v/>
      </c>
      <c r="AU48" s="15" t="str">
        <f ca="1">IF($AF48="","",IFERROR(AVERAGE(OFFSET(Attendance!$A$1,17,5+(13-1)*4),OFFSET(Attendance!$A$1,17,7+(13-1)*4)),""))</f>
        <v/>
      </c>
      <c r="AV48" s="15" t="str">
        <f ca="1">IF($AF48="","",IFERROR(AVERAGE(OFFSET(Attendance!$A$1,17,5+(14-1)*4),OFFSET(Attendance!$A$1,17,7+(14-1)*4)),""))</f>
        <v/>
      </c>
      <c r="AW48" s="15" t="str">
        <f ca="1">IF($AF48="","",IFERROR(AVERAGE(OFFSET(Attendance!$A$1,17,5+(15-1)*4),OFFSET(Attendance!$A$1,17,7+(15-1)*4)),""))</f>
        <v/>
      </c>
      <c r="AX48" s="15" t="str">
        <f ca="1">IF($AF48="","",IFERROR(AVERAGE(OFFSET(Attendance!$A$1,17,5+(16-1)*4),OFFSET(Attendance!$A$1,17,7+(16-1)*4)),""))</f>
        <v/>
      </c>
      <c r="AY48" s="15" t="str">
        <f ca="1">IF($AF48="","",IFERROR(AVERAGE(OFFSET(Attendance!$A$1,17,5+(17-1)*4),OFFSET(Attendance!$A$1,17,7+(17-1)*4)),""))</f>
        <v/>
      </c>
      <c r="AZ48" s="15" t="str">
        <f ca="1">IF($AF48="","",IFERROR(AVERAGE(OFFSET(Attendance!$A$1,17,5+(18-1)*4),OFFSET(Attendance!$A$1,17,7+(18-1)*4)),""))</f>
        <v/>
      </c>
      <c r="BA48" s="15" t="str">
        <f ca="1">IF($AF48="","",IFERROR(AVERAGE(OFFSET(Attendance!$A$1,17,5+(19-1)*4),OFFSET(Attendance!$A$1,17,7+(19-1)*4)),""))</f>
        <v/>
      </c>
      <c r="BB48" s="15" t="str">
        <f ca="1">IF($AF48="","",IFERROR(AVERAGE(OFFSET(Attendance!$A$1,17,5+(20-1)*4),OFFSET(Attendance!$A$1,17,7+(20-1)*4)),""))</f>
        <v/>
      </c>
      <c r="BC48" s="15" t="str">
        <f ca="1">IF($AF48="","",IFERROR(AVERAGE(OFFSET(Attendance!$A$1,17,5+(21-1)*4),OFFSET(Attendance!$A$1,17,7+(21-1)*4)),""))</f>
        <v/>
      </c>
      <c r="BD48" s="15" t="str">
        <f ca="1">IF($AF48="","",IFERROR(AVERAGE(OFFSET(Attendance!$A$1,17,5+(22-1)*4),OFFSET(Attendance!$A$1,17,7+(22-1)*4)),""))</f>
        <v/>
      </c>
      <c r="BE48" s="16">
        <f>IF($AF48="","",IFERROR(Workings!$D19,""))</f>
        <v>1</v>
      </c>
      <c r="BF48" s="17">
        <f>IF($AF48="","",IFERROR(Workings!$E19,""))</f>
        <v>3</v>
      </c>
      <c r="BG48" s="17">
        <f>IF($AF48="","",IFERROR(Workings!$G19,""))</f>
        <v>6.5</v>
      </c>
      <c r="BH48" s="18">
        <f>IF($AF48="","",IFERROR(Workings!$H19,""))</f>
        <v>0.76666666666666661</v>
      </c>
    </row>
    <row r="49" spans="2:60" ht="15" customHeight="1" x14ac:dyDescent="0.45">
      <c r="B49" s="19">
        <f>IF(ROW()-37&gt;COUNT(Workings!$AX$6:$AX$25),"",ROW()-37)</f>
        <v>12</v>
      </c>
      <c r="C49" s="20" t="str">
        <f>IF($B49="","",IFERROR(INDEX(Workings!$AO$6:$AO$25,MATCH($B49,Workings!$AX$6:$AX$25,0)),""))</f>
        <v>Emma Dromgoole</v>
      </c>
      <c r="D49" s="19">
        <f>IF($B49="","",IFERROR(INDEX(Workings!$AP$6:$AP$25,MATCH($B49,Workings!$AX$6:$AX$25,0)),""))</f>
        <v>6</v>
      </c>
      <c r="E49" s="19">
        <f>IF($B49="","",IFERROR(INDEX(Workings!$AQ$6:$AQ$25,MATCH($B49,Workings!$AX$6:$AX$25,0)),""))</f>
        <v>11</v>
      </c>
      <c r="F49" s="21">
        <f>IF($B49="","",IFERROR(INDEX(Workings!$AR$6:$AR$25,MATCH($B49,Workings!$AX$6:$AX$25,0)),""))</f>
        <v>0.54545454545454541</v>
      </c>
      <c r="G49" s="22">
        <f>IF($B49="","",IFERROR(INDEX(Workings!$AS$6:$AS$25,MATCH($B49,Workings!$AX$6:$AX$25,0)),""))</f>
        <v>3.5</v>
      </c>
      <c r="H49" s="23" t="str">
        <f>IF($B49="","",IFERROR(INDEX(Workings!$AU$6:$AU$25,MATCH($B49,Workings!$AX$6:$AX$25,0)),""))</f>
        <v>Match Ready</v>
      </c>
      <c r="I49" s="24">
        <f>IF($B49="","",IFERROR(INDEX(Workings!$AT$6:$AT$25,MATCH($B49,Workings!$AX$6:$AX$25,0)),""))</f>
        <v>0.52363636363636357</v>
      </c>
      <c r="AF49" s="13" t="str">
        <f>IF(Attendance!$D19="","",Attendance!$D19)</f>
        <v>Elsie Morrison</v>
      </c>
      <c r="AG49" s="14" t="str">
        <f t="array" ref="AG49">IF($AF49="","",_xlfn.TEXTJOIN("",TRUE(),IF(Attendance!$E$4:$CN$4="WR",IFERROR(CHOOSE(Attendance!$E19:$CN19,"▁","▃","▅","▆","█"),"·"),"")))</f>
        <v>▃▅▆·········································</v>
      </c>
      <c r="AH49" s="14" t="str">
        <f t="array" ref="AH49">IF($AF49="","",_xlfn.TEXTJOIN("",TRUE(),IF(Attendance!$CP$4:$FY$4="Rating",IFERROR(CHOOSE(ROUNDUP(Attendance!$CP19:$FY19/2,0),"▁","▃","▅","▆","█"),"·"),"")))</f>
        <v>▆·····················</v>
      </c>
      <c r="AI49" s="15">
        <f ca="1">IF($AF49="","",IFERROR(AVERAGE(OFFSET(Attendance!$A$1,18,5+(1-1)*4),OFFSET(Attendance!$A$1,18,7+(1-1)*4)),""))</f>
        <v>2.5</v>
      </c>
      <c r="AJ49" s="15">
        <f ca="1">IF($AF49="","",IFERROR(AVERAGE(OFFSET(Attendance!$A$1,18,5+(2-1)*4),OFFSET(Attendance!$A$1,18,7+(2-1)*4)),""))</f>
        <v>4</v>
      </c>
      <c r="AK49" s="15" t="str">
        <f ca="1">IF($AF49="","",IFERROR(AVERAGE(OFFSET(Attendance!$A$1,18,5+(3-1)*4),OFFSET(Attendance!$A$1,18,7+(3-1)*4)),""))</f>
        <v/>
      </c>
      <c r="AL49" s="15" t="str">
        <f ca="1">IF($AF49="","",IFERROR(AVERAGE(OFFSET(Attendance!$A$1,18,5+(4-1)*4),OFFSET(Attendance!$A$1,18,7+(4-1)*4)),""))</f>
        <v/>
      </c>
      <c r="AM49" s="15" t="str">
        <f ca="1">IF($AF49="","",IFERROR(AVERAGE(OFFSET(Attendance!$A$1,18,5+(5-1)*4),OFFSET(Attendance!$A$1,18,7+(5-1)*4)),""))</f>
        <v/>
      </c>
      <c r="AN49" s="15" t="str">
        <f ca="1">IF($AF49="","",IFERROR(AVERAGE(OFFSET(Attendance!$A$1,18,5+(6-1)*4),OFFSET(Attendance!$A$1,18,7+(6-1)*4)),""))</f>
        <v/>
      </c>
      <c r="AO49" s="15" t="str">
        <f ca="1">IF($AF49="","",IFERROR(AVERAGE(OFFSET(Attendance!$A$1,18,5+(7-1)*4),OFFSET(Attendance!$A$1,18,7+(7-1)*4)),""))</f>
        <v/>
      </c>
      <c r="AP49" s="15" t="str">
        <f ca="1">IF($AF49="","",IFERROR(AVERAGE(OFFSET(Attendance!$A$1,18,5+(8-1)*4),OFFSET(Attendance!$A$1,18,7+(8-1)*4)),""))</f>
        <v/>
      </c>
      <c r="AQ49" s="15" t="str">
        <f ca="1">IF($AF49="","",IFERROR(AVERAGE(OFFSET(Attendance!$A$1,18,5+(9-1)*4),OFFSET(Attendance!$A$1,18,7+(9-1)*4)),""))</f>
        <v/>
      </c>
      <c r="AR49" s="15" t="str">
        <f ca="1">IF($AF49="","",IFERROR(AVERAGE(OFFSET(Attendance!$A$1,18,5+(10-1)*4),OFFSET(Attendance!$A$1,18,7+(10-1)*4)),""))</f>
        <v/>
      </c>
      <c r="AS49" s="15" t="str">
        <f ca="1">IF($AF49="","",IFERROR(AVERAGE(OFFSET(Attendance!$A$1,18,5+(11-1)*4),OFFSET(Attendance!$A$1,18,7+(11-1)*4)),""))</f>
        <v/>
      </c>
      <c r="AT49" s="15" t="str">
        <f ca="1">IF($AF49="","",IFERROR(AVERAGE(OFFSET(Attendance!$A$1,18,5+(12-1)*4),OFFSET(Attendance!$A$1,18,7+(12-1)*4)),""))</f>
        <v/>
      </c>
      <c r="AU49" s="15" t="str">
        <f ca="1">IF($AF49="","",IFERROR(AVERAGE(OFFSET(Attendance!$A$1,18,5+(13-1)*4),OFFSET(Attendance!$A$1,18,7+(13-1)*4)),""))</f>
        <v/>
      </c>
      <c r="AV49" s="15" t="str">
        <f ca="1">IF($AF49="","",IFERROR(AVERAGE(OFFSET(Attendance!$A$1,18,5+(14-1)*4),OFFSET(Attendance!$A$1,18,7+(14-1)*4)),""))</f>
        <v/>
      </c>
      <c r="AW49" s="15" t="str">
        <f ca="1">IF($AF49="","",IFERROR(AVERAGE(OFFSET(Attendance!$A$1,18,5+(15-1)*4),OFFSET(Attendance!$A$1,18,7+(15-1)*4)),""))</f>
        <v/>
      </c>
      <c r="AX49" s="15" t="str">
        <f ca="1">IF($AF49="","",IFERROR(AVERAGE(OFFSET(Attendance!$A$1,18,5+(16-1)*4),OFFSET(Attendance!$A$1,18,7+(16-1)*4)),""))</f>
        <v/>
      </c>
      <c r="AY49" s="15" t="str">
        <f ca="1">IF($AF49="","",IFERROR(AVERAGE(OFFSET(Attendance!$A$1,18,5+(17-1)*4),OFFSET(Attendance!$A$1,18,7+(17-1)*4)),""))</f>
        <v/>
      </c>
      <c r="AZ49" s="15" t="str">
        <f ca="1">IF($AF49="","",IFERROR(AVERAGE(OFFSET(Attendance!$A$1,18,5+(18-1)*4),OFFSET(Attendance!$A$1,18,7+(18-1)*4)),""))</f>
        <v/>
      </c>
      <c r="BA49" s="15" t="str">
        <f ca="1">IF($AF49="","",IFERROR(AVERAGE(OFFSET(Attendance!$A$1,18,5+(19-1)*4),OFFSET(Attendance!$A$1,18,7+(19-1)*4)),""))</f>
        <v/>
      </c>
      <c r="BB49" s="15" t="str">
        <f ca="1">IF($AF49="","",IFERROR(AVERAGE(OFFSET(Attendance!$A$1,18,5+(20-1)*4),OFFSET(Attendance!$A$1,18,7+(20-1)*4)),""))</f>
        <v/>
      </c>
      <c r="BC49" s="15" t="str">
        <f ca="1">IF($AF49="","",IFERROR(AVERAGE(OFFSET(Attendance!$A$1,18,5+(21-1)*4),OFFSET(Attendance!$A$1,18,7+(21-1)*4)),""))</f>
        <v/>
      </c>
      <c r="BD49" s="15" t="str">
        <f ca="1">IF($AF49="","",IFERROR(AVERAGE(OFFSET(Attendance!$A$1,18,5+(22-1)*4),OFFSET(Attendance!$A$1,18,7+(22-1)*4)),""))</f>
        <v/>
      </c>
      <c r="BE49" s="16">
        <f>IF($AF49="","",IFERROR(Workings!$D20,""))</f>
        <v>1</v>
      </c>
      <c r="BF49" s="17">
        <f>IF($AF49="","",IFERROR(Workings!$E20,""))</f>
        <v>3</v>
      </c>
      <c r="BG49" s="17">
        <f>IF($AF49="","",IFERROR(Workings!$G20,""))</f>
        <v>8</v>
      </c>
      <c r="BH49" s="18">
        <f>IF($AF49="","",IFERROR(Workings!$H20,""))</f>
        <v>0.76666666666666661</v>
      </c>
    </row>
    <row r="50" spans="2:60" ht="15" customHeight="1" x14ac:dyDescent="0.45">
      <c r="B50" s="19">
        <f>IF(ROW()-37&gt;COUNT(Workings!$AX$6:$AX$25),"",ROW()-37)</f>
        <v>13</v>
      </c>
      <c r="C50" s="20" t="str">
        <f>IF($B50="","",IFERROR(INDEX(Workings!$AO$6:$AO$25,MATCH($B50,Workings!$AX$6:$AX$25,0)),""))</f>
        <v>Tara Brannigan</v>
      </c>
      <c r="D50" s="19">
        <f>IF($B50="","",IFERROR(INDEX(Workings!$AP$6:$AP$25,MATCH($B50,Workings!$AX$6:$AX$25,0)),""))</f>
        <v>4</v>
      </c>
      <c r="E50" s="19">
        <f>IF($B50="","",IFERROR(INDEX(Workings!$AQ$6:$AQ$25,MATCH($B50,Workings!$AX$6:$AX$25,0)),""))</f>
        <v>11</v>
      </c>
      <c r="F50" s="21">
        <f>IF($B50="","",IFERROR(INDEX(Workings!$AR$6:$AR$25,MATCH($B50,Workings!$AX$6:$AX$25,0)),""))</f>
        <v>0.36363636363636365</v>
      </c>
      <c r="G50" s="22">
        <f>IF($B50="","",IFERROR(INDEX(Workings!$AS$6:$AS$25,MATCH($B50,Workings!$AX$6:$AX$25,0)),""))</f>
        <v>3.25</v>
      </c>
      <c r="H50" s="23" t="str">
        <f>IF($B50="","",IFERROR(INDEX(Workings!$AU$6:$AU$25,MATCH($B50,Workings!$AX$6:$AX$25,0)),""))</f>
        <v>Insufficient data</v>
      </c>
      <c r="I50" s="24">
        <f>IF($B50="","",IFERROR(INDEX(Workings!$AT$6:$AT$25,MATCH($B50,Workings!$AX$6:$AX$25,0)),""))</f>
        <v>0.33454545454545459</v>
      </c>
      <c r="AF50" s="13" t="str">
        <f>IF(Attendance!$D20="","",Attendance!$D20)</f>
        <v>Zara Freeman</v>
      </c>
      <c r="AG50" s="14" t="str">
        <f t="array" ref="AG50">IF($AF50="","",_xlfn.TEXTJOIN("",TRUE(),IF(Attendance!$E$4:$CN$4="WR",IFERROR(CHOOSE(Attendance!$E20:$CN20,"▁","▃","▅","▆","█"),"·"),"")))</f>
        <v>·▅▅·········································</v>
      </c>
      <c r="AH50" s="14" t="str">
        <f t="array" ref="AH50">IF($AF50="","",_xlfn.TEXTJOIN("",TRUE(),IF(Attendance!$CP$4:$FY$4="Rating",IFERROR(CHOOSE(ROUNDUP(Attendance!$CP20:$FY20/2,0),"▁","▃","▅","▆","█"),"·"),"")))</f>
        <v>█·····················</v>
      </c>
      <c r="AI50" s="15">
        <f ca="1">IF($AF50="","",IFERROR(AVERAGE(OFFSET(Attendance!$A$1,19,5+(1-1)*4),OFFSET(Attendance!$A$1,19,7+(1-1)*4)),""))</f>
        <v>3</v>
      </c>
      <c r="AJ50" s="15">
        <f ca="1">IF($AF50="","",IFERROR(AVERAGE(OFFSET(Attendance!$A$1,19,5+(2-1)*4),OFFSET(Attendance!$A$1,19,7+(2-1)*4)),""))</f>
        <v>3</v>
      </c>
      <c r="AK50" s="15" t="str">
        <f ca="1">IF($AF50="","",IFERROR(AVERAGE(OFFSET(Attendance!$A$1,19,5+(3-1)*4),OFFSET(Attendance!$A$1,19,7+(3-1)*4)),""))</f>
        <v/>
      </c>
      <c r="AL50" s="15" t="str">
        <f ca="1">IF($AF50="","",IFERROR(AVERAGE(OFFSET(Attendance!$A$1,19,5+(4-1)*4),OFFSET(Attendance!$A$1,19,7+(4-1)*4)),""))</f>
        <v/>
      </c>
      <c r="AM50" s="15" t="str">
        <f ca="1">IF($AF50="","",IFERROR(AVERAGE(OFFSET(Attendance!$A$1,19,5+(5-1)*4),OFFSET(Attendance!$A$1,19,7+(5-1)*4)),""))</f>
        <v/>
      </c>
      <c r="AN50" s="15" t="str">
        <f ca="1">IF($AF50="","",IFERROR(AVERAGE(OFFSET(Attendance!$A$1,19,5+(6-1)*4),OFFSET(Attendance!$A$1,19,7+(6-1)*4)),""))</f>
        <v/>
      </c>
      <c r="AO50" s="15" t="str">
        <f ca="1">IF($AF50="","",IFERROR(AVERAGE(OFFSET(Attendance!$A$1,19,5+(7-1)*4),OFFSET(Attendance!$A$1,19,7+(7-1)*4)),""))</f>
        <v/>
      </c>
      <c r="AP50" s="15" t="str">
        <f ca="1">IF($AF50="","",IFERROR(AVERAGE(OFFSET(Attendance!$A$1,19,5+(8-1)*4),OFFSET(Attendance!$A$1,19,7+(8-1)*4)),""))</f>
        <v/>
      </c>
      <c r="AQ50" s="15" t="str">
        <f ca="1">IF($AF50="","",IFERROR(AVERAGE(OFFSET(Attendance!$A$1,19,5+(9-1)*4),OFFSET(Attendance!$A$1,19,7+(9-1)*4)),""))</f>
        <v/>
      </c>
      <c r="AR50" s="15" t="str">
        <f ca="1">IF($AF50="","",IFERROR(AVERAGE(OFFSET(Attendance!$A$1,19,5+(10-1)*4),OFFSET(Attendance!$A$1,19,7+(10-1)*4)),""))</f>
        <v/>
      </c>
      <c r="AS50" s="15" t="str">
        <f ca="1">IF($AF50="","",IFERROR(AVERAGE(OFFSET(Attendance!$A$1,19,5+(11-1)*4),OFFSET(Attendance!$A$1,19,7+(11-1)*4)),""))</f>
        <v/>
      </c>
      <c r="AT50" s="15" t="str">
        <f ca="1">IF($AF50="","",IFERROR(AVERAGE(OFFSET(Attendance!$A$1,19,5+(12-1)*4),OFFSET(Attendance!$A$1,19,7+(12-1)*4)),""))</f>
        <v/>
      </c>
      <c r="AU50" s="15" t="str">
        <f ca="1">IF($AF50="","",IFERROR(AVERAGE(OFFSET(Attendance!$A$1,19,5+(13-1)*4),OFFSET(Attendance!$A$1,19,7+(13-1)*4)),""))</f>
        <v/>
      </c>
      <c r="AV50" s="15" t="str">
        <f ca="1">IF($AF50="","",IFERROR(AVERAGE(OFFSET(Attendance!$A$1,19,5+(14-1)*4),OFFSET(Attendance!$A$1,19,7+(14-1)*4)),""))</f>
        <v/>
      </c>
      <c r="AW50" s="15" t="str">
        <f ca="1">IF($AF50="","",IFERROR(AVERAGE(OFFSET(Attendance!$A$1,19,5+(15-1)*4),OFFSET(Attendance!$A$1,19,7+(15-1)*4)),""))</f>
        <v/>
      </c>
      <c r="AX50" s="15" t="str">
        <f ca="1">IF($AF50="","",IFERROR(AVERAGE(OFFSET(Attendance!$A$1,19,5+(16-1)*4),OFFSET(Attendance!$A$1,19,7+(16-1)*4)),""))</f>
        <v/>
      </c>
      <c r="AY50" s="15" t="str">
        <f ca="1">IF($AF50="","",IFERROR(AVERAGE(OFFSET(Attendance!$A$1,19,5+(17-1)*4),OFFSET(Attendance!$A$1,19,7+(17-1)*4)),""))</f>
        <v/>
      </c>
      <c r="AZ50" s="15" t="str">
        <f ca="1">IF($AF50="","",IFERROR(AVERAGE(OFFSET(Attendance!$A$1,19,5+(18-1)*4),OFFSET(Attendance!$A$1,19,7+(18-1)*4)),""))</f>
        <v/>
      </c>
      <c r="BA50" s="15" t="str">
        <f ca="1">IF($AF50="","",IFERROR(AVERAGE(OFFSET(Attendance!$A$1,19,5+(19-1)*4),OFFSET(Attendance!$A$1,19,7+(19-1)*4)),""))</f>
        <v/>
      </c>
      <c r="BB50" s="15" t="str">
        <f ca="1">IF($AF50="","",IFERROR(AVERAGE(OFFSET(Attendance!$A$1,19,5+(20-1)*4),OFFSET(Attendance!$A$1,19,7+(20-1)*4)),""))</f>
        <v/>
      </c>
      <c r="BC50" s="15" t="str">
        <f ca="1">IF($AF50="","",IFERROR(AVERAGE(OFFSET(Attendance!$A$1,19,5+(21-1)*4),OFFSET(Attendance!$A$1,19,7+(21-1)*4)),""))</f>
        <v/>
      </c>
      <c r="BD50" s="15" t="str">
        <f ca="1">IF($AF50="","",IFERROR(AVERAGE(OFFSET(Attendance!$A$1,19,5+(22-1)*4),OFFSET(Attendance!$A$1,19,7+(22-1)*4)),""))</f>
        <v/>
      </c>
      <c r="BE50" s="16">
        <f>IF($AF50="","",IFERROR(Workings!$D21,""))</f>
        <v>0.66666666666666663</v>
      </c>
      <c r="BF50" s="17">
        <f>IF($AF50="","",IFERROR(Workings!$E21,""))</f>
        <v>3</v>
      </c>
      <c r="BG50" s="17">
        <f>IF($AF50="","",IFERROR(Workings!$G21,""))</f>
        <v>8.5</v>
      </c>
      <c r="BH50" s="18">
        <f>IF($AF50="","",IFERROR(Workings!$H21,""))</f>
        <v>0.62777777777777777</v>
      </c>
    </row>
    <row r="51" spans="2:60" ht="15" customHeight="1" x14ac:dyDescent="0.45">
      <c r="B51" s="19">
        <f>IF(ROW()-37&gt;COUNT(Workings!$AX$6:$AX$25),"",ROW()-37)</f>
        <v>14</v>
      </c>
      <c r="C51" s="20" t="str">
        <f>IF($B51="","",IFERROR(INDEX(Workings!$AO$6:$AO$25,MATCH($B51,Workings!$AX$6:$AX$25,0)),""))</f>
        <v>Zara Freeman</v>
      </c>
      <c r="D51" s="19">
        <f>IF($B51="","",IFERROR(INDEX(Workings!$AP$6:$AP$25,MATCH($B51,Workings!$AX$6:$AX$25,0)),""))</f>
        <v>3</v>
      </c>
      <c r="E51" s="19">
        <f>IF($B51="","",IFERROR(INDEX(Workings!$AQ$6:$AQ$25,MATCH($B51,Workings!$AX$6:$AX$25,0)),""))</f>
        <v>11</v>
      </c>
      <c r="F51" s="21">
        <f>IF($B51="","",IFERROR(INDEX(Workings!$AR$6:$AR$25,MATCH($B51,Workings!$AX$6:$AX$25,0)),""))</f>
        <v>0.27272727272727271</v>
      </c>
      <c r="G51" s="22">
        <f>IF($B51="","",IFERROR(INDEX(Workings!$AS$6:$AS$25,MATCH($B51,Workings!$AX$6:$AX$25,0)),""))</f>
        <v>3.3333333333333335</v>
      </c>
      <c r="H51" s="23" t="str">
        <f>IF($B51="","",IFERROR(INDEX(Workings!$AU$6:$AU$25,MATCH($B51,Workings!$AX$6:$AX$25,0)),""))</f>
        <v>Insufficient data</v>
      </c>
      <c r="I51" s="24">
        <f>IF($B51="","",IFERROR(INDEX(Workings!$AT$6:$AT$25,MATCH($B51,Workings!$AX$6:$AX$25,0)),""))</f>
        <v>0.25454545454545452</v>
      </c>
      <c r="AF51" s="13" t="str">
        <f>IF(Attendance!$D21="","",Attendance!$D21)</f>
        <v>Mariana Soares</v>
      </c>
      <c r="AG51" s="14" t="str">
        <f t="array" ref="AG51">IF($AF51="","",_xlfn.TEXTJOIN("",TRUE(),IF(Attendance!$E$4:$CN$4="WR",IFERROR(CHOOSE(Attendance!$E21:$CN21,"▁","▃","▅","▆","█"),"·"),"")))</f>
        <v>▅▅▅·········································</v>
      </c>
      <c r="AH51" s="14" t="str">
        <f t="array" ref="AH51">IF($AF51="","",_xlfn.TEXTJOIN("",TRUE(),IF(Attendance!$CP$4:$FY$4="Rating",IFERROR(CHOOSE(ROUNDUP(Attendance!$CP21:$FY21/2,0),"▁","▃","▅","▆","█"),"·"),"")))</f>
        <v>▆·····················</v>
      </c>
      <c r="AI51" s="15">
        <f ca="1">IF($AF51="","",IFERROR(AVERAGE(OFFSET(Attendance!$A$1,20,5+(1-1)*4),OFFSET(Attendance!$A$1,20,7+(1-1)*4)),""))</f>
        <v>3</v>
      </c>
      <c r="AJ51" s="15">
        <f ca="1">IF($AF51="","",IFERROR(AVERAGE(OFFSET(Attendance!$A$1,20,5+(2-1)*4),OFFSET(Attendance!$A$1,20,7+(2-1)*4)),""))</f>
        <v>3</v>
      </c>
      <c r="AK51" s="15" t="str">
        <f ca="1">IF($AF51="","",IFERROR(AVERAGE(OFFSET(Attendance!$A$1,20,5+(3-1)*4),OFFSET(Attendance!$A$1,20,7+(3-1)*4)),""))</f>
        <v/>
      </c>
      <c r="AL51" s="15" t="str">
        <f ca="1">IF($AF51="","",IFERROR(AVERAGE(OFFSET(Attendance!$A$1,20,5+(4-1)*4),OFFSET(Attendance!$A$1,20,7+(4-1)*4)),""))</f>
        <v/>
      </c>
      <c r="AM51" s="15" t="str">
        <f ca="1">IF($AF51="","",IFERROR(AVERAGE(OFFSET(Attendance!$A$1,20,5+(5-1)*4),OFFSET(Attendance!$A$1,20,7+(5-1)*4)),""))</f>
        <v/>
      </c>
      <c r="AN51" s="15" t="str">
        <f ca="1">IF($AF51="","",IFERROR(AVERAGE(OFFSET(Attendance!$A$1,20,5+(6-1)*4),OFFSET(Attendance!$A$1,20,7+(6-1)*4)),""))</f>
        <v/>
      </c>
      <c r="AO51" s="15" t="str">
        <f ca="1">IF($AF51="","",IFERROR(AVERAGE(OFFSET(Attendance!$A$1,20,5+(7-1)*4),OFFSET(Attendance!$A$1,20,7+(7-1)*4)),""))</f>
        <v/>
      </c>
      <c r="AP51" s="15" t="str">
        <f ca="1">IF($AF51="","",IFERROR(AVERAGE(OFFSET(Attendance!$A$1,20,5+(8-1)*4),OFFSET(Attendance!$A$1,20,7+(8-1)*4)),""))</f>
        <v/>
      </c>
      <c r="AQ51" s="15" t="str">
        <f ca="1">IF($AF51="","",IFERROR(AVERAGE(OFFSET(Attendance!$A$1,20,5+(9-1)*4),OFFSET(Attendance!$A$1,20,7+(9-1)*4)),""))</f>
        <v/>
      </c>
      <c r="AR51" s="15" t="str">
        <f ca="1">IF($AF51="","",IFERROR(AVERAGE(OFFSET(Attendance!$A$1,20,5+(10-1)*4),OFFSET(Attendance!$A$1,20,7+(10-1)*4)),""))</f>
        <v/>
      </c>
      <c r="AS51" s="15" t="str">
        <f ca="1">IF($AF51="","",IFERROR(AVERAGE(OFFSET(Attendance!$A$1,20,5+(11-1)*4),OFFSET(Attendance!$A$1,20,7+(11-1)*4)),""))</f>
        <v/>
      </c>
      <c r="AT51" s="15" t="str">
        <f ca="1">IF($AF51="","",IFERROR(AVERAGE(OFFSET(Attendance!$A$1,20,5+(12-1)*4),OFFSET(Attendance!$A$1,20,7+(12-1)*4)),""))</f>
        <v/>
      </c>
      <c r="AU51" s="15" t="str">
        <f ca="1">IF($AF51="","",IFERROR(AVERAGE(OFFSET(Attendance!$A$1,20,5+(13-1)*4),OFFSET(Attendance!$A$1,20,7+(13-1)*4)),""))</f>
        <v/>
      </c>
      <c r="AV51" s="15" t="str">
        <f ca="1">IF($AF51="","",IFERROR(AVERAGE(OFFSET(Attendance!$A$1,20,5+(14-1)*4),OFFSET(Attendance!$A$1,20,7+(14-1)*4)),""))</f>
        <v/>
      </c>
      <c r="AW51" s="15" t="str">
        <f ca="1">IF($AF51="","",IFERROR(AVERAGE(OFFSET(Attendance!$A$1,20,5+(15-1)*4),OFFSET(Attendance!$A$1,20,7+(15-1)*4)),""))</f>
        <v/>
      </c>
      <c r="AX51" s="15" t="str">
        <f ca="1">IF($AF51="","",IFERROR(AVERAGE(OFFSET(Attendance!$A$1,20,5+(16-1)*4),OFFSET(Attendance!$A$1,20,7+(16-1)*4)),""))</f>
        <v/>
      </c>
      <c r="AY51" s="15" t="str">
        <f ca="1">IF($AF51="","",IFERROR(AVERAGE(OFFSET(Attendance!$A$1,20,5+(17-1)*4),OFFSET(Attendance!$A$1,20,7+(17-1)*4)),""))</f>
        <v/>
      </c>
      <c r="AZ51" s="15" t="str">
        <f ca="1">IF($AF51="","",IFERROR(AVERAGE(OFFSET(Attendance!$A$1,20,5+(18-1)*4),OFFSET(Attendance!$A$1,20,7+(18-1)*4)),""))</f>
        <v/>
      </c>
      <c r="BA51" s="15" t="str">
        <f ca="1">IF($AF51="","",IFERROR(AVERAGE(OFFSET(Attendance!$A$1,20,5+(19-1)*4),OFFSET(Attendance!$A$1,20,7+(19-1)*4)),""))</f>
        <v/>
      </c>
      <c r="BB51" s="15" t="str">
        <f ca="1">IF($AF51="","",IFERROR(AVERAGE(OFFSET(Attendance!$A$1,20,5+(20-1)*4),OFFSET(Attendance!$A$1,20,7+(20-1)*4)),""))</f>
        <v/>
      </c>
      <c r="BC51" s="15" t="str">
        <f ca="1">IF($AF51="","",IFERROR(AVERAGE(OFFSET(Attendance!$A$1,20,5+(21-1)*4),OFFSET(Attendance!$A$1,20,7+(21-1)*4)),""))</f>
        <v/>
      </c>
      <c r="BD51" s="15" t="str">
        <f ca="1">IF($AF51="","",IFERROR(AVERAGE(OFFSET(Attendance!$A$1,20,5+(22-1)*4),OFFSET(Attendance!$A$1,20,7+(22-1)*4)),""))</f>
        <v/>
      </c>
      <c r="BE51" s="16">
        <f>IF($AF51="","",IFERROR(Workings!$D22,""))</f>
        <v>1</v>
      </c>
      <c r="BF51" s="17">
        <f>IF($AF51="","",IFERROR(Workings!$E22,""))</f>
        <v>3</v>
      </c>
      <c r="BG51" s="17">
        <f>IF($AF51="","",IFERROR(Workings!$G22,""))</f>
        <v>7.5</v>
      </c>
      <c r="BH51" s="18">
        <f>IF($AF51="","",IFERROR(Workings!$H22,""))</f>
        <v>0.76666666666666661</v>
      </c>
    </row>
    <row r="52" spans="2:60" ht="15" customHeight="1" x14ac:dyDescent="0.45">
      <c r="B52" s="19">
        <f>IF(ROW()-37&gt;COUNT(Workings!$AX$6:$AX$25),"",ROW()-37)</f>
        <v>15</v>
      </c>
      <c r="C52" s="20" t="str">
        <f>IF($B52="","",IFERROR(INDEX(Workings!$AO$6:$AO$25,MATCH($B52,Workings!$AX$6:$AX$25,0)),""))</f>
        <v>Mariana Soares</v>
      </c>
      <c r="D52" s="19">
        <f>IF($B52="","",IFERROR(INDEX(Workings!$AP$6:$AP$25,MATCH($B52,Workings!$AX$6:$AX$25,0)),""))</f>
        <v>3</v>
      </c>
      <c r="E52" s="19">
        <f>IF($B52="","",IFERROR(INDEX(Workings!$AQ$6:$AQ$25,MATCH($B52,Workings!$AX$6:$AX$25,0)),""))</f>
        <v>11</v>
      </c>
      <c r="F52" s="21">
        <f>IF($B52="","",IFERROR(INDEX(Workings!$AR$6:$AR$25,MATCH($B52,Workings!$AX$6:$AX$25,0)),""))</f>
        <v>0.27272727272727271</v>
      </c>
      <c r="G52" s="22">
        <f>IF($B52="","",IFERROR(INDEX(Workings!$AS$6:$AS$25,MATCH($B52,Workings!$AX$6:$AX$25,0)),""))</f>
        <v>3</v>
      </c>
      <c r="H52" s="23" t="str">
        <f>IF($B52="","",IFERROR(INDEX(Workings!$AU$6:$AU$25,MATCH($B52,Workings!$AX$6:$AX$25,0)),""))</f>
        <v>Insufficient data</v>
      </c>
      <c r="I52" s="24">
        <f>IF($B52="","",IFERROR(INDEX(Workings!$AT$6:$AT$25,MATCH($B52,Workings!$AX$6:$AX$25,0)),""))</f>
        <v>0.24</v>
      </c>
      <c r="AF52" s="13" t="str">
        <f>IF(Attendance!$D22="","",Attendance!$D22)</f>
        <v>Rama Abuowda</v>
      </c>
      <c r="AG52" s="14" t="str">
        <f t="array" ref="AG52">IF($AF52="","",_xlfn.TEXTJOIN("",TRUE(),IF(Attendance!$E$4:$CN$4="WR",IFERROR(CHOOSE(Attendance!$E22:$CN22,"▁","▃","▅","▆","█"),"·"),"")))</f>
        <v>▅▅▅·········································</v>
      </c>
      <c r="AH52" s="14" t="str">
        <f t="array" ref="AH52">IF($AF52="","",_xlfn.TEXTJOIN("",TRUE(),IF(Attendance!$CP$4:$FY$4="Rating",IFERROR(CHOOSE(ROUNDUP(Attendance!$CP22:$FY22/2,0),"▁","▃","▅","▆","█"),"·"),"")))</f>
        <v>█·····················</v>
      </c>
      <c r="AI52" s="15">
        <f ca="1">IF($AF52="","",IFERROR(AVERAGE(OFFSET(Attendance!$A$1,21,5+(1-1)*4),OFFSET(Attendance!$A$1,21,7+(1-1)*4)),""))</f>
        <v>3</v>
      </c>
      <c r="AJ52" s="15">
        <f ca="1">IF($AF52="","",IFERROR(AVERAGE(OFFSET(Attendance!$A$1,21,5+(2-1)*4),OFFSET(Attendance!$A$1,21,7+(2-1)*4)),""))</f>
        <v>3</v>
      </c>
      <c r="AK52" s="15" t="str">
        <f ca="1">IF($AF52="","",IFERROR(AVERAGE(OFFSET(Attendance!$A$1,21,5+(3-1)*4),OFFSET(Attendance!$A$1,21,7+(3-1)*4)),""))</f>
        <v/>
      </c>
      <c r="AL52" s="15" t="str">
        <f ca="1">IF($AF52="","",IFERROR(AVERAGE(OFFSET(Attendance!$A$1,21,5+(4-1)*4),OFFSET(Attendance!$A$1,21,7+(4-1)*4)),""))</f>
        <v/>
      </c>
      <c r="AM52" s="15" t="str">
        <f ca="1">IF($AF52="","",IFERROR(AVERAGE(OFFSET(Attendance!$A$1,21,5+(5-1)*4),OFFSET(Attendance!$A$1,21,7+(5-1)*4)),""))</f>
        <v/>
      </c>
      <c r="AN52" s="15" t="str">
        <f ca="1">IF($AF52="","",IFERROR(AVERAGE(OFFSET(Attendance!$A$1,21,5+(6-1)*4),OFFSET(Attendance!$A$1,21,7+(6-1)*4)),""))</f>
        <v/>
      </c>
      <c r="AO52" s="15" t="str">
        <f ca="1">IF($AF52="","",IFERROR(AVERAGE(OFFSET(Attendance!$A$1,21,5+(7-1)*4),OFFSET(Attendance!$A$1,21,7+(7-1)*4)),""))</f>
        <v/>
      </c>
      <c r="AP52" s="15" t="str">
        <f ca="1">IF($AF52="","",IFERROR(AVERAGE(OFFSET(Attendance!$A$1,21,5+(8-1)*4),OFFSET(Attendance!$A$1,21,7+(8-1)*4)),""))</f>
        <v/>
      </c>
      <c r="AQ52" s="15" t="str">
        <f ca="1">IF($AF52="","",IFERROR(AVERAGE(OFFSET(Attendance!$A$1,21,5+(9-1)*4),OFFSET(Attendance!$A$1,21,7+(9-1)*4)),""))</f>
        <v/>
      </c>
      <c r="AR52" s="15" t="str">
        <f ca="1">IF($AF52="","",IFERROR(AVERAGE(OFFSET(Attendance!$A$1,21,5+(10-1)*4),OFFSET(Attendance!$A$1,21,7+(10-1)*4)),""))</f>
        <v/>
      </c>
      <c r="AS52" s="15" t="str">
        <f ca="1">IF($AF52="","",IFERROR(AVERAGE(OFFSET(Attendance!$A$1,21,5+(11-1)*4),OFFSET(Attendance!$A$1,21,7+(11-1)*4)),""))</f>
        <v/>
      </c>
      <c r="AT52" s="15" t="str">
        <f ca="1">IF($AF52="","",IFERROR(AVERAGE(OFFSET(Attendance!$A$1,21,5+(12-1)*4),OFFSET(Attendance!$A$1,21,7+(12-1)*4)),""))</f>
        <v/>
      </c>
      <c r="AU52" s="15" t="str">
        <f ca="1">IF($AF52="","",IFERROR(AVERAGE(OFFSET(Attendance!$A$1,21,5+(13-1)*4),OFFSET(Attendance!$A$1,21,7+(13-1)*4)),""))</f>
        <v/>
      </c>
      <c r="AV52" s="15" t="str">
        <f ca="1">IF($AF52="","",IFERROR(AVERAGE(OFFSET(Attendance!$A$1,21,5+(14-1)*4),OFFSET(Attendance!$A$1,21,7+(14-1)*4)),""))</f>
        <v/>
      </c>
      <c r="AW52" s="15" t="str">
        <f ca="1">IF($AF52="","",IFERROR(AVERAGE(OFFSET(Attendance!$A$1,21,5+(15-1)*4),OFFSET(Attendance!$A$1,21,7+(15-1)*4)),""))</f>
        <v/>
      </c>
      <c r="AX52" s="15" t="str">
        <f ca="1">IF($AF52="","",IFERROR(AVERAGE(OFFSET(Attendance!$A$1,21,5+(16-1)*4),OFFSET(Attendance!$A$1,21,7+(16-1)*4)),""))</f>
        <v/>
      </c>
      <c r="AY52" s="15" t="str">
        <f ca="1">IF($AF52="","",IFERROR(AVERAGE(OFFSET(Attendance!$A$1,21,5+(17-1)*4),OFFSET(Attendance!$A$1,21,7+(17-1)*4)),""))</f>
        <v/>
      </c>
      <c r="AZ52" s="15" t="str">
        <f ca="1">IF($AF52="","",IFERROR(AVERAGE(OFFSET(Attendance!$A$1,21,5+(18-1)*4),OFFSET(Attendance!$A$1,21,7+(18-1)*4)),""))</f>
        <v/>
      </c>
      <c r="BA52" s="15" t="str">
        <f ca="1">IF($AF52="","",IFERROR(AVERAGE(OFFSET(Attendance!$A$1,21,5+(19-1)*4),OFFSET(Attendance!$A$1,21,7+(19-1)*4)),""))</f>
        <v/>
      </c>
      <c r="BB52" s="15" t="str">
        <f ca="1">IF($AF52="","",IFERROR(AVERAGE(OFFSET(Attendance!$A$1,21,5+(20-1)*4),OFFSET(Attendance!$A$1,21,7+(20-1)*4)),""))</f>
        <v/>
      </c>
      <c r="BC52" s="15" t="str">
        <f ca="1">IF($AF52="","",IFERROR(AVERAGE(OFFSET(Attendance!$A$1,21,5+(21-1)*4),OFFSET(Attendance!$A$1,21,7+(21-1)*4)),""))</f>
        <v/>
      </c>
      <c r="BD52" s="15" t="str">
        <f ca="1">IF($AF52="","",IFERROR(AVERAGE(OFFSET(Attendance!$A$1,21,5+(22-1)*4),OFFSET(Attendance!$A$1,21,7+(22-1)*4)),""))</f>
        <v/>
      </c>
      <c r="BE52" s="16">
        <f>IF($AF52="","",IFERROR(Workings!$D23,""))</f>
        <v>1</v>
      </c>
      <c r="BF52" s="17">
        <f>IF($AF52="","",IFERROR(Workings!$E23,""))</f>
        <v>3</v>
      </c>
      <c r="BG52" s="17">
        <f>IF($AF52="","",IFERROR(Workings!$G23,""))</f>
        <v>8.5</v>
      </c>
      <c r="BH52" s="18">
        <f>IF($AF52="","",IFERROR(Workings!$H23,""))</f>
        <v>0.76666666666666661</v>
      </c>
    </row>
    <row r="53" spans="2:60" ht="15" customHeight="1" x14ac:dyDescent="0.45">
      <c r="B53" s="19">
        <f>IF(ROW()-37&gt;COUNT(Workings!$AX$6:$AX$25),"",ROW()-37)</f>
        <v>16</v>
      </c>
      <c r="C53" s="20" t="str">
        <f>IF($B53="","",IFERROR(INDEX(Workings!$AO$6:$AO$25,MATCH($B53,Workings!$AX$6:$AX$25,0)),""))</f>
        <v>Zara Power</v>
      </c>
      <c r="D53" s="19">
        <f>IF($B53="","",IFERROR(INDEX(Workings!$AP$6:$AP$25,MATCH($B53,Workings!$AX$6:$AX$25,0)),""))</f>
        <v>3</v>
      </c>
      <c r="E53" s="19">
        <f>IF($B53="","",IFERROR(INDEX(Workings!$AQ$6:$AQ$25,MATCH($B53,Workings!$AX$6:$AX$25,0)),""))</f>
        <v>11</v>
      </c>
      <c r="F53" s="21">
        <f>IF($B53="","",IFERROR(INDEX(Workings!$AR$6:$AR$25,MATCH($B53,Workings!$AX$6:$AX$25,0)),""))</f>
        <v>0.27272727272727271</v>
      </c>
      <c r="G53" s="22">
        <f>IF($B53="","",IFERROR(INDEX(Workings!$AS$6:$AS$25,MATCH($B53,Workings!$AX$6:$AX$25,0)),""))</f>
        <v>2.6666666666666665</v>
      </c>
      <c r="H53" s="23" t="str">
        <f>IF($B53="","",IFERROR(INDEX(Workings!$AU$6:$AU$25,MATCH($B53,Workings!$AX$6:$AX$25,0)),""))</f>
        <v>Insufficient data</v>
      </c>
      <c r="I53" s="24">
        <f>IF($B53="","",IFERROR(INDEX(Workings!$AT$6:$AT$25,MATCH($B53,Workings!$AX$6:$AX$25,0)),""))</f>
        <v>0.22545454545454541</v>
      </c>
      <c r="AF53" s="13" t="str">
        <f>IF(Attendance!$D23="","",Attendance!$D23)</f>
        <v/>
      </c>
      <c r="AG53" s="14" t="str">
        <f t="array" ref="AG53">IF($AF53="","",_xlfn.TEXTJOIN("",TRUE(),IF(Attendance!$E$4:$CN$4="WR",IFERROR(CHOOSE(Attendance!$E23:$CN23,"▁","▃","▅","▆","█"),"·"),"")))</f>
        <v/>
      </c>
      <c r="AH53" s="14" t="str">
        <f t="array" ref="AH53">IF($AF53="","",_xlfn.TEXTJOIN("",TRUE(),IF(Attendance!$CP$4:$FY$4="Rating",IFERROR(CHOOSE(ROUNDUP(Attendance!$CP23:$FY23/2,0),"▁","▃","▅","▆","█"),"·"),"")))</f>
        <v/>
      </c>
      <c r="AI53" s="15" t="str">
        <f ca="1">IF($AF53="","",IFERROR(AVERAGE(OFFSET(Attendance!$A$1,22,5+(1-1)*4),OFFSET(Attendance!$A$1,22,7+(1-1)*4)),""))</f>
        <v/>
      </c>
      <c r="AJ53" s="15" t="str">
        <f ca="1">IF($AF53="","",IFERROR(AVERAGE(OFFSET(Attendance!$A$1,22,5+(2-1)*4),OFFSET(Attendance!$A$1,22,7+(2-1)*4)),""))</f>
        <v/>
      </c>
      <c r="AK53" s="15" t="str">
        <f ca="1">IF($AF53="","",IFERROR(AVERAGE(OFFSET(Attendance!$A$1,22,5+(3-1)*4),OFFSET(Attendance!$A$1,22,7+(3-1)*4)),""))</f>
        <v/>
      </c>
      <c r="AL53" s="15" t="str">
        <f ca="1">IF($AF53="","",IFERROR(AVERAGE(OFFSET(Attendance!$A$1,22,5+(4-1)*4),OFFSET(Attendance!$A$1,22,7+(4-1)*4)),""))</f>
        <v/>
      </c>
      <c r="AM53" s="15" t="str">
        <f ca="1">IF($AF53="","",IFERROR(AVERAGE(OFFSET(Attendance!$A$1,22,5+(5-1)*4),OFFSET(Attendance!$A$1,22,7+(5-1)*4)),""))</f>
        <v/>
      </c>
      <c r="AN53" s="15" t="str">
        <f ca="1">IF($AF53="","",IFERROR(AVERAGE(OFFSET(Attendance!$A$1,22,5+(6-1)*4),OFFSET(Attendance!$A$1,22,7+(6-1)*4)),""))</f>
        <v/>
      </c>
      <c r="AO53" s="15" t="str">
        <f ca="1">IF($AF53="","",IFERROR(AVERAGE(OFFSET(Attendance!$A$1,22,5+(7-1)*4),OFFSET(Attendance!$A$1,22,7+(7-1)*4)),""))</f>
        <v/>
      </c>
      <c r="AP53" s="15" t="str">
        <f ca="1">IF($AF53="","",IFERROR(AVERAGE(OFFSET(Attendance!$A$1,22,5+(8-1)*4),OFFSET(Attendance!$A$1,22,7+(8-1)*4)),""))</f>
        <v/>
      </c>
      <c r="AQ53" s="15" t="str">
        <f ca="1">IF($AF53="","",IFERROR(AVERAGE(OFFSET(Attendance!$A$1,22,5+(9-1)*4),OFFSET(Attendance!$A$1,22,7+(9-1)*4)),""))</f>
        <v/>
      </c>
      <c r="AR53" s="15" t="str">
        <f ca="1">IF($AF53="","",IFERROR(AVERAGE(OFFSET(Attendance!$A$1,22,5+(10-1)*4),OFFSET(Attendance!$A$1,22,7+(10-1)*4)),""))</f>
        <v/>
      </c>
      <c r="AS53" s="15" t="str">
        <f ca="1">IF($AF53="","",IFERROR(AVERAGE(OFFSET(Attendance!$A$1,22,5+(11-1)*4),OFFSET(Attendance!$A$1,22,7+(11-1)*4)),""))</f>
        <v/>
      </c>
      <c r="AT53" s="15" t="str">
        <f ca="1">IF($AF53="","",IFERROR(AVERAGE(OFFSET(Attendance!$A$1,22,5+(12-1)*4),OFFSET(Attendance!$A$1,22,7+(12-1)*4)),""))</f>
        <v/>
      </c>
      <c r="AU53" s="15" t="str">
        <f ca="1">IF($AF53="","",IFERROR(AVERAGE(OFFSET(Attendance!$A$1,22,5+(13-1)*4),OFFSET(Attendance!$A$1,22,7+(13-1)*4)),""))</f>
        <v/>
      </c>
      <c r="AV53" s="15" t="str">
        <f ca="1">IF($AF53="","",IFERROR(AVERAGE(OFFSET(Attendance!$A$1,22,5+(14-1)*4),OFFSET(Attendance!$A$1,22,7+(14-1)*4)),""))</f>
        <v/>
      </c>
      <c r="AW53" s="15" t="str">
        <f ca="1">IF($AF53="","",IFERROR(AVERAGE(OFFSET(Attendance!$A$1,22,5+(15-1)*4),OFFSET(Attendance!$A$1,22,7+(15-1)*4)),""))</f>
        <v/>
      </c>
      <c r="AX53" s="15" t="str">
        <f ca="1">IF($AF53="","",IFERROR(AVERAGE(OFFSET(Attendance!$A$1,22,5+(16-1)*4),OFFSET(Attendance!$A$1,22,7+(16-1)*4)),""))</f>
        <v/>
      </c>
      <c r="AY53" s="15" t="str">
        <f ca="1">IF($AF53="","",IFERROR(AVERAGE(OFFSET(Attendance!$A$1,22,5+(17-1)*4),OFFSET(Attendance!$A$1,22,7+(17-1)*4)),""))</f>
        <v/>
      </c>
      <c r="AZ53" s="15" t="str">
        <f ca="1">IF($AF53="","",IFERROR(AVERAGE(OFFSET(Attendance!$A$1,22,5+(18-1)*4),OFFSET(Attendance!$A$1,22,7+(18-1)*4)),""))</f>
        <v/>
      </c>
      <c r="BA53" s="15" t="str">
        <f ca="1">IF($AF53="","",IFERROR(AVERAGE(OFFSET(Attendance!$A$1,22,5+(19-1)*4),OFFSET(Attendance!$A$1,22,7+(19-1)*4)),""))</f>
        <v/>
      </c>
      <c r="BB53" s="15" t="str">
        <f ca="1">IF($AF53="","",IFERROR(AVERAGE(OFFSET(Attendance!$A$1,22,5+(20-1)*4),OFFSET(Attendance!$A$1,22,7+(20-1)*4)),""))</f>
        <v/>
      </c>
      <c r="BC53" s="15" t="str">
        <f ca="1">IF($AF53="","",IFERROR(AVERAGE(OFFSET(Attendance!$A$1,22,5+(21-1)*4),OFFSET(Attendance!$A$1,22,7+(21-1)*4)),""))</f>
        <v/>
      </c>
      <c r="BD53" s="15" t="str">
        <f ca="1">IF($AF53="","",IFERROR(AVERAGE(OFFSET(Attendance!$A$1,22,5+(22-1)*4),OFFSET(Attendance!$A$1,22,7+(22-1)*4)),""))</f>
        <v/>
      </c>
      <c r="BE53" s="16" t="str">
        <f>IF($AF53="","",IFERROR(Workings!$D24,""))</f>
        <v/>
      </c>
      <c r="BF53" s="17" t="str">
        <f>IF($AF53="","",IFERROR(Workings!$E24,""))</f>
        <v/>
      </c>
      <c r="BG53" s="17" t="str">
        <f>IF($AF53="","",IFERROR(Workings!$G24,""))</f>
        <v/>
      </c>
      <c r="BH53" s="18" t="str">
        <f>IF($AF53="","",IFERROR(Workings!$H24,""))</f>
        <v/>
      </c>
    </row>
    <row r="54" spans="2:60" ht="15" customHeight="1" x14ac:dyDescent="0.45">
      <c r="B54" s="19">
        <f>IF(ROW()-37&gt;COUNT(Workings!$AX$6:$AX$25),"",ROW()-37)</f>
        <v>17</v>
      </c>
      <c r="C54" s="20" t="str">
        <f>IF($B54="","",IFERROR(INDEX(Workings!$AO$6:$AO$25,MATCH($B54,Workings!$AX$6:$AX$25,0)),""))</f>
        <v>Heidi Cerubini Dunne</v>
      </c>
      <c r="D54" s="19">
        <f>IF($B54="","",IFERROR(INDEX(Workings!$AP$6:$AP$25,MATCH($B54,Workings!$AX$6:$AX$25,0)),""))</f>
        <v>3</v>
      </c>
      <c r="E54" s="19">
        <f>IF($B54="","",IFERROR(INDEX(Workings!$AQ$6:$AQ$25,MATCH($B54,Workings!$AX$6:$AX$25,0)),""))</f>
        <v>11</v>
      </c>
      <c r="F54" s="21">
        <f>IF($B54="","",IFERROR(INDEX(Workings!$AR$6:$AR$25,MATCH($B54,Workings!$AX$6:$AX$25,0)),""))</f>
        <v>0.27272727272727271</v>
      </c>
      <c r="G54" s="22">
        <f>IF($B54="","",IFERROR(INDEX(Workings!$AS$6:$AS$25,MATCH($B54,Workings!$AX$6:$AX$25,0)),""))</f>
        <v>2</v>
      </c>
      <c r="H54" s="23" t="str">
        <f>IF($B54="","",IFERROR(INDEX(Workings!$AU$6:$AU$25,MATCH($B54,Workings!$AX$6:$AX$25,0)),""))</f>
        <v>Insufficient data</v>
      </c>
      <c r="I54" s="24">
        <f>IF($B54="","",IFERROR(INDEX(Workings!$AT$6:$AT$25,MATCH($B54,Workings!$AX$6:$AX$25,0)),""))</f>
        <v>0.19636363636363635</v>
      </c>
      <c r="AF54" s="25" t="str">
        <f>IF(Attendance!$D24="","",Attendance!$D24)</f>
        <v/>
      </c>
      <c r="AG54" s="26" t="str">
        <f t="array" ref="AG54">IF($AF54="","",_xlfn.TEXTJOIN("",TRUE(),IF(Attendance!$E$4:$CN$4="WR",IFERROR(CHOOSE(Attendance!$E24:$CN24,"▁","▃","▅","▆","█"),"·"),"")))</f>
        <v/>
      </c>
      <c r="AH54" s="26" t="str">
        <f t="array" ref="AH54">IF($AF54="","",_xlfn.TEXTJOIN("",TRUE(),IF(Attendance!$CP$4:$FY$4="Rating",IFERROR(CHOOSE(ROUNDUP(Attendance!$CP24:$FY24/2,0),"▁","▃","▅","▆","█"),"·"),"")))</f>
        <v/>
      </c>
      <c r="AI54" s="27" t="str">
        <f ca="1">IF($AF54="","",IFERROR(AVERAGE(OFFSET(Attendance!$A$1,23,5+(1-1)*4),OFFSET(Attendance!$A$1,23,7+(1-1)*4)),""))</f>
        <v/>
      </c>
      <c r="AJ54" s="27" t="str">
        <f ca="1">IF($AF54="","",IFERROR(AVERAGE(OFFSET(Attendance!$A$1,23,5+(2-1)*4),OFFSET(Attendance!$A$1,23,7+(2-1)*4)),""))</f>
        <v/>
      </c>
      <c r="AK54" s="27" t="str">
        <f ca="1">IF($AF54="","",IFERROR(AVERAGE(OFFSET(Attendance!$A$1,23,5+(3-1)*4),OFFSET(Attendance!$A$1,23,7+(3-1)*4)),""))</f>
        <v/>
      </c>
      <c r="AL54" s="27" t="str">
        <f ca="1">IF($AF54="","",IFERROR(AVERAGE(OFFSET(Attendance!$A$1,23,5+(4-1)*4),OFFSET(Attendance!$A$1,23,7+(4-1)*4)),""))</f>
        <v/>
      </c>
      <c r="AM54" s="27" t="str">
        <f ca="1">IF($AF54="","",IFERROR(AVERAGE(OFFSET(Attendance!$A$1,23,5+(5-1)*4),OFFSET(Attendance!$A$1,23,7+(5-1)*4)),""))</f>
        <v/>
      </c>
      <c r="AN54" s="27" t="str">
        <f ca="1">IF($AF54="","",IFERROR(AVERAGE(OFFSET(Attendance!$A$1,23,5+(6-1)*4),OFFSET(Attendance!$A$1,23,7+(6-1)*4)),""))</f>
        <v/>
      </c>
      <c r="AO54" s="27" t="str">
        <f ca="1">IF($AF54="","",IFERROR(AVERAGE(OFFSET(Attendance!$A$1,23,5+(7-1)*4),OFFSET(Attendance!$A$1,23,7+(7-1)*4)),""))</f>
        <v/>
      </c>
      <c r="AP54" s="27" t="str">
        <f ca="1">IF($AF54="","",IFERROR(AVERAGE(OFFSET(Attendance!$A$1,23,5+(8-1)*4),OFFSET(Attendance!$A$1,23,7+(8-1)*4)),""))</f>
        <v/>
      </c>
      <c r="AQ54" s="27" t="str">
        <f ca="1">IF($AF54="","",IFERROR(AVERAGE(OFFSET(Attendance!$A$1,23,5+(9-1)*4),OFFSET(Attendance!$A$1,23,7+(9-1)*4)),""))</f>
        <v/>
      </c>
      <c r="AR54" s="27" t="str">
        <f ca="1">IF($AF54="","",IFERROR(AVERAGE(OFFSET(Attendance!$A$1,23,5+(10-1)*4),OFFSET(Attendance!$A$1,23,7+(10-1)*4)),""))</f>
        <v/>
      </c>
      <c r="AS54" s="27" t="str">
        <f ca="1">IF($AF54="","",IFERROR(AVERAGE(OFFSET(Attendance!$A$1,23,5+(11-1)*4),OFFSET(Attendance!$A$1,23,7+(11-1)*4)),""))</f>
        <v/>
      </c>
      <c r="AT54" s="27" t="str">
        <f ca="1">IF($AF54="","",IFERROR(AVERAGE(OFFSET(Attendance!$A$1,23,5+(12-1)*4),OFFSET(Attendance!$A$1,23,7+(12-1)*4)),""))</f>
        <v/>
      </c>
      <c r="AU54" s="27" t="str">
        <f ca="1">IF($AF54="","",IFERROR(AVERAGE(OFFSET(Attendance!$A$1,23,5+(13-1)*4),OFFSET(Attendance!$A$1,23,7+(13-1)*4)),""))</f>
        <v/>
      </c>
      <c r="AV54" s="27" t="str">
        <f ca="1">IF($AF54="","",IFERROR(AVERAGE(OFFSET(Attendance!$A$1,23,5+(14-1)*4),OFFSET(Attendance!$A$1,23,7+(14-1)*4)),""))</f>
        <v/>
      </c>
      <c r="AW54" s="27" t="str">
        <f ca="1">IF($AF54="","",IFERROR(AVERAGE(OFFSET(Attendance!$A$1,23,5+(15-1)*4),OFFSET(Attendance!$A$1,23,7+(15-1)*4)),""))</f>
        <v/>
      </c>
      <c r="AX54" s="27" t="str">
        <f ca="1">IF($AF54="","",IFERROR(AVERAGE(OFFSET(Attendance!$A$1,23,5+(16-1)*4),OFFSET(Attendance!$A$1,23,7+(16-1)*4)),""))</f>
        <v/>
      </c>
      <c r="AY54" s="27" t="str">
        <f ca="1">IF($AF54="","",IFERROR(AVERAGE(OFFSET(Attendance!$A$1,23,5+(17-1)*4),OFFSET(Attendance!$A$1,23,7+(17-1)*4)),""))</f>
        <v/>
      </c>
      <c r="AZ54" s="27" t="str">
        <f ca="1">IF($AF54="","",IFERROR(AVERAGE(OFFSET(Attendance!$A$1,23,5+(18-1)*4),OFFSET(Attendance!$A$1,23,7+(18-1)*4)),""))</f>
        <v/>
      </c>
      <c r="BA54" s="27" t="str">
        <f ca="1">IF($AF54="","",IFERROR(AVERAGE(OFFSET(Attendance!$A$1,23,5+(19-1)*4),OFFSET(Attendance!$A$1,23,7+(19-1)*4)),""))</f>
        <v/>
      </c>
      <c r="BB54" s="27" t="str">
        <f ca="1">IF($AF54="","",IFERROR(AVERAGE(OFFSET(Attendance!$A$1,23,5+(20-1)*4),OFFSET(Attendance!$A$1,23,7+(20-1)*4)),""))</f>
        <v/>
      </c>
      <c r="BC54" s="27" t="str">
        <f ca="1">IF($AF54="","",IFERROR(AVERAGE(OFFSET(Attendance!$A$1,23,5+(21-1)*4),OFFSET(Attendance!$A$1,23,7+(21-1)*4)),""))</f>
        <v/>
      </c>
      <c r="BD54" s="27" t="str">
        <f ca="1">IF($AF54="","",IFERROR(AVERAGE(OFFSET(Attendance!$A$1,23,5+(22-1)*4),OFFSET(Attendance!$A$1,23,7+(22-1)*4)),""))</f>
        <v/>
      </c>
      <c r="BE54" s="28" t="str">
        <f>IF($AF54="","",IFERROR(Workings!$D25,""))</f>
        <v/>
      </c>
      <c r="BF54" s="29" t="str">
        <f>IF($AF54="","",IFERROR(Workings!$E25,""))</f>
        <v/>
      </c>
      <c r="BG54" s="29" t="str">
        <f>IF($AF54="","",IFERROR(Workings!$G25,""))</f>
        <v/>
      </c>
      <c r="BH54" s="30" t="str">
        <f>IF($AF54="","",IFERROR(Workings!$H25,""))</f>
        <v/>
      </c>
    </row>
    <row r="55" spans="2:60" ht="15" customHeight="1" x14ac:dyDescent="0.45">
      <c r="B55" s="19">
        <f>IF(ROW()-37&gt;COUNT(Workings!$AX$6:$AX$25),"",ROW()-37)</f>
        <v>18</v>
      </c>
      <c r="C55" s="20" t="str">
        <f>IF($B55="","",IFERROR(INDEX(Workings!$AO$6:$AO$25,MATCH($B55,Workings!$AX$6:$AX$25,0)),""))</f>
        <v>Rama Abuowda</v>
      </c>
      <c r="D55" s="19">
        <f>IF($B55="","",IFERROR(INDEX(Workings!$AP$6:$AP$25,MATCH($B55,Workings!$AX$6:$AX$25,0)),""))</f>
        <v>0</v>
      </c>
      <c r="E55" s="19">
        <f>IF($B55="","",IFERROR(INDEX(Workings!$AQ$6:$AQ$25,MATCH($B55,Workings!$AX$6:$AX$25,0)),""))</f>
        <v>0</v>
      </c>
      <c r="F55" s="21">
        <f>IF($B55="","",IFERROR(INDEX(Workings!$AR$6:$AR$25,MATCH($B55,Workings!$AX$6:$AX$25,0)),""))</f>
        <v>0</v>
      </c>
      <c r="G55" s="22" t="str">
        <f>IF($B55="","",IFERROR(INDEX(Workings!$AS$6:$AS$25,MATCH($B55,Workings!$AX$6:$AX$25,0)),""))</f>
        <v/>
      </c>
      <c r="H55" s="23" t="str">
        <f>IF($B55="","",IFERROR(INDEX(Workings!$AU$6:$AU$25,MATCH($B55,Workings!$AX$6:$AX$25,0)),""))</f>
        <v>No pre-season data</v>
      </c>
      <c r="I55" s="24">
        <f>IF($B55="","",IFERROR(INDEX(Workings!$AT$6:$AT$25,MATCH($B55,Workings!$AX$6:$AX$25,0)),""))</f>
        <v>0</v>
      </c>
    </row>
    <row r="56" spans="2:60" ht="15" customHeight="1" x14ac:dyDescent="0.45">
      <c r="B56" s="19" t="str">
        <f>IF(ROW()-37&gt;COUNT(Workings!$AX$6:$AX$25),"",ROW()-37)</f>
        <v/>
      </c>
      <c r="C56" s="20" t="str">
        <f>IF($B56="","",IFERROR(INDEX(Workings!$AO$6:$AO$25,MATCH($B56,Workings!$AX$6:$AX$25,0)),""))</f>
        <v/>
      </c>
      <c r="D56" s="19" t="str">
        <f>IF($B56="","",IFERROR(INDEX(Workings!$AP$6:$AP$25,MATCH($B56,Workings!$AX$6:$AX$25,0)),""))</f>
        <v/>
      </c>
      <c r="E56" s="19" t="str">
        <f>IF($B56="","",IFERROR(INDEX(Workings!$AQ$6:$AQ$25,MATCH($B56,Workings!$AX$6:$AX$25,0)),""))</f>
        <v/>
      </c>
      <c r="F56" s="21" t="str">
        <f>IF($B56="","",IFERROR(INDEX(Workings!$AR$6:$AR$25,MATCH($B56,Workings!$AX$6:$AX$25,0)),""))</f>
        <v/>
      </c>
      <c r="G56" s="22" t="str">
        <f>IF($B56="","",IFERROR(INDEX(Workings!$AS$6:$AS$25,MATCH($B56,Workings!$AX$6:$AX$25,0)),""))</f>
        <v/>
      </c>
      <c r="H56" s="23" t="str">
        <f>IF($B56="","",IFERROR(INDEX(Workings!$AU$6:$AU$25,MATCH($B56,Workings!$AX$6:$AX$25,0)),""))</f>
        <v/>
      </c>
      <c r="I56" s="24" t="str">
        <f>IF($B56="","",IFERROR(INDEX(Workings!$AT$6:$AT$25,MATCH($B56,Workings!$AX$6:$AX$25,0)),""))</f>
        <v/>
      </c>
    </row>
    <row r="57" spans="2:60" ht="15" customHeight="1" x14ac:dyDescent="0.45"/>
    <row r="58" spans="2:60" x14ac:dyDescent="0.45">
      <c r="B58" s="436" t="s">
        <v>31</v>
      </c>
      <c r="C58" s="436"/>
      <c r="D58" s="436"/>
      <c r="E58" s="436"/>
      <c r="F58" s="436"/>
      <c r="G58" s="436"/>
      <c r="H58" s="436"/>
      <c r="I58" s="436"/>
      <c r="J58" s="436"/>
      <c r="K58" s="436"/>
      <c r="L58" s="436"/>
      <c r="M58" s="436"/>
      <c r="N58" s="436"/>
      <c r="O58" s="436"/>
      <c r="P58" s="436"/>
    </row>
    <row r="59" spans="2:60" ht="35.25" customHeight="1" x14ac:dyDescent="0.45">
      <c r="B59" s="473" t="s">
        <v>32</v>
      </c>
      <c r="C59" s="473"/>
      <c r="D59" s="8" t="s">
        <v>4</v>
      </c>
      <c r="E59" s="9" t="s">
        <v>33</v>
      </c>
      <c r="F59" s="7" t="s">
        <v>18</v>
      </c>
      <c r="G59" s="8" t="s">
        <v>4</v>
      </c>
      <c r="H59" s="9" t="s">
        <v>32</v>
      </c>
      <c r="I59" s="31" t="s">
        <v>34</v>
      </c>
    </row>
    <row r="60" spans="2:60" x14ac:dyDescent="0.45">
      <c r="B60" s="466" t="str">
        <f>Workings!$S6</f>
        <v>Critical</v>
      </c>
      <c r="C60" s="466"/>
      <c r="D60" s="32" t="str">
        <f>TEXT(Workings!$T6,"0.00")&amp;" – "&amp;TEXT(Workings!$U6,"0.00")</f>
        <v>0.00 – 1.50</v>
      </c>
      <c r="E60" s="33">
        <f>Workings!$V6</f>
        <v>0</v>
      </c>
      <c r="F60" s="34" t="str">
        <f>IF(Workings!$C6="","",Workings!$C6)</f>
        <v>Aoife Kennan</v>
      </c>
      <c r="G60" s="35">
        <f>IF($F60="","",IFERROR(Workings!$AW6,""))</f>
        <v>3</v>
      </c>
      <c r="H60" s="36" t="str">
        <f>IF($F60="","",Workings!$I6)</f>
        <v>Nearly Ready</v>
      </c>
      <c r="I60" s="37" t="str">
        <f>IF($F60="","",IFERROR(Workings!$AV6,""))</f>
        <v>In-season</v>
      </c>
    </row>
    <row r="61" spans="2:60" x14ac:dyDescent="0.45">
      <c r="B61" s="467" t="str">
        <f>Workings!$S7</f>
        <v>Not Ready</v>
      </c>
      <c r="C61" s="467"/>
      <c r="D61" s="32" t="str">
        <f>TEXT(Workings!$T7,"0.00")&amp;" – "&amp;TEXT(Workings!$U7,"0.00")</f>
        <v>1.51 – 2.00</v>
      </c>
      <c r="E61" s="33">
        <f>Workings!$V7</f>
        <v>0</v>
      </c>
      <c r="F61" s="34" t="str">
        <f>IF(Workings!$C7="","",Workings!$C7)</f>
        <v>Stella McEvoy</v>
      </c>
      <c r="G61" s="35">
        <f>IF($F61="","",IFERROR(Workings!$AW7,""))</f>
        <v>3</v>
      </c>
      <c r="H61" s="36" t="str">
        <f>IF($F61="","",Workings!$I7)</f>
        <v>Nearly Ready</v>
      </c>
      <c r="I61" s="37" t="str">
        <f>IF($F61="","",IFERROR(Workings!$AV7,""))</f>
        <v>In-season</v>
      </c>
    </row>
    <row r="62" spans="2:60" x14ac:dyDescent="0.45">
      <c r="B62" s="468" t="str">
        <f>Workings!$S8</f>
        <v>Improving</v>
      </c>
      <c r="C62" s="468"/>
      <c r="D62" s="32" t="str">
        <f>TEXT(Workings!$T8,"0.00")&amp;" – "&amp;TEXT(Workings!$U8,"0.00")</f>
        <v>2.01 – 2.50</v>
      </c>
      <c r="E62" s="33">
        <f>Workings!$V8</f>
        <v>0</v>
      </c>
      <c r="F62" s="34" t="str">
        <f>IF(Workings!$C8="","",Workings!$C8)</f>
        <v>Zara Power</v>
      </c>
      <c r="G62" s="35">
        <f>IF($F62="","",IFERROR(Workings!$AW8,""))</f>
        <v>2.6666666666666665</v>
      </c>
      <c r="H62" s="36" t="str">
        <f>IF($F62="","",Workings!$I8)</f>
        <v>Insufficient data</v>
      </c>
      <c r="I62" s="37" t="str">
        <f>IF($F62="","",IFERROR(Workings!$AV8,""))</f>
        <v>Pre-season</v>
      </c>
    </row>
    <row r="63" spans="2:60" x14ac:dyDescent="0.45">
      <c r="B63" s="469" t="str">
        <f>Workings!$S9</f>
        <v>Nearly Ready</v>
      </c>
      <c r="C63" s="469"/>
      <c r="D63" s="32" t="str">
        <f>TEXT(Workings!$T9,"0.00")&amp;" – "&amp;TEXT(Workings!$U9,"0.00")</f>
        <v>2.51 – 3.00</v>
      </c>
      <c r="E63" s="33">
        <f>Workings!$V9</f>
        <v>9</v>
      </c>
      <c r="F63" s="34" t="str">
        <f>IF(Workings!$C9="","",Workings!$C9)</f>
        <v>Heidi Cerubini Dunne</v>
      </c>
      <c r="G63" s="35">
        <f>IF($F63="","",IFERROR(Workings!$AW9,""))</f>
        <v>2</v>
      </c>
      <c r="H63" s="36" t="str">
        <f>IF($F63="","",Workings!$I9)</f>
        <v>Insufficient data</v>
      </c>
      <c r="I63" s="37" t="str">
        <f>IF($F63="","",IFERROR(Workings!$AV9,""))</f>
        <v>Pre-season</v>
      </c>
    </row>
    <row r="64" spans="2:60" x14ac:dyDescent="0.45">
      <c r="B64" s="470" t="str">
        <f>Workings!$S10</f>
        <v>Not Ready for 90 min</v>
      </c>
      <c r="C64" s="470"/>
      <c r="D64" s="32" t="str">
        <f>TEXT(Workings!$T10,"0.00")&amp;" – "&amp;TEXT(Workings!$U10,"0.00")</f>
        <v>3.01 – 3.49</v>
      </c>
      <c r="E64" s="33">
        <f>Workings!$V10</f>
        <v>6</v>
      </c>
      <c r="F64" s="34" t="str">
        <f>IF(Workings!$C10="","",Workings!$C10)</f>
        <v>Roisin Offenhausen</v>
      </c>
      <c r="G64" s="35">
        <f>IF($F64="","",IFERROR(Workings!$AW10,""))</f>
        <v>3.6666666666666665</v>
      </c>
      <c r="H64" s="36" t="str">
        <f>IF($F64="","",Workings!$I10)</f>
        <v>Match Ready</v>
      </c>
      <c r="I64" s="37" t="str">
        <f>IF($F64="","",IFERROR(Workings!$AV10,""))</f>
        <v>In-season</v>
      </c>
    </row>
    <row r="65" spans="2:9" x14ac:dyDescent="0.45">
      <c r="B65" s="462" t="str">
        <f>Workings!$S11</f>
        <v>Match Ready</v>
      </c>
      <c r="C65" s="462"/>
      <c r="D65" s="32" t="str">
        <f>TEXT(Workings!$T11,"0.00")&amp;" – "&amp;TEXT(Workings!$U11,"0.00")</f>
        <v>3.50 – 5.00</v>
      </c>
      <c r="E65" s="33">
        <f>Workings!$V11</f>
        <v>1</v>
      </c>
      <c r="F65" s="34" t="str">
        <f>IF(Workings!$C11="","",Workings!$C11)</f>
        <v>Naomi Adewoyin</v>
      </c>
      <c r="G65" s="35">
        <f>IF($F65="","",IFERROR(Workings!$AW11,""))</f>
        <v>3</v>
      </c>
      <c r="H65" s="36" t="str">
        <f>IF($F65="","",Workings!$I11)</f>
        <v>Not Ready for 90 min</v>
      </c>
      <c r="I65" s="37" t="str">
        <f>IF($F65="","",IFERROR(Workings!$AV11,""))</f>
        <v>In-season</v>
      </c>
    </row>
    <row r="66" spans="2:9" x14ac:dyDescent="0.45">
      <c r="B66" s="463" t="s">
        <v>35</v>
      </c>
      <c r="C66" s="463"/>
      <c r="D66" s="38"/>
      <c r="E66" s="39">
        <f>SUM(E60:E65)</f>
        <v>16</v>
      </c>
      <c r="F66" s="34" t="str">
        <f>IF(Workings!$C12="","",Workings!$C12)</f>
        <v>Amber Kilalee</v>
      </c>
      <c r="G66" s="35">
        <f>IF($F66="","",IFERROR(Workings!$AW12,""))</f>
        <v>3</v>
      </c>
      <c r="H66" s="36" t="str">
        <f>IF($F66="","",Workings!$I12)</f>
        <v>Nearly Ready</v>
      </c>
      <c r="I66" s="37" t="str">
        <f>IF($F66="","",IFERROR(Workings!$AV12,""))</f>
        <v>In-season</v>
      </c>
    </row>
    <row r="67" spans="2:9" x14ac:dyDescent="0.45">
      <c r="F67" s="34" t="str">
        <f>IF(Workings!$C13="","",Workings!$C13)</f>
        <v>Shauna Kavanagh</v>
      </c>
      <c r="G67" s="35">
        <f>IF($F67="","",IFERROR(Workings!$AW13,""))</f>
        <v>2.6666666666666665</v>
      </c>
      <c r="H67" s="36" t="str">
        <f>IF($F67="","",Workings!$I13)</f>
        <v>Nearly Ready</v>
      </c>
      <c r="I67" s="37" t="str">
        <f>IF($F67="","",IFERROR(Workings!$AV13,""))</f>
        <v>In-season</v>
      </c>
    </row>
    <row r="68" spans="2:9" x14ac:dyDescent="0.45">
      <c r="F68" s="34" t="str">
        <f>IF(Workings!$C14="","",Workings!$C14)</f>
        <v>Tara Brannigan</v>
      </c>
      <c r="G68" s="35">
        <f>IF($F68="","",IFERROR(Workings!$AW14,""))</f>
        <v>3</v>
      </c>
      <c r="H68" s="36" t="str">
        <f>IF($F68="","",Workings!$I14)</f>
        <v>Not Ready for 90 min</v>
      </c>
      <c r="I68" s="37" t="str">
        <f>IF($F68="","",IFERROR(Workings!$AV14,""))</f>
        <v>In-season</v>
      </c>
    </row>
    <row r="69" spans="2:9" x14ac:dyDescent="0.45">
      <c r="F69" s="34" t="str">
        <f>IF(Workings!$C15="","",Workings!$C15)</f>
        <v>Semilore Adesanya</v>
      </c>
      <c r="G69" s="35">
        <f>IF($F69="","",IFERROR(Workings!$AW15,""))</f>
        <v>3.5</v>
      </c>
      <c r="H69" s="36" t="str">
        <f>IF($F69="","",Workings!$I15)</f>
        <v>Not Ready for 90 min</v>
      </c>
      <c r="I69" s="37" t="str">
        <f>IF($F69="","",IFERROR(Workings!$AV15,""))</f>
        <v>In-season</v>
      </c>
    </row>
    <row r="70" spans="2:9" x14ac:dyDescent="0.45">
      <c r="F70" s="34" t="str">
        <f>IF(Workings!$C16="","",Workings!$C16)</f>
        <v>Hannah Fleming</v>
      </c>
      <c r="G70" s="35">
        <f>IF($F70="","",IFERROR(Workings!$AW16,""))</f>
        <v>3</v>
      </c>
      <c r="H70" s="36" t="str">
        <f>IF($F70="","",Workings!$I16)</f>
        <v>Nearly Ready</v>
      </c>
      <c r="I70" s="37" t="str">
        <f>IF($F70="","",IFERROR(Workings!$AV16,""))</f>
        <v>In-season</v>
      </c>
    </row>
    <row r="71" spans="2:9" x14ac:dyDescent="0.45">
      <c r="F71" s="34" t="str">
        <f>IF(Workings!$C17="","",Workings!$C17)</f>
        <v>Emma Kelly</v>
      </c>
      <c r="G71" s="35">
        <f>IF($F71="","",IFERROR(Workings!$AW17,""))</f>
        <v>4</v>
      </c>
      <c r="H71" s="36" t="str">
        <f>IF($F71="","",Workings!$I17)</f>
        <v>Not Ready for 90 min</v>
      </c>
      <c r="I71" s="37" t="str">
        <f>IF($F71="","",IFERROR(Workings!$AV17,""))</f>
        <v>In-season</v>
      </c>
    </row>
    <row r="72" spans="2:9" x14ac:dyDescent="0.45">
      <c r="F72" s="34" t="str">
        <f>IF(Workings!$C18="","",Workings!$C18)</f>
        <v>Roma Memon</v>
      </c>
      <c r="G72" s="35">
        <f>IF($F72="","",IFERROR(Workings!$AW18,""))</f>
        <v>3</v>
      </c>
      <c r="H72" s="36" t="str">
        <f>IF($F72="","",Workings!$I18)</f>
        <v>Nearly Ready</v>
      </c>
      <c r="I72" s="37" t="str">
        <f>IF($F72="","",IFERROR(Workings!$AV18,""))</f>
        <v>In-season</v>
      </c>
    </row>
    <row r="73" spans="2:9" x14ac:dyDescent="0.45">
      <c r="F73" s="34" t="str">
        <f>IF(Workings!$C19="","",Workings!$C19)</f>
        <v>Emma Dromgoole</v>
      </c>
      <c r="G73" s="35">
        <f>IF($F73="","",IFERROR(Workings!$AW19,""))</f>
        <v>3</v>
      </c>
      <c r="H73" s="36" t="str">
        <f>IF($F73="","",Workings!$I19)</f>
        <v>Nearly Ready</v>
      </c>
      <c r="I73" s="37" t="str">
        <f>IF($F73="","",IFERROR(Workings!$AV19,""))</f>
        <v>In-season</v>
      </c>
    </row>
    <row r="74" spans="2:9" x14ac:dyDescent="0.45">
      <c r="F74" s="34" t="str">
        <f>IF(Workings!$C20="","",Workings!$C20)</f>
        <v>Elsie Morrison</v>
      </c>
      <c r="G74" s="35">
        <f>IF($F74="","",IFERROR(Workings!$AW20,""))</f>
        <v>3</v>
      </c>
      <c r="H74" s="36" t="str">
        <f>IF($F74="","",Workings!$I20)</f>
        <v>Not Ready for 90 min</v>
      </c>
      <c r="I74" s="37" t="str">
        <f>IF($F74="","",IFERROR(Workings!$AV20,""))</f>
        <v>In-season</v>
      </c>
    </row>
    <row r="75" spans="2:9" x14ac:dyDescent="0.45">
      <c r="F75" s="34" t="str">
        <f>IF(Workings!$C21="","",Workings!$C21)</f>
        <v>Zara Freeman</v>
      </c>
      <c r="G75" s="35">
        <f>IF($F75="","",IFERROR(Workings!$AW21,""))</f>
        <v>3</v>
      </c>
      <c r="H75" s="36" t="str">
        <f>IF($F75="","",Workings!$I21)</f>
        <v>Not Ready for 90 min</v>
      </c>
      <c r="I75" s="37" t="str">
        <f>IF($F75="","",IFERROR(Workings!$AV21,""))</f>
        <v>In-season</v>
      </c>
    </row>
    <row r="76" spans="2:9" x14ac:dyDescent="0.45">
      <c r="F76" s="34" t="str">
        <f>IF(Workings!$C22="","",Workings!$C22)</f>
        <v>Mariana Soares</v>
      </c>
      <c r="G76" s="35">
        <f>IF($F76="","",IFERROR(Workings!$AW22,""))</f>
        <v>3</v>
      </c>
      <c r="H76" s="36" t="str">
        <f>IF($F76="","",Workings!$I22)</f>
        <v>Nearly Ready</v>
      </c>
      <c r="I76" s="37" t="str">
        <f>IF($F76="","",IFERROR(Workings!$AV22,""))</f>
        <v>In-season</v>
      </c>
    </row>
    <row r="77" spans="2:9" x14ac:dyDescent="0.45">
      <c r="F77" s="34" t="str">
        <f>IF(Workings!$C23="","",Workings!$C23)</f>
        <v>Rama Abuowda</v>
      </c>
      <c r="G77" s="35">
        <f>IF($F77="","",IFERROR(Workings!$AW23,""))</f>
        <v>3</v>
      </c>
      <c r="H77" s="36" t="str">
        <f>IF($F77="","",Workings!$I23)</f>
        <v>Nearly Ready</v>
      </c>
      <c r="I77" s="37" t="str">
        <f>IF($F77="","",IFERROR(Workings!$AV23,""))</f>
        <v>In-season</v>
      </c>
    </row>
    <row r="78" spans="2:9" x14ac:dyDescent="0.45">
      <c r="F78" s="34" t="str">
        <f>IF(Workings!$C24="","",Workings!$C24)</f>
        <v/>
      </c>
      <c r="G78" s="35" t="str">
        <f>IF($F78="","",IFERROR(Workings!$AW24,""))</f>
        <v/>
      </c>
      <c r="H78" s="36" t="str">
        <f>IF($F78="","",Workings!$I24)</f>
        <v/>
      </c>
      <c r="I78" s="37" t="str">
        <f>IF($F78="","",IFERROR(Workings!$AV24,""))</f>
        <v/>
      </c>
    </row>
    <row r="79" spans="2:9" x14ac:dyDescent="0.45">
      <c r="F79" s="40" t="str">
        <f>IF(Workings!$C25="","",Workings!$C25)</f>
        <v/>
      </c>
      <c r="G79" s="41" t="str">
        <f>IF($F79="","",IFERROR(Workings!$AW25,""))</f>
        <v/>
      </c>
      <c r="H79" s="42" t="str">
        <f>IF($F79="","",Workings!$I25)</f>
        <v/>
      </c>
      <c r="I79" s="37" t="str">
        <f>IF($F79="","",IFERROR(Workings!$AV25,""))</f>
        <v/>
      </c>
    </row>
    <row r="84" spans="2:16" x14ac:dyDescent="0.45">
      <c r="B84" s="436" t="s">
        <v>36</v>
      </c>
      <c r="C84" s="436"/>
      <c r="D84" s="436"/>
      <c r="E84" s="436"/>
      <c r="F84" s="436"/>
      <c r="G84" s="436"/>
      <c r="H84" s="436"/>
      <c r="I84" s="436"/>
      <c r="J84" s="436"/>
      <c r="K84" s="436"/>
      <c r="L84" s="436"/>
      <c r="M84" s="436"/>
      <c r="N84" s="436"/>
      <c r="O84" s="436"/>
      <c r="P84" s="436"/>
    </row>
    <row r="86" spans="2:16" ht="15.75" customHeight="1" x14ac:dyDescent="0.5">
      <c r="B86" s="43" t="s">
        <v>18</v>
      </c>
      <c r="C86" s="464"/>
      <c r="D86" s="464"/>
      <c r="F86" s="465" t="str">
        <f>IF($C$86="","Select a player from the dropdown","Season score: "&amp;TEXT(IFERROR(INDEX(Workings!$H$6:$H$25,MATCH($C$86,Workings!$C$6:$C$25,0)),0),"0.0%")&amp;"   |   Avg WR: "&amp;TEXT(IFERROR(INDEX(Workings!$E$6:$E$25,MATCH($C$86,Workings!$C$6:$C$25,0)),0),"0.0")&amp;"   |   Avg rating: "&amp;TEXT(IFERROR(INDEX(Workings!$G$6:$G$25,MATCH($C$86,Workings!$C$6:$C$25,0)),0),"0.0"))</f>
        <v>Select a player from the dropdown</v>
      </c>
      <c r="G86" s="465"/>
      <c r="H86" s="465"/>
    </row>
    <row r="90" spans="2:16" x14ac:dyDescent="0.45">
      <c r="B90" s="459" t="s">
        <v>559</v>
      </c>
      <c r="C90" s="459"/>
      <c r="D90" s="459"/>
      <c r="E90" s="459"/>
      <c r="F90" s="459"/>
      <c r="G90" s="459"/>
      <c r="H90" s="459"/>
      <c r="I90" s="459"/>
      <c r="J90" s="459"/>
      <c r="K90" s="459"/>
      <c r="L90" s="459"/>
      <c r="M90" s="459"/>
      <c r="N90" s="459"/>
    </row>
    <row r="91" spans="2:16" x14ac:dyDescent="0.45">
      <c r="B91" s="460" t="s">
        <v>560</v>
      </c>
      <c r="C91" s="461"/>
      <c r="D91" s="461"/>
      <c r="E91" s="461"/>
      <c r="F91" s="461"/>
      <c r="G91" s="461"/>
      <c r="H91" s="461"/>
      <c r="I91" s="461"/>
      <c r="J91" s="461"/>
      <c r="K91" s="461"/>
      <c r="L91" s="461"/>
      <c r="M91" s="461"/>
      <c r="N91" s="461"/>
    </row>
    <row r="92" spans="2:16" x14ac:dyDescent="0.45">
      <c r="B92" s="390" t="s">
        <v>153</v>
      </c>
      <c r="C92" s="390" t="s">
        <v>18</v>
      </c>
      <c r="D92" s="390" t="s">
        <v>561</v>
      </c>
      <c r="E92" s="390" t="s">
        <v>562</v>
      </c>
      <c r="F92" s="390" t="s">
        <v>563</v>
      </c>
      <c r="G92" s="390" t="s">
        <v>524</v>
      </c>
      <c r="H92" s="390" t="s">
        <v>525</v>
      </c>
      <c r="I92" s="390" t="s">
        <v>564</v>
      </c>
      <c r="J92" s="390" t="s">
        <v>565</v>
      </c>
      <c r="K92" s="390" t="s">
        <v>526</v>
      </c>
      <c r="L92" s="390" t="s">
        <v>527</v>
      </c>
      <c r="M92" s="390" t="s">
        <v>566</v>
      </c>
      <c r="N92" s="390" t="s">
        <v>567</v>
      </c>
      <c r="O92" s="390" t="s">
        <v>568</v>
      </c>
    </row>
    <row r="93" spans="2:16" x14ac:dyDescent="0.45">
      <c r="B93" s="413">
        <f>IF($C93="","",ROWS($B$93:B93))</f>
        <v>1</v>
      </c>
      <c r="C93" s="414" t="str">
        <f>IF(Attendance!$D5="","",Attendance!$D5)</f>
        <v>Aoife Kennan</v>
      </c>
      <c r="D93" s="413">
        <f>IF($C93="","",COUNTIFS('Match Day Reports'!$C$80:$C$673,$C93,'Match Day Reports'!$D$80:$D$673,"Started"))</f>
        <v>0</v>
      </c>
      <c r="E93" s="413">
        <f>IF($C93="","",COUNTIFS('Match Day Reports'!$C$80:$C$673,$C93,'Match Day Reports'!$D$80:$D$673,"Sub - used"))</f>
        <v>1</v>
      </c>
      <c r="F93" s="413">
        <f>IF($C93="","",COUNTIFS('Match Day Reports'!$C$80:$C$673,$C93,'Match Day Reports'!$D$80:$D$673,"&lt;&gt;Sub - unused"))</f>
        <v>1</v>
      </c>
      <c r="G93" s="413">
        <f>IF($C93="","",SUMIFS('Match Day Reports'!$G$80:$G$673,'Match Day Reports'!$C$80:$C$673,$C93))</f>
        <v>0</v>
      </c>
      <c r="H93" s="413">
        <f>IF($C93="","",SUMIFS('Match Day Reports'!$H$80:$H$673,'Match Day Reports'!$C$80:$C$673,$C93))</f>
        <v>0</v>
      </c>
      <c r="I93" s="415">
        <f>IF($C93="","",IFERROR(AVERAGEIFS('Match Day Reports'!$I$80:$I$673,'Match Day Reports'!$C$80:$C$673,$C93,'Match Day Reports'!$I$80:$I$673,"&gt;0",'Match Day Reports'!$D$80:$D$673,"&lt;&gt;Sub - unused"),""))</f>
        <v>6.5</v>
      </c>
      <c r="J93" s="413">
        <f>IF($C93="","",COUNTIFS('Match Day Reports'!$H$80:$H$673,$C93))</f>
        <v>0</v>
      </c>
      <c r="K93" s="413">
        <f>IF($C93="","",SUMIFS('Match Day Reports'!$J$80:$J$673,'Match Day Reports'!$C$80:$C$673,$C93))</f>
        <v>0</v>
      </c>
      <c r="L93" s="413">
        <f>IF($C93="","",SUMIFS('Match Day Reports'!$K$80:$K$673,'Match Day Reports'!$C$80:$C$673,$C93))</f>
        <v>0</v>
      </c>
      <c r="M93" s="413">
        <f>IF($C93="","",COUNTIFS('Match Day Reports'!$C$80:$C$673,$C93,'Match Day Reports'!$L$80:$L$673,"Yes"))</f>
        <v>0</v>
      </c>
      <c r="N93" s="413" t="str">
        <f t="shared" ref="N93:N112" si="0">IF(OR($G93="",$G93=0),"",RANK($G93,$G$93:$G$112))</f>
        <v/>
      </c>
      <c r="O93" s="413" t="str">
        <f t="shared" ref="O93:O112" si="1">IF(OR($H93="",$H93=0),"",RANK($H93,$H$93:$H$112))</f>
        <v/>
      </c>
    </row>
    <row r="94" spans="2:16" x14ac:dyDescent="0.45">
      <c r="B94" s="413">
        <f>IF($C94="","",ROWS($B$93:B94))</f>
        <v>2</v>
      </c>
      <c r="C94" s="414" t="str">
        <f>IF(Attendance!$D6="","",Attendance!$D6)</f>
        <v>Stella McEvoy</v>
      </c>
      <c r="D94" s="413">
        <f>IF($C94="","",COUNTIFS('Match Day Reports'!$C$80:$C$673,$C94,'Match Day Reports'!$D$80:$D$673,"Started"))</f>
        <v>1</v>
      </c>
      <c r="E94" s="413">
        <f>IF($C94="","",COUNTIFS('Match Day Reports'!$C$80:$C$673,$C94,'Match Day Reports'!$D$80:$D$673,"Sub - used"))</f>
        <v>0</v>
      </c>
      <c r="F94" s="413">
        <f>IF($C94="","",COUNTIFS('Match Day Reports'!$C$80:$C$673,$C94,'Match Day Reports'!$D$80:$D$673,"&lt;&gt;Sub - unused"))</f>
        <v>1</v>
      </c>
      <c r="G94" s="413">
        <f>IF($C94="","",SUMIFS('Match Day Reports'!$G$80:$G$673,'Match Day Reports'!$C$80:$C$673,$C94))</f>
        <v>0</v>
      </c>
      <c r="H94" s="413">
        <f>IF($C94="","",SUMIFS('Match Day Reports'!$H$80:$H$673,'Match Day Reports'!$C$80:$C$673,$C94))</f>
        <v>0</v>
      </c>
      <c r="I94" s="415">
        <f>IF($C94="","",IFERROR(AVERAGEIFS('Match Day Reports'!$I$80:$I$673,'Match Day Reports'!$C$80:$C$673,$C94,'Match Day Reports'!$I$80:$I$673,"&gt;0",'Match Day Reports'!$D$80:$D$673,"&lt;&gt;Sub - unused"),""))</f>
        <v>7.5</v>
      </c>
      <c r="J94" s="413">
        <f>IF($C94="","",COUNTIFS('Match Day Reports'!$H$80:$H$673,$C94))</f>
        <v>0</v>
      </c>
      <c r="K94" s="413">
        <f>IF($C94="","",SUMIFS('Match Day Reports'!$J$80:$J$673,'Match Day Reports'!$C$80:$C$673,$C94))</f>
        <v>0</v>
      </c>
      <c r="L94" s="413">
        <f>IF($C94="","",SUMIFS('Match Day Reports'!$K$80:$K$673,'Match Day Reports'!$C$80:$C$673,$C94))</f>
        <v>0</v>
      </c>
      <c r="M94" s="413">
        <f>IF($C94="","",COUNTIFS('Match Day Reports'!$C$80:$C$673,$C94,'Match Day Reports'!$L$80:$L$673,"Yes"))</f>
        <v>0</v>
      </c>
      <c r="N94" s="413" t="str">
        <f t="shared" si="0"/>
        <v/>
      </c>
      <c r="O94" s="413" t="str">
        <f t="shared" si="1"/>
        <v/>
      </c>
    </row>
    <row r="95" spans="2:16" x14ac:dyDescent="0.45">
      <c r="B95" s="413">
        <f>IF($C95="","",ROWS($B$93:B95))</f>
        <v>3</v>
      </c>
      <c r="C95" s="414" t="str">
        <f>IF(Attendance!$D7="","",Attendance!$D7)</f>
        <v>Zara Power</v>
      </c>
      <c r="D95" s="413">
        <f>IF($C95="","",COUNTIFS('Match Day Reports'!$C$80:$C$673,$C95,'Match Day Reports'!$D$80:$D$673,"Started"))</f>
        <v>0</v>
      </c>
      <c r="E95" s="413">
        <f>IF($C95="","",COUNTIFS('Match Day Reports'!$C$80:$C$673,$C95,'Match Day Reports'!$D$80:$D$673,"Sub - used"))</f>
        <v>0</v>
      </c>
      <c r="F95" s="413">
        <f>IF($C95="","",COUNTIFS('Match Day Reports'!$C$80:$C$673,$C95,'Match Day Reports'!$D$80:$D$673,"&lt;&gt;Sub - unused"))</f>
        <v>0</v>
      </c>
      <c r="G95" s="413">
        <f>IF($C95="","",SUMIFS('Match Day Reports'!$G$80:$G$673,'Match Day Reports'!$C$80:$C$673,$C95))</f>
        <v>0</v>
      </c>
      <c r="H95" s="413">
        <f>IF($C95="","",SUMIFS('Match Day Reports'!$H$80:$H$673,'Match Day Reports'!$C$80:$C$673,$C95))</f>
        <v>0</v>
      </c>
      <c r="I95" s="415" t="str">
        <f>IF($C95="","",IFERROR(AVERAGEIFS('Match Day Reports'!$I$80:$I$673,'Match Day Reports'!$C$80:$C$673,$C95,'Match Day Reports'!$I$80:$I$673,"&gt;0",'Match Day Reports'!$D$80:$D$673,"&lt;&gt;Sub - unused"),""))</f>
        <v/>
      </c>
      <c r="J95" s="413">
        <f>IF($C95="","",COUNTIFS('Match Day Reports'!$H$80:$H$673,$C95))</f>
        <v>0</v>
      </c>
      <c r="K95" s="413">
        <f>IF($C95="","",SUMIFS('Match Day Reports'!$J$80:$J$673,'Match Day Reports'!$C$80:$C$673,$C95))</f>
        <v>0</v>
      </c>
      <c r="L95" s="413">
        <f>IF($C95="","",SUMIFS('Match Day Reports'!$K$80:$K$673,'Match Day Reports'!$C$80:$C$673,$C95))</f>
        <v>0</v>
      </c>
      <c r="M95" s="413">
        <f>IF($C95="","",COUNTIFS('Match Day Reports'!$C$80:$C$673,$C95,'Match Day Reports'!$L$80:$L$673,"Yes"))</f>
        <v>0</v>
      </c>
      <c r="N95" s="413" t="str">
        <f t="shared" si="0"/>
        <v/>
      </c>
      <c r="O95" s="413" t="str">
        <f t="shared" si="1"/>
        <v/>
      </c>
    </row>
    <row r="96" spans="2:16" x14ac:dyDescent="0.45">
      <c r="B96" s="413">
        <f>IF($C96="","",ROWS($B$93:B96))</f>
        <v>4</v>
      </c>
      <c r="C96" s="414" t="str">
        <f>IF(Attendance!$D8="","",Attendance!$D8)</f>
        <v>Heidi Cerubini Dunne</v>
      </c>
      <c r="D96" s="413">
        <f>IF($C96="","",COUNTIFS('Match Day Reports'!$C$80:$C$673,$C96,'Match Day Reports'!$D$80:$D$673,"Started"))</f>
        <v>0</v>
      </c>
      <c r="E96" s="413">
        <f>IF($C96="","",COUNTIFS('Match Day Reports'!$C$80:$C$673,$C96,'Match Day Reports'!$D$80:$D$673,"Sub - used"))</f>
        <v>0</v>
      </c>
      <c r="F96" s="413">
        <f>IF($C96="","",COUNTIFS('Match Day Reports'!$C$80:$C$673,$C96,'Match Day Reports'!$D$80:$D$673,"&lt;&gt;Sub - unused"))</f>
        <v>0</v>
      </c>
      <c r="G96" s="413">
        <f>IF($C96="","",SUMIFS('Match Day Reports'!$G$80:$G$673,'Match Day Reports'!$C$80:$C$673,$C96))</f>
        <v>0</v>
      </c>
      <c r="H96" s="413">
        <f>IF($C96="","",SUMIFS('Match Day Reports'!$H$80:$H$673,'Match Day Reports'!$C$80:$C$673,$C96))</f>
        <v>0</v>
      </c>
      <c r="I96" s="415" t="str">
        <f>IF($C96="","",IFERROR(AVERAGEIFS('Match Day Reports'!$I$80:$I$673,'Match Day Reports'!$C$80:$C$673,$C96,'Match Day Reports'!$I$80:$I$673,"&gt;0",'Match Day Reports'!$D$80:$D$673,"&lt;&gt;Sub - unused"),""))</f>
        <v/>
      </c>
      <c r="J96" s="413">
        <f>IF($C96="","",COUNTIFS('Match Day Reports'!$H$80:$H$673,$C96))</f>
        <v>0</v>
      </c>
      <c r="K96" s="413">
        <f>IF($C96="","",SUMIFS('Match Day Reports'!$J$80:$J$673,'Match Day Reports'!$C$80:$C$673,$C96))</f>
        <v>0</v>
      </c>
      <c r="L96" s="413">
        <f>IF($C96="","",SUMIFS('Match Day Reports'!$K$80:$K$673,'Match Day Reports'!$C$80:$C$673,$C96))</f>
        <v>0</v>
      </c>
      <c r="M96" s="413">
        <f>IF($C96="","",COUNTIFS('Match Day Reports'!$C$80:$C$673,$C96,'Match Day Reports'!$L$80:$L$673,"Yes"))</f>
        <v>0</v>
      </c>
      <c r="N96" s="413" t="str">
        <f t="shared" si="0"/>
        <v/>
      </c>
      <c r="O96" s="413" t="str">
        <f t="shared" si="1"/>
        <v/>
      </c>
    </row>
    <row r="97" spans="2:15" x14ac:dyDescent="0.45">
      <c r="B97" s="413">
        <f>IF($C97="","",ROWS($B$93:B97))</f>
        <v>5</v>
      </c>
      <c r="C97" s="414" t="str">
        <f>IF(Attendance!$D9="","",Attendance!$D9)</f>
        <v>Roisin Offenhausen</v>
      </c>
      <c r="D97" s="413">
        <f>IF($C97="","",COUNTIFS('Match Day Reports'!$C$80:$C$673,$C97,'Match Day Reports'!$D$80:$D$673,"Started"))</f>
        <v>1</v>
      </c>
      <c r="E97" s="413">
        <f>IF($C97="","",COUNTIFS('Match Day Reports'!$C$80:$C$673,$C97,'Match Day Reports'!$D$80:$D$673,"Sub - used"))</f>
        <v>0</v>
      </c>
      <c r="F97" s="413">
        <f>IF($C97="","",COUNTIFS('Match Day Reports'!$C$80:$C$673,$C97,'Match Day Reports'!$D$80:$D$673,"&lt;&gt;Sub - unused"))</f>
        <v>1</v>
      </c>
      <c r="G97" s="413">
        <f>IF($C97="","",SUMIFS('Match Day Reports'!$G$80:$G$673,'Match Day Reports'!$C$80:$C$673,$C97))</f>
        <v>3</v>
      </c>
      <c r="H97" s="413">
        <f>IF($C97="","",SUMIFS('Match Day Reports'!$H$80:$H$673,'Match Day Reports'!$C$80:$C$673,$C97))</f>
        <v>0</v>
      </c>
      <c r="I97" s="415">
        <f>IF($C97="","",IFERROR(AVERAGEIFS('Match Day Reports'!$I$80:$I$673,'Match Day Reports'!$C$80:$C$673,$C97,'Match Day Reports'!$I$80:$I$673,"&gt;0",'Match Day Reports'!$D$80:$D$673,"&lt;&gt;Sub - unused"),""))</f>
        <v>10</v>
      </c>
      <c r="J97" s="413">
        <f>IF($C97="","",COUNTIFS('Match Day Reports'!$H$80:$H$673,$C97))</f>
        <v>1</v>
      </c>
      <c r="K97" s="413">
        <f>IF($C97="","",SUMIFS('Match Day Reports'!$J$80:$J$673,'Match Day Reports'!$C$80:$C$673,$C97))</f>
        <v>0</v>
      </c>
      <c r="L97" s="413">
        <f>IF($C97="","",SUMIFS('Match Day Reports'!$K$80:$K$673,'Match Day Reports'!$C$80:$C$673,$C97))</f>
        <v>0</v>
      </c>
      <c r="M97" s="413">
        <f>IF($C97="","",COUNTIFS('Match Day Reports'!$C$80:$C$673,$C97,'Match Day Reports'!$L$80:$L$673,"Yes"))</f>
        <v>0</v>
      </c>
      <c r="N97" s="413">
        <f t="shared" si="0"/>
        <v>1</v>
      </c>
      <c r="O97" s="413" t="str">
        <f t="shared" si="1"/>
        <v/>
      </c>
    </row>
    <row r="98" spans="2:15" x14ac:dyDescent="0.45">
      <c r="B98" s="413">
        <f>IF($C98="","",ROWS($B$93:B98))</f>
        <v>6</v>
      </c>
      <c r="C98" s="414" t="str">
        <f>IF(Attendance!$D10="","",Attendance!$D10)</f>
        <v>Naomi Adewoyin</v>
      </c>
      <c r="D98" s="413">
        <f>IF($C98="","",COUNTIFS('Match Day Reports'!$C$80:$C$673,$C98,'Match Day Reports'!$D$80:$D$673,"Started"))</f>
        <v>1</v>
      </c>
      <c r="E98" s="413">
        <f>IF($C98="","",COUNTIFS('Match Day Reports'!$C$80:$C$673,$C98,'Match Day Reports'!$D$80:$D$673,"Sub - used"))</f>
        <v>0</v>
      </c>
      <c r="F98" s="413">
        <f>IF($C98="","",COUNTIFS('Match Day Reports'!$C$80:$C$673,$C98,'Match Day Reports'!$D$80:$D$673,"&lt;&gt;Sub - unused"))</f>
        <v>1</v>
      </c>
      <c r="G98" s="413">
        <f>IF($C98="","",SUMIFS('Match Day Reports'!$G$80:$G$673,'Match Day Reports'!$C$80:$C$673,$C98))</f>
        <v>1</v>
      </c>
      <c r="H98" s="413">
        <f>IF($C98="","",SUMIFS('Match Day Reports'!$H$80:$H$673,'Match Day Reports'!$C$80:$C$673,$C98))</f>
        <v>0</v>
      </c>
      <c r="I98" s="415">
        <f>IF($C98="","",IFERROR(AVERAGEIFS('Match Day Reports'!$I$80:$I$673,'Match Day Reports'!$C$80:$C$673,$C98,'Match Day Reports'!$I$80:$I$673,"&gt;0",'Match Day Reports'!$D$80:$D$673,"&lt;&gt;Sub - unused"),""))</f>
        <v>7.5</v>
      </c>
      <c r="J98" s="413">
        <f>IF($C98="","",COUNTIFS('Match Day Reports'!$H$80:$H$673,$C98))</f>
        <v>0</v>
      </c>
      <c r="K98" s="413">
        <f>IF($C98="","",SUMIFS('Match Day Reports'!$J$80:$J$673,'Match Day Reports'!$C$80:$C$673,$C98))</f>
        <v>0</v>
      </c>
      <c r="L98" s="413">
        <f>IF($C98="","",SUMIFS('Match Day Reports'!$K$80:$K$673,'Match Day Reports'!$C$80:$C$673,$C98))</f>
        <v>0</v>
      </c>
      <c r="M98" s="413">
        <f>IF($C98="","",COUNTIFS('Match Day Reports'!$C$80:$C$673,$C98,'Match Day Reports'!$L$80:$L$673,"Yes"))</f>
        <v>0</v>
      </c>
      <c r="N98" s="413">
        <f t="shared" si="0"/>
        <v>2</v>
      </c>
      <c r="O98" s="413" t="str">
        <f t="shared" si="1"/>
        <v/>
      </c>
    </row>
    <row r="99" spans="2:15" x14ac:dyDescent="0.45">
      <c r="B99" s="413">
        <f>IF($C99="","",ROWS($B$93:B99))</f>
        <v>7</v>
      </c>
      <c r="C99" s="414" t="str">
        <f>IF(Attendance!$D11="","",Attendance!$D11)</f>
        <v>Amber Kilalee</v>
      </c>
      <c r="D99" s="413">
        <f>IF($C99="","",COUNTIFS('Match Day Reports'!$C$80:$C$673,$C99,'Match Day Reports'!$D$80:$D$673,"Started"))</f>
        <v>0</v>
      </c>
      <c r="E99" s="413">
        <f>IF($C99="","",COUNTIFS('Match Day Reports'!$C$80:$C$673,$C99,'Match Day Reports'!$D$80:$D$673,"Sub - used"))</f>
        <v>1</v>
      </c>
      <c r="F99" s="413">
        <f>IF($C99="","",COUNTIFS('Match Day Reports'!$C$80:$C$673,$C99,'Match Day Reports'!$D$80:$D$673,"&lt;&gt;Sub - unused"))</f>
        <v>1</v>
      </c>
      <c r="G99" s="413">
        <f>IF($C99="","",SUMIFS('Match Day Reports'!$G$80:$G$673,'Match Day Reports'!$C$80:$C$673,$C99))</f>
        <v>0</v>
      </c>
      <c r="H99" s="413">
        <f>IF($C99="","",SUMIFS('Match Day Reports'!$H$80:$H$673,'Match Day Reports'!$C$80:$C$673,$C99))</f>
        <v>2</v>
      </c>
      <c r="I99" s="415">
        <f>IF($C99="","",IFERROR(AVERAGEIFS('Match Day Reports'!$I$80:$I$673,'Match Day Reports'!$C$80:$C$673,$C99,'Match Day Reports'!$I$80:$I$673,"&gt;0",'Match Day Reports'!$D$80:$D$673,"&lt;&gt;Sub - unused"),""))</f>
        <v>7.5</v>
      </c>
      <c r="J99" s="413">
        <f>IF($C99="","",COUNTIFS('Match Day Reports'!$H$80:$H$673,$C99))</f>
        <v>0</v>
      </c>
      <c r="K99" s="413">
        <f>IF($C99="","",SUMIFS('Match Day Reports'!$J$80:$J$673,'Match Day Reports'!$C$80:$C$673,$C99))</f>
        <v>0</v>
      </c>
      <c r="L99" s="413">
        <f>IF($C99="","",SUMIFS('Match Day Reports'!$K$80:$K$673,'Match Day Reports'!$C$80:$C$673,$C99))</f>
        <v>0</v>
      </c>
      <c r="M99" s="413">
        <f>IF($C99="","",COUNTIFS('Match Day Reports'!$C$80:$C$673,$C99,'Match Day Reports'!$L$80:$L$673,"Yes"))</f>
        <v>0</v>
      </c>
      <c r="N99" s="413" t="str">
        <f t="shared" si="0"/>
        <v/>
      </c>
      <c r="O99" s="413">
        <f t="shared" si="1"/>
        <v>1</v>
      </c>
    </row>
    <row r="100" spans="2:15" x14ac:dyDescent="0.45">
      <c r="B100" s="413">
        <f>IF($C100="","",ROWS($B$93:B100))</f>
        <v>8</v>
      </c>
      <c r="C100" s="414" t="str">
        <f>IF(Attendance!$D12="","",Attendance!$D12)</f>
        <v>Shauna Kavanagh</v>
      </c>
      <c r="D100" s="413">
        <f>IF($C100="","",COUNTIFS('Match Day Reports'!$C$80:$C$673,$C100,'Match Day Reports'!$D$80:$D$673,"Started"))</f>
        <v>0</v>
      </c>
      <c r="E100" s="413">
        <f>IF($C100="","",COUNTIFS('Match Day Reports'!$C$80:$C$673,$C100,'Match Day Reports'!$D$80:$D$673,"Sub - used"))</f>
        <v>1</v>
      </c>
      <c r="F100" s="413">
        <f>IF($C100="","",COUNTIFS('Match Day Reports'!$C$80:$C$673,$C100,'Match Day Reports'!$D$80:$D$673,"&lt;&gt;Sub - unused"))</f>
        <v>1</v>
      </c>
      <c r="G100" s="413">
        <f>IF($C100="","",SUMIFS('Match Day Reports'!$G$80:$G$673,'Match Day Reports'!$C$80:$C$673,$C100))</f>
        <v>1</v>
      </c>
      <c r="H100" s="413">
        <f>IF($C100="","",SUMIFS('Match Day Reports'!$H$80:$H$673,'Match Day Reports'!$C$80:$C$673,$C100))</f>
        <v>0</v>
      </c>
      <c r="I100" s="415">
        <f>IF($C100="","",IFERROR(AVERAGEIFS('Match Day Reports'!$I$80:$I$673,'Match Day Reports'!$C$80:$C$673,$C100,'Match Day Reports'!$I$80:$I$673,"&gt;0",'Match Day Reports'!$D$80:$D$673,"&lt;&gt;Sub - unused"),""))</f>
        <v>7.5</v>
      </c>
      <c r="J100" s="413">
        <f>IF($C100="","",COUNTIFS('Match Day Reports'!$H$80:$H$673,$C100))</f>
        <v>0</v>
      </c>
      <c r="K100" s="413">
        <f>IF($C100="","",SUMIFS('Match Day Reports'!$J$80:$J$673,'Match Day Reports'!$C$80:$C$673,$C100))</f>
        <v>0</v>
      </c>
      <c r="L100" s="413">
        <f>IF($C100="","",SUMIFS('Match Day Reports'!$K$80:$K$673,'Match Day Reports'!$C$80:$C$673,$C100))</f>
        <v>0</v>
      </c>
      <c r="M100" s="413">
        <f>IF($C100="","",COUNTIFS('Match Day Reports'!$C$80:$C$673,$C100,'Match Day Reports'!$L$80:$L$673,"Yes"))</f>
        <v>0</v>
      </c>
      <c r="N100" s="413">
        <f t="shared" si="0"/>
        <v>2</v>
      </c>
      <c r="O100" s="413" t="str">
        <f t="shared" si="1"/>
        <v/>
      </c>
    </row>
    <row r="101" spans="2:15" x14ac:dyDescent="0.45">
      <c r="B101" s="413">
        <f>IF($C101="","",ROWS($B$93:B101))</f>
        <v>9</v>
      </c>
      <c r="C101" s="414" t="str">
        <f>IF(Attendance!$D13="","",Attendance!$D13)</f>
        <v>Tara Brannigan</v>
      </c>
      <c r="D101" s="413">
        <f>IF($C101="","",COUNTIFS('Match Day Reports'!$C$80:$C$673,$C101,'Match Day Reports'!$D$80:$D$673,"Started"))</f>
        <v>1</v>
      </c>
      <c r="E101" s="413">
        <f>IF($C101="","",COUNTIFS('Match Day Reports'!$C$80:$C$673,$C101,'Match Day Reports'!$D$80:$D$673,"Sub - used"))</f>
        <v>0</v>
      </c>
      <c r="F101" s="413">
        <f>IF($C101="","",COUNTIFS('Match Day Reports'!$C$80:$C$673,$C101,'Match Day Reports'!$D$80:$D$673,"&lt;&gt;Sub - unused"))</f>
        <v>1</v>
      </c>
      <c r="G101" s="413">
        <f>IF($C101="","",SUMIFS('Match Day Reports'!$G$80:$G$673,'Match Day Reports'!$C$80:$C$673,$C101))</f>
        <v>0</v>
      </c>
      <c r="H101" s="413">
        <f>IF($C101="","",SUMIFS('Match Day Reports'!$H$80:$H$673,'Match Day Reports'!$C$80:$C$673,$C101))</f>
        <v>0</v>
      </c>
      <c r="I101" s="415">
        <f>IF($C101="","",IFERROR(AVERAGEIFS('Match Day Reports'!$I$80:$I$673,'Match Day Reports'!$C$80:$C$673,$C101,'Match Day Reports'!$I$80:$I$673,"&gt;0",'Match Day Reports'!$D$80:$D$673,"&lt;&gt;Sub - unused"),""))</f>
        <v>8</v>
      </c>
      <c r="J101" s="413">
        <f>IF($C101="","",COUNTIFS('Match Day Reports'!$H$80:$H$673,$C101))</f>
        <v>0</v>
      </c>
      <c r="K101" s="413">
        <f>IF($C101="","",SUMIFS('Match Day Reports'!$J$80:$J$673,'Match Day Reports'!$C$80:$C$673,$C101))</f>
        <v>0</v>
      </c>
      <c r="L101" s="413">
        <f>IF($C101="","",SUMIFS('Match Day Reports'!$K$80:$K$673,'Match Day Reports'!$C$80:$C$673,$C101))</f>
        <v>0</v>
      </c>
      <c r="M101" s="413">
        <f>IF($C101="","",COUNTIFS('Match Day Reports'!$C$80:$C$673,$C101,'Match Day Reports'!$L$80:$L$673,"Yes"))</f>
        <v>0</v>
      </c>
      <c r="N101" s="413" t="str">
        <f t="shared" si="0"/>
        <v/>
      </c>
      <c r="O101" s="413" t="str">
        <f t="shared" si="1"/>
        <v/>
      </c>
    </row>
    <row r="102" spans="2:15" x14ac:dyDescent="0.45">
      <c r="B102" s="413">
        <f>IF($C102="","",ROWS($B$93:B102))</f>
        <v>10</v>
      </c>
      <c r="C102" s="414" t="str">
        <f>IF(Attendance!$D14="","",Attendance!$D14)</f>
        <v>Semilore Adesanya</v>
      </c>
      <c r="D102" s="413">
        <f>IF($C102="","",COUNTIFS('Match Day Reports'!$C$80:$C$673,$C102,'Match Day Reports'!$D$80:$D$673,"Started"))</f>
        <v>1</v>
      </c>
      <c r="E102" s="413">
        <f>IF($C102="","",COUNTIFS('Match Day Reports'!$C$80:$C$673,$C102,'Match Day Reports'!$D$80:$D$673,"Sub - used"))</f>
        <v>0</v>
      </c>
      <c r="F102" s="413">
        <f>IF($C102="","",COUNTIFS('Match Day Reports'!$C$80:$C$673,$C102,'Match Day Reports'!$D$80:$D$673,"&lt;&gt;Sub - unused"))</f>
        <v>1</v>
      </c>
      <c r="G102" s="413">
        <f>IF($C102="","",SUMIFS('Match Day Reports'!$G$80:$G$673,'Match Day Reports'!$C$80:$C$673,$C102))</f>
        <v>1</v>
      </c>
      <c r="H102" s="413">
        <f>IF($C102="","",SUMIFS('Match Day Reports'!$H$80:$H$673,'Match Day Reports'!$C$80:$C$673,$C102))</f>
        <v>1</v>
      </c>
      <c r="I102" s="415">
        <f>IF($C102="","",IFERROR(AVERAGEIFS('Match Day Reports'!$I$80:$I$673,'Match Day Reports'!$C$80:$C$673,$C102,'Match Day Reports'!$I$80:$I$673,"&gt;0",'Match Day Reports'!$D$80:$D$673,"&lt;&gt;Sub - unused"),""))</f>
        <v>8.5</v>
      </c>
      <c r="J102" s="413">
        <f>IF($C102="","",COUNTIFS('Match Day Reports'!$H$80:$H$673,$C102))</f>
        <v>0</v>
      </c>
      <c r="K102" s="413">
        <f>IF($C102="","",SUMIFS('Match Day Reports'!$J$80:$J$673,'Match Day Reports'!$C$80:$C$673,$C102))</f>
        <v>0</v>
      </c>
      <c r="L102" s="413">
        <f>IF($C102="","",SUMIFS('Match Day Reports'!$K$80:$K$673,'Match Day Reports'!$C$80:$C$673,$C102))</f>
        <v>0</v>
      </c>
      <c r="M102" s="413">
        <f>IF($C102="","",COUNTIFS('Match Day Reports'!$C$80:$C$673,$C102,'Match Day Reports'!$L$80:$L$673,"Yes"))</f>
        <v>0</v>
      </c>
      <c r="N102" s="413">
        <f t="shared" si="0"/>
        <v>2</v>
      </c>
      <c r="O102" s="413">
        <f t="shared" si="1"/>
        <v>3</v>
      </c>
    </row>
    <row r="103" spans="2:15" x14ac:dyDescent="0.45">
      <c r="B103" s="413">
        <f>IF($C103="","",ROWS($B$93:B103))</f>
        <v>11</v>
      </c>
      <c r="C103" s="414" t="str">
        <f>IF(Attendance!$D15="","",Attendance!$D15)</f>
        <v>Hannah Fleming</v>
      </c>
      <c r="D103" s="413">
        <f>IF($C103="","",COUNTIFS('Match Day Reports'!$C$80:$C$673,$C103,'Match Day Reports'!$D$80:$D$673,"Started"))</f>
        <v>1</v>
      </c>
      <c r="E103" s="413">
        <f>IF($C103="","",COUNTIFS('Match Day Reports'!$C$80:$C$673,$C103,'Match Day Reports'!$D$80:$D$673,"Sub - used"))</f>
        <v>0</v>
      </c>
      <c r="F103" s="413">
        <f>IF($C103="","",COUNTIFS('Match Day Reports'!$C$80:$C$673,$C103,'Match Day Reports'!$D$80:$D$673,"&lt;&gt;Sub - unused"))</f>
        <v>1</v>
      </c>
      <c r="G103" s="413">
        <f>IF($C103="","",SUMIFS('Match Day Reports'!$G$80:$G$673,'Match Day Reports'!$C$80:$C$673,$C103))</f>
        <v>0</v>
      </c>
      <c r="H103" s="413">
        <f>IF($C103="","",SUMIFS('Match Day Reports'!$H$80:$H$673,'Match Day Reports'!$C$80:$C$673,$C103))</f>
        <v>0</v>
      </c>
      <c r="I103" s="415">
        <f>IF($C103="","",IFERROR(AVERAGEIFS('Match Day Reports'!$I$80:$I$673,'Match Day Reports'!$C$80:$C$673,$C103,'Match Day Reports'!$I$80:$I$673,"&gt;0",'Match Day Reports'!$D$80:$D$673,"&lt;&gt;Sub - unused"),""))</f>
        <v>8</v>
      </c>
      <c r="J103" s="413">
        <f>IF($C103="","",COUNTIFS('Match Day Reports'!$H$80:$H$673,$C103))</f>
        <v>0</v>
      </c>
      <c r="K103" s="413">
        <f>IF($C103="","",SUMIFS('Match Day Reports'!$J$80:$J$673,'Match Day Reports'!$C$80:$C$673,$C103))</f>
        <v>0</v>
      </c>
      <c r="L103" s="413">
        <f>IF($C103="","",SUMIFS('Match Day Reports'!$K$80:$K$673,'Match Day Reports'!$C$80:$C$673,$C103))</f>
        <v>0</v>
      </c>
      <c r="M103" s="413">
        <f>IF($C103="","",COUNTIFS('Match Day Reports'!$C$80:$C$673,$C103,'Match Day Reports'!$L$80:$L$673,"Yes"))</f>
        <v>0</v>
      </c>
      <c r="N103" s="413" t="str">
        <f t="shared" si="0"/>
        <v/>
      </c>
      <c r="O103" s="413" t="str">
        <f t="shared" si="1"/>
        <v/>
      </c>
    </row>
    <row r="104" spans="2:15" x14ac:dyDescent="0.45">
      <c r="B104" s="413">
        <f>IF($C104="","",ROWS($B$93:B104))</f>
        <v>12</v>
      </c>
      <c r="C104" s="414" t="str">
        <f>IF(Attendance!$D16="","",Attendance!$D16)</f>
        <v>Emma Kelly</v>
      </c>
      <c r="D104" s="413">
        <f>IF($C104="","",COUNTIFS('Match Day Reports'!$C$80:$C$673,$C104,'Match Day Reports'!$D$80:$D$673,"Started"))</f>
        <v>1</v>
      </c>
      <c r="E104" s="413">
        <f>IF($C104="","",COUNTIFS('Match Day Reports'!$C$80:$C$673,$C104,'Match Day Reports'!$D$80:$D$673,"Sub - used"))</f>
        <v>0</v>
      </c>
      <c r="F104" s="413">
        <f>IF($C104="","",COUNTIFS('Match Day Reports'!$C$80:$C$673,$C104,'Match Day Reports'!$D$80:$D$673,"&lt;&gt;Sub - unused"))</f>
        <v>1</v>
      </c>
      <c r="G104" s="413">
        <f>IF($C104="","",SUMIFS('Match Day Reports'!$G$80:$G$673,'Match Day Reports'!$C$80:$C$673,$C104))</f>
        <v>1</v>
      </c>
      <c r="H104" s="413">
        <f>IF($C104="","",SUMIFS('Match Day Reports'!$H$80:$H$673,'Match Day Reports'!$C$80:$C$673,$C104))</f>
        <v>0</v>
      </c>
      <c r="I104" s="415">
        <f>IF($C104="","",IFERROR(AVERAGEIFS('Match Day Reports'!$I$80:$I$673,'Match Day Reports'!$C$80:$C$673,$C104,'Match Day Reports'!$I$80:$I$673,"&gt;0",'Match Day Reports'!$D$80:$D$673,"&lt;&gt;Sub - unused"),""))</f>
        <v>8</v>
      </c>
      <c r="J104" s="413">
        <f>IF($C104="","",COUNTIFS('Match Day Reports'!$H$80:$H$673,$C104))</f>
        <v>0</v>
      </c>
      <c r="K104" s="413">
        <f>IF($C104="","",SUMIFS('Match Day Reports'!$J$80:$J$673,'Match Day Reports'!$C$80:$C$673,$C104))</f>
        <v>0</v>
      </c>
      <c r="L104" s="413">
        <f>IF($C104="","",SUMIFS('Match Day Reports'!$K$80:$K$673,'Match Day Reports'!$C$80:$C$673,$C104))</f>
        <v>0</v>
      </c>
      <c r="M104" s="413">
        <f>IF($C104="","",COUNTIFS('Match Day Reports'!$C$80:$C$673,$C104,'Match Day Reports'!$L$80:$L$673,"Yes"))</f>
        <v>0</v>
      </c>
      <c r="N104" s="413">
        <f t="shared" si="0"/>
        <v>2</v>
      </c>
      <c r="O104" s="413" t="str">
        <f t="shared" si="1"/>
        <v/>
      </c>
    </row>
    <row r="105" spans="2:15" x14ac:dyDescent="0.45">
      <c r="B105" s="413">
        <f>IF($C105="","",ROWS($B$93:B105))</f>
        <v>13</v>
      </c>
      <c r="C105" s="414" t="str">
        <f>IF(Attendance!$D17="","",Attendance!$D17)</f>
        <v>Roma Memon</v>
      </c>
      <c r="D105" s="413">
        <f>IF($C105="","",COUNTIFS('Match Day Reports'!$C$80:$C$673,$C105,'Match Day Reports'!$D$80:$D$673,"Started"))</f>
        <v>0</v>
      </c>
      <c r="E105" s="413">
        <f>IF($C105="","",COUNTIFS('Match Day Reports'!$C$80:$C$673,$C105,'Match Day Reports'!$D$80:$D$673,"Sub - used"))</f>
        <v>1</v>
      </c>
      <c r="F105" s="413">
        <f>IF($C105="","",COUNTIFS('Match Day Reports'!$C$80:$C$673,$C105,'Match Day Reports'!$D$80:$D$673,"&lt;&gt;Sub - unused"))</f>
        <v>1</v>
      </c>
      <c r="G105" s="413">
        <f>IF($C105="","",SUMIFS('Match Day Reports'!$G$80:$G$673,'Match Day Reports'!$C$80:$C$673,$C105))</f>
        <v>0</v>
      </c>
      <c r="H105" s="413">
        <f>IF($C105="","",SUMIFS('Match Day Reports'!$H$80:$H$673,'Match Day Reports'!$C$80:$C$673,$C105))</f>
        <v>0</v>
      </c>
      <c r="I105" s="415">
        <f>IF($C105="","",IFERROR(AVERAGEIFS('Match Day Reports'!$I$80:$I$673,'Match Day Reports'!$C$80:$C$673,$C105,'Match Day Reports'!$I$80:$I$673,"&gt;0",'Match Day Reports'!$D$80:$D$673,"&lt;&gt;Sub - unused"),""))</f>
        <v>6.5</v>
      </c>
      <c r="J105" s="413">
        <f>IF($C105="","",COUNTIFS('Match Day Reports'!$H$80:$H$673,$C105))</f>
        <v>0</v>
      </c>
      <c r="K105" s="413">
        <f>IF($C105="","",SUMIFS('Match Day Reports'!$J$80:$J$673,'Match Day Reports'!$C$80:$C$673,$C105))</f>
        <v>0</v>
      </c>
      <c r="L105" s="413">
        <f>IF($C105="","",SUMIFS('Match Day Reports'!$K$80:$K$673,'Match Day Reports'!$C$80:$C$673,$C105))</f>
        <v>0</v>
      </c>
      <c r="M105" s="413">
        <f>IF($C105="","",COUNTIFS('Match Day Reports'!$C$80:$C$673,$C105,'Match Day Reports'!$L$80:$L$673,"Yes"))</f>
        <v>0</v>
      </c>
      <c r="N105" s="413" t="str">
        <f t="shared" si="0"/>
        <v/>
      </c>
      <c r="O105" s="413" t="str">
        <f t="shared" si="1"/>
        <v/>
      </c>
    </row>
    <row r="106" spans="2:15" x14ac:dyDescent="0.45">
      <c r="B106" s="413">
        <f>IF($C106="","",ROWS($B$93:B106))</f>
        <v>14</v>
      </c>
      <c r="C106" s="414" t="str">
        <f>IF(Attendance!$D18="","",Attendance!$D18)</f>
        <v>Emma Dromgoole</v>
      </c>
      <c r="D106" s="413">
        <f>IF($C106="","",COUNTIFS('Match Day Reports'!$C$80:$C$673,$C106,'Match Day Reports'!$D$80:$D$673,"Started"))</f>
        <v>0</v>
      </c>
      <c r="E106" s="413">
        <f>IF($C106="","",COUNTIFS('Match Day Reports'!$C$80:$C$673,$C106,'Match Day Reports'!$D$80:$D$673,"Sub - used"))</f>
        <v>1</v>
      </c>
      <c r="F106" s="413">
        <f>IF($C106="","",COUNTIFS('Match Day Reports'!$C$80:$C$673,$C106,'Match Day Reports'!$D$80:$D$673,"&lt;&gt;Sub - unused"))</f>
        <v>1</v>
      </c>
      <c r="G106" s="413">
        <f>IF($C106="","",SUMIFS('Match Day Reports'!$G$80:$G$673,'Match Day Reports'!$C$80:$C$673,$C106))</f>
        <v>0</v>
      </c>
      <c r="H106" s="413">
        <f>IF($C106="","",SUMIFS('Match Day Reports'!$H$80:$H$673,'Match Day Reports'!$C$80:$C$673,$C106))</f>
        <v>0</v>
      </c>
      <c r="I106" s="415">
        <f>IF($C106="","",IFERROR(AVERAGEIFS('Match Day Reports'!$I$80:$I$673,'Match Day Reports'!$C$80:$C$673,$C106,'Match Day Reports'!$I$80:$I$673,"&gt;0",'Match Day Reports'!$D$80:$D$673,"&lt;&gt;Sub - unused"),""))</f>
        <v>6.5</v>
      </c>
      <c r="J106" s="413">
        <f>IF($C106="","",COUNTIFS('Match Day Reports'!$H$80:$H$673,$C106))</f>
        <v>0</v>
      </c>
      <c r="K106" s="413">
        <f>IF($C106="","",SUMIFS('Match Day Reports'!$J$80:$J$673,'Match Day Reports'!$C$80:$C$673,$C106))</f>
        <v>0</v>
      </c>
      <c r="L106" s="413">
        <f>IF($C106="","",SUMIFS('Match Day Reports'!$K$80:$K$673,'Match Day Reports'!$C$80:$C$673,$C106))</f>
        <v>0</v>
      </c>
      <c r="M106" s="413">
        <f>IF($C106="","",COUNTIFS('Match Day Reports'!$C$80:$C$673,$C106,'Match Day Reports'!$L$80:$L$673,"Yes"))</f>
        <v>0</v>
      </c>
      <c r="N106" s="413" t="str">
        <f t="shared" si="0"/>
        <v/>
      </c>
      <c r="O106" s="413" t="str">
        <f t="shared" si="1"/>
        <v/>
      </c>
    </row>
    <row r="107" spans="2:15" x14ac:dyDescent="0.45">
      <c r="B107" s="413">
        <f>IF($C107="","",ROWS($B$93:B107))</f>
        <v>15</v>
      </c>
      <c r="C107" s="414" t="str">
        <f>IF(Attendance!$D19="","",Attendance!$D19)</f>
        <v>Elsie Morrison</v>
      </c>
      <c r="D107" s="413">
        <f>IF($C107="","",COUNTIFS('Match Day Reports'!$C$80:$C$673,$C107,'Match Day Reports'!$D$80:$D$673,"Started"))</f>
        <v>1</v>
      </c>
      <c r="E107" s="413">
        <f>IF($C107="","",COUNTIFS('Match Day Reports'!$C$80:$C$673,$C107,'Match Day Reports'!$D$80:$D$673,"Sub - used"))</f>
        <v>0</v>
      </c>
      <c r="F107" s="413">
        <f>IF($C107="","",COUNTIFS('Match Day Reports'!$C$80:$C$673,$C107,'Match Day Reports'!$D$80:$D$673,"&lt;&gt;Sub - unused"))</f>
        <v>1</v>
      </c>
      <c r="G107" s="413">
        <f>IF($C107="","",SUMIFS('Match Day Reports'!$G$80:$G$673,'Match Day Reports'!$C$80:$C$673,$C107))</f>
        <v>1</v>
      </c>
      <c r="H107" s="413">
        <f>IF($C107="","",SUMIFS('Match Day Reports'!$H$80:$H$673,'Match Day Reports'!$C$80:$C$673,$C107))</f>
        <v>0</v>
      </c>
      <c r="I107" s="415">
        <f>IF($C107="","",IFERROR(AVERAGEIFS('Match Day Reports'!$I$80:$I$673,'Match Day Reports'!$C$80:$C$673,$C107,'Match Day Reports'!$I$80:$I$673,"&gt;0",'Match Day Reports'!$D$80:$D$673,"&lt;&gt;Sub - unused"),""))</f>
        <v>8</v>
      </c>
      <c r="J107" s="413">
        <f>IF($C107="","",COUNTIFS('Match Day Reports'!$H$80:$H$673,$C107))</f>
        <v>0</v>
      </c>
      <c r="K107" s="413">
        <f>IF($C107="","",SUMIFS('Match Day Reports'!$J$80:$J$673,'Match Day Reports'!$C$80:$C$673,$C107))</f>
        <v>0</v>
      </c>
      <c r="L107" s="413">
        <f>IF($C107="","",SUMIFS('Match Day Reports'!$K$80:$K$673,'Match Day Reports'!$C$80:$C$673,$C107))</f>
        <v>0</v>
      </c>
      <c r="M107" s="413">
        <f>IF($C107="","",COUNTIFS('Match Day Reports'!$C$80:$C$673,$C107,'Match Day Reports'!$L$80:$L$673,"Yes"))</f>
        <v>0</v>
      </c>
      <c r="N107" s="413">
        <f t="shared" si="0"/>
        <v>2</v>
      </c>
      <c r="O107" s="413" t="str">
        <f t="shared" si="1"/>
        <v/>
      </c>
    </row>
    <row r="108" spans="2:15" x14ac:dyDescent="0.45">
      <c r="B108" s="413">
        <f>IF($C108="","",ROWS($B$93:B108))</f>
        <v>16</v>
      </c>
      <c r="C108" s="414" t="str">
        <f>IF(Attendance!$D20="","",Attendance!$D20)</f>
        <v>Zara Freeman</v>
      </c>
      <c r="D108" s="413">
        <f>IF($C108="","",COUNTIFS('Match Day Reports'!$C$80:$C$673,$C108,'Match Day Reports'!$D$80:$D$673,"Started"))</f>
        <v>1</v>
      </c>
      <c r="E108" s="413">
        <f>IF($C108="","",COUNTIFS('Match Day Reports'!$C$80:$C$673,$C108,'Match Day Reports'!$D$80:$D$673,"Sub - used"))</f>
        <v>0</v>
      </c>
      <c r="F108" s="413">
        <f>IF($C108="","",COUNTIFS('Match Day Reports'!$C$80:$C$673,$C108,'Match Day Reports'!$D$80:$D$673,"&lt;&gt;Sub - unused"))</f>
        <v>1</v>
      </c>
      <c r="G108" s="413">
        <f>IF($C108="","",SUMIFS('Match Day Reports'!$G$80:$G$673,'Match Day Reports'!$C$80:$C$673,$C108))</f>
        <v>1</v>
      </c>
      <c r="H108" s="413">
        <f>IF($C108="","",SUMIFS('Match Day Reports'!$H$80:$H$673,'Match Day Reports'!$C$80:$C$673,$C108))</f>
        <v>0</v>
      </c>
      <c r="I108" s="415">
        <f>IF($C108="","",IFERROR(AVERAGEIFS('Match Day Reports'!$I$80:$I$673,'Match Day Reports'!$C$80:$C$673,$C108,'Match Day Reports'!$I$80:$I$673,"&gt;0",'Match Day Reports'!$D$80:$D$673,"&lt;&gt;Sub - unused"),""))</f>
        <v>8.5</v>
      </c>
      <c r="J108" s="413">
        <f>IF($C108="","",COUNTIFS('Match Day Reports'!$H$80:$H$673,$C108))</f>
        <v>0</v>
      </c>
      <c r="K108" s="413">
        <f>IF($C108="","",SUMIFS('Match Day Reports'!$J$80:$J$673,'Match Day Reports'!$C$80:$C$673,$C108))</f>
        <v>0</v>
      </c>
      <c r="L108" s="413">
        <f>IF($C108="","",SUMIFS('Match Day Reports'!$K$80:$K$673,'Match Day Reports'!$C$80:$C$673,$C108))</f>
        <v>0</v>
      </c>
      <c r="M108" s="413">
        <f>IF($C108="","",COUNTIFS('Match Day Reports'!$C$80:$C$673,$C108,'Match Day Reports'!$L$80:$L$673,"Yes"))</f>
        <v>0</v>
      </c>
      <c r="N108" s="413">
        <f t="shared" si="0"/>
        <v>2</v>
      </c>
      <c r="O108" s="413" t="str">
        <f t="shared" si="1"/>
        <v/>
      </c>
    </row>
    <row r="109" spans="2:15" x14ac:dyDescent="0.45">
      <c r="B109" s="413">
        <f>IF($C109="","",ROWS($B$93:B109))</f>
        <v>17</v>
      </c>
      <c r="C109" s="414" t="str">
        <f>IF(Attendance!$D21="","",Attendance!$D21)</f>
        <v>Mariana Soares</v>
      </c>
      <c r="D109" s="413">
        <f>IF($C109="","",COUNTIFS('Match Day Reports'!$C$80:$C$673,$C109,'Match Day Reports'!$D$80:$D$673,"Started"))</f>
        <v>1</v>
      </c>
      <c r="E109" s="413">
        <f>IF($C109="","",COUNTIFS('Match Day Reports'!$C$80:$C$673,$C109,'Match Day Reports'!$D$80:$D$673,"Sub - used"))</f>
        <v>0</v>
      </c>
      <c r="F109" s="413">
        <f>IF($C109="","",COUNTIFS('Match Day Reports'!$C$80:$C$673,$C109,'Match Day Reports'!$D$80:$D$673,"&lt;&gt;Sub - unused"))</f>
        <v>1</v>
      </c>
      <c r="G109" s="413">
        <f>IF($C109="","",SUMIFS('Match Day Reports'!$G$80:$G$673,'Match Day Reports'!$C$80:$C$673,$C109))</f>
        <v>0</v>
      </c>
      <c r="H109" s="413">
        <f>IF($C109="","",SUMIFS('Match Day Reports'!$H$80:$H$673,'Match Day Reports'!$C$80:$C$673,$C109))</f>
        <v>0</v>
      </c>
      <c r="I109" s="415">
        <f>IF($C109="","",IFERROR(AVERAGEIFS('Match Day Reports'!$I$80:$I$673,'Match Day Reports'!$C$80:$C$673,$C109,'Match Day Reports'!$I$80:$I$673,"&gt;0",'Match Day Reports'!$D$80:$D$673,"&lt;&gt;Sub - unused"),""))</f>
        <v>7.5</v>
      </c>
      <c r="J109" s="413">
        <f>IF($C109="","",COUNTIFS('Match Day Reports'!$H$80:$H$673,$C109))</f>
        <v>0</v>
      </c>
      <c r="K109" s="413">
        <f>IF($C109="","",SUMIFS('Match Day Reports'!$J$80:$J$673,'Match Day Reports'!$C$80:$C$673,$C109))</f>
        <v>0</v>
      </c>
      <c r="L109" s="413">
        <f>IF($C109="","",SUMIFS('Match Day Reports'!$K$80:$K$673,'Match Day Reports'!$C$80:$C$673,$C109))</f>
        <v>0</v>
      </c>
      <c r="M109" s="413">
        <f>IF($C109="","",COUNTIFS('Match Day Reports'!$C$80:$C$673,$C109,'Match Day Reports'!$L$80:$L$673,"Yes"))</f>
        <v>0</v>
      </c>
      <c r="N109" s="413" t="str">
        <f t="shared" si="0"/>
        <v/>
      </c>
      <c r="O109" s="413" t="str">
        <f t="shared" si="1"/>
        <v/>
      </c>
    </row>
    <row r="110" spans="2:15" x14ac:dyDescent="0.45">
      <c r="B110" s="413">
        <f>IF($C110="","",ROWS($B$93:B110))</f>
        <v>18</v>
      </c>
      <c r="C110" s="414" t="str">
        <f>IF(Attendance!$D22="","",Attendance!$D22)</f>
        <v>Rama Abuowda</v>
      </c>
      <c r="D110" s="413">
        <f>IF($C110="","",COUNTIFS('Match Day Reports'!$C$80:$C$673,$C110,'Match Day Reports'!$D$80:$D$673,"Started"))</f>
        <v>1</v>
      </c>
      <c r="E110" s="413">
        <f>IF($C110="","",COUNTIFS('Match Day Reports'!$C$80:$C$673,$C110,'Match Day Reports'!$D$80:$D$673,"Sub - used"))</f>
        <v>0</v>
      </c>
      <c r="F110" s="413">
        <f>IF($C110="","",COUNTIFS('Match Day Reports'!$C$80:$C$673,$C110,'Match Day Reports'!$D$80:$D$673,"&lt;&gt;Sub - unused"))</f>
        <v>1</v>
      </c>
      <c r="G110" s="413">
        <f>IF($C110="","",SUMIFS('Match Day Reports'!$G$80:$G$673,'Match Day Reports'!$C$80:$C$673,$C110))</f>
        <v>0</v>
      </c>
      <c r="H110" s="413">
        <f>IF($C110="","",SUMIFS('Match Day Reports'!$H$80:$H$673,'Match Day Reports'!$C$80:$C$673,$C110))</f>
        <v>2</v>
      </c>
      <c r="I110" s="415">
        <f>IF($C110="","",IFERROR(AVERAGEIFS('Match Day Reports'!$I$80:$I$673,'Match Day Reports'!$C$80:$C$673,$C110,'Match Day Reports'!$I$80:$I$673,"&gt;0",'Match Day Reports'!$D$80:$D$673,"&lt;&gt;Sub - unused"),""))</f>
        <v>8.5</v>
      </c>
      <c r="J110" s="413">
        <f>IF($C110="","",COUNTIFS('Match Day Reports'!$H$80:$H$673,$C110))</f>
        <v>0</v>
      </c>
      <c r="K110" s="413">
        <f>IF($C110="","",SUMIFS('Match Day Reports'!$J$80:$J$673,'Match Day Reports'!$C$80:$C$673,$C110))</f>
        <v>0</v>
      </c>
      <c r="L110" s="413">
        <f>IF($C110="","",SUMIFS('Match Day Reports'!$K$80:$K$673,'Match Day Reports'!$C$80:$C$673,$C110))</f>
        <v>0</v>
      </c>
      <c r="M110" s="413">
        <f>IF($C110="","",COUNTIFS('Match Day Reports'!$C$80:$C$673,$C110,'Match Day Reports'!$L$80:$L$673,"Yes"))</f>
        <v>0</v>
      </c>
      <c r="N110" s="413" t="str">
        <f t="shared" si="0"/>
        <v/>
      </c>
      <c r="O110" s="413">
        <f t="shared" si="1"/>
        <v>1</v>
      </c>
    </row>
    <row r="111" spans="2:15" x14ac:dyDescent="0.45">
      <c r="B111" s="413" t="str">
        <f>IF($C111="","",ROWS($B$93:B111))</f>
        <v/>
      </c>
      <c r="C111" s="414" t="str">
        <f>IF(Attendance!$D23="","",Attendance!$D23)</f>
        <v/>
      </c>
      <c r="D111" s="413" t="str">
        <f>IF($C111="","",COUNTIFS('Match Day Reports'!$C$80:$C$673,$C111,'Match Day Reports'!$D$80:$D$673,"Started"))</f>
        <v/>
      </c>
      <c r="E111" s="413" t="str">
        <f>IF($C111="","",COUNTIFS('Match Day Reports'!$C$80:$C$673,$C111,'Match Day Reports'!$D$80:$D$673,"Sub - used"))</f>
        <v/>
      </c>
      <c r="F111" s="413" t="str">
        <f>IF($C111="","",COUNTIFS('Match Day Reports'!$C$80:$C$673,$C111,'Match Day Reports'!$D$80:$D$673,"&lt;&gt;Sub - unused"))</f>
        <v/>
      </c>
      <c r="G111" s="413" t="str">
        <f>IF($C111="","",SUMIFS('Match Day Reports'!$G$80:$G$673,'Match Day Reports'!$C$80:$C$673,$C111))</f>
        <v/>
      </c>
      <c r="H111" s="413" t="str">
        <f>IF($C111="","",SUMIFS('Match Day Reports'!$H$80:$H$673,'Match Day Reports'!$C$80:$C$673,$C111))</f>
        <v/>
      </c>
      <c r="I111" s="415" t="str">
        <f>IF($C111="","",IFERROR(AVERAGEIFS('Match Day Reports'!$I$80:$I$673,'Match Day Reports'!$C$80:$C$673,$C111,'Match Day Reports'!$I$80:$I$673,"&gt;0",'Match Day Reports'!$D$80:$D$673,"&lt;&gt;Sub - unused"),""))</f>
        <v/>
      </c>
      <c r="J111" s="413" t="str">
        <f>IF($C111="","",COUNTIFS('Match Day Reports'!$H$80:$H$673,$C111))</f>
        <v/>
      </c>
      <c r="K111" s="413" t="str">
        <f>IF($C111="","",SUMIFS('Match Day Reports'!$J$80:$J$673,'Match Day Reports'!$C$80:$C$673,$C111))</f>
        <v/>
      </c>
      <c r="L111" s="413" t="str">
        <f>IF($C111="","",SUMIFS('Match Day Reports'!$K$80:$K$673,'Match Day Reports'!$C$80:$C$673,$C111))</f>
        <v/>
      </c>
      <c r="M111" s="413" t="str">
        <f>IF($C111="","",COUNTIFS('Match Day Reports'!$C$80:$C$673,$C111,'Match Day Reports'!$L$80:$L$673,"Yes"))</f>
        <v/>
      </c>
      <c r="N111" s="413" t="str">
        <f t="shared" si="0"/>
        <v/>
      </c>
      <c r="O111" s="413" t="str">
        <f t="shared" si="1"/>
        <v/>
      </c>
    </row>
    <row r="112" spans="2:15" x14ac:dyDescent="0.45">
      <c r="B112" s="413" t="str">
        <f>IF($C112="","",ROWS($B$93:B112))</f>
        <v/>
      </c>
      <c r="C112" s="414" t="str">
        <f>IF(Attendance!$D24="","",Attendance!$D24)</f>
        <v/>
      </c>
      <c r="D112" s="413" t="str">
        <f>IF($C112="","",COUNTIFS('Match Day Reports'!$C$80:$C$673,$C112,'Match Day Reports'!$D$80:$D$673,"Started"))</f>
        <v/>
      </c>
      <c r="E112" s="413" t="str">
        <f>IF($C112="","",COUNTIFS('Match Day Reports'!$C$80:$C$673,$C112,'Match Day Reports'!$D$80:$D$673,"Sub - used"))</f>
        <v/>
      </c>
      <c r="F112" s="413" t="str">
        <f>IF($C112="","",COUNTIFS('Match Day Reports'!$C$80:$C$673,$C112,'Match Day Reports'!$D$80:$D$673,"&lt;&gt;Sub - unused"))</f>
        <v/>
      </c>
      <c r="G112" s="413" t="str">
        <f>IF($C112="","",SUMIFS('Match Day Reports'!$G$80:$G$673,'Match Day Reports'!$C$80:$C$673,$C112))</f>
        <v/>
      </c>
      <c r="H112" s="413" t="str">
        <f>IF($C112="","",SUMIFS('Match Day Reports'!$H$80:$H$673,'Match Day Reports'!$C$80:$C$673,$C112))</f>
        <v/>
      </c>
      <c r="I112" s="415" t="str">
        <f>IF($C112="","",IFERROR(AVERAGEIFS('Match Day Reports'!$I$80:$I$673,'Match Day Reports'!$C$80:$C$673,$C112,'Match Day Reports'!$I$80:$I$673,"&gt;0",'Match Day Reports'!$D$80:$D$673,"&lt;&gt;Sub - unused"),""))</f>
        <v/>
      </c>
      <c r="J112" s="413" t="str">
        <f>IF($C112="","",COUNTIFS('Match Day Reports'!$H$80:$H$673,$C112))</f>
        <v/>
      </c>
      <c r="K112" s="413" t="str">
        <f>IF($C112="","",SUMIFS('Match Day Reports'!$J$80:$J$673,'Match Day Reports'!$C$80:$C$673,$C112))</f>
        <v/>
      </c>
      <c r="L112" s="413" t="str">
        <f>IF($C112="","",SUMIFS('Match Day Reports'!$K$80:$K$673,'Match Day Reports'!$C$80:$C$673,$C112))</f>
        <v/>
      </c>
      <c r="M112" s="413" t="str">
        <f>IF($C112="","",COUNTIFS('Match Day Reports'!$C$80:$C$673,$C112,'Match Day Reports'!$L$80:$L$673,"Yes"))</f>
        <v/>
      </c>
      <c r="N112" s="413" t="str">
        <f t="shared" si="0"/>
        <v/>
      </c>
      <c r="O112" s="413" t="str">
        <f t="shared" si="1"/>
        <v/>
      </c>
    </row>
  </sheetData>
  <mergeCells count="32">
    <mergeCell ref="B2:H2"/>
    <mergeCell ref="B3:N3"/>
    <mergeCell ref="B5:P5"/>
    <mergeCell ref="B7:C7"/>
    <mergeCell ref="D7:E7"/>
    <mergeCell ref="F7:G7"/>
    <mergeCell ref="H7:I7"/>
    <mergeCell ref="J7:K7"/>
    <mergeCell ref="L7:M7"/>
    <mergeCell ref="N7:O7"/>
    <mergeCell ref="L8:M9"/>
    <mergeCell ref="N8:O9"/>
    <mergeCell ref="AF33:BH33"/>
    <mergeCell ref="B58:P58"/>
    <mergeCell ref="B59:C59"/>
    <mergeCell ref="B8:C9"/>
    <mergeCell ref="D8:E9"/>
    <mergeCell ref="F8:G9"/>
    <mergeCell ref="H8:I9"/>
    <mergeCell ref="J8:K9"/>
    <mergeCell ref="B60:C60"/>
    <mergeCell ref="B61:C61"/>
    <mergeCell ref="B62:C62"/>
    <mergeCell ref="B63:C63"/>
    <mergeCell ref="B64:C64"/>
    <mergeCell ref="B90:N90"/>
    <mergeCell ref="B91:N91"/>
    <mergeCell ref="B65:C65"/>
    <mergeCell ref="B66:C66"/>
    <mergeCell ref="B84:P84"/>
    <mergeCell ref="C86:D86"/>
    <mergeCell ref="F86:H86"/>
  </mergeCells>
  <conditionalFormatting sqref="H38:H56">
    <cfRule type="containsText" dxfId="57" priority="3" operator="containsText" text="Insufficient data">
      <formula>NOT(ISERROR(SEARCH("Insufficient data",H38)))</formula>
    </cfRule>
    <cfRule type="containsText" dxfId="56" priority="4" operator="containsText" text="Critical">
      <formula>NOT(ISERROR(SEARCH("Critical",H38)))</formula>
    </cfRule>
    <cfRule type="containsText" dxfId="55" priority="5" operator="containsText" text="Not Ready for 90 min">
      <formula>NOT(ISERROR(SEARCH("Not Ready for 90 min",H38)))</formula>
    </cfRule>
    <cfRule type="containsText" dxfId="54" priority="6" operator="containsText" text="Not Ready">
      <formula>NOT(ISERROR(SEARCH("Not Ready",H38)))</formula>
    </cfRule>
    <cfRule type="containsText" dxfId="53" priority="7" operator="containsText" text="Improving">
      <formula>NOT(ISERROR(SEARCH("Improving",H38)))</formula>
    </cfRule>
    <cfRule type="containsText" dxfId="52" priority="8" operator="containsText" text="Nearly Ready">
      <formula>NOT(ISERROR(SEARCH("Nearly Ready",H38)))</formula>
    </cfRule>
    <cfRule type="containsText" dxfId="51" priority="9" operator="containsText" text="Match Ready">
      <formula>NOT(ISERROR(SEARCH("Match Ready",H38)))</formula>
    </cfRule>
  </conditionalFormatting>
  <conditionalFormatting sqref="AI35:BD54">
    <cfRule type="colorScale" priority="2">
      <colorScale>
        <cfvo type="num" val="1"/>
        <cfvo type="num" val="3"/>
        <cfvo type="num" val="5"/>
        <color rgb="FFF8696B"/>
        <color rgb="FFFFEB84"/>
        <color rgb="FF63BE7B"/>
      </colorScale>
    </cfRule>
  </conditionalFormatting>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P42"/>
  <sheetViews>
    <sheetView zoomScaleNormal="100" workbookViewId="0">
      <selection activeCell="D21" sqref="D21"/>
    </sheetView>
  </sheetViews>
  <sheetFormatPr defaultColWidth="8.53125" defaultRowHeight="14.25" x14ac:dyDescent="0.45"/>
  <cols>
    <col min="1" max="1" width="4.59765625" customWidth="1"/>
    <col min="2" max="2" width="5.59765625" customWidth="1"/>
    <col min="3" max="3" width="5.1328125" style="44" customWidth="1"/>
    <col min="4" max="4" width="22.73046875" customWidth="1"/>
    <col min="5" max="5" width="7.265625" customWidth="1"/>
    <col min="6" max="6" width="7.265625" style="44" customWidth="1"/>
    <col min="7" max="7" width="7.265625" customWidth="1"/>
    <col min="8" max="19" width="7.265625" style="44" customWidth="1"/>
    <col min="20" max="28" width="7.265625" customWidth="1"/>
    <col min="30" max="30" width="29.73046875" customWidth="1"/>
    <col min="31" max="35" width="13.265625" customWidth="1"/>
    <col min="36" max="36" width="16.86328125" customWidth="1"/>
    <col min="38" max="38" width="15.265625" customWidth="1"/>
    <col min="39" max="39" width="8.59765625" customWidth="1"/>
    <col min="40" max="40" width="20.59765625" customWidth="1"/>
    <col min="41" max="41" width="59.3984375" customWidth="1"/>
    <col min="42" max="42" width="42.3984375" customWidth="1"/>
  </cols>
  <sheetData>
    <row r="1" spans="2:42" ht="15.75" customHeight="1" x14ac:dyDescent="0.5">
      <c r="AL1" s="45" t="s">
        <v>37</v>
      </c>
    </row>
    <row r="2" spans="2:42" ht="18" customHeight="1" x14ac:dyDescent="0.45">
      <c r="B2" s="486"/>
      <c r="C2" s="486"/>
      <c r="D2" s="487" t="s">
        <v>38</v>
      </c>
      <c r="E2" s="487"/>
      <c r="F2" s="487"/>
      <c r="G2" s="487"/>
      <c r="H2" s="487"/>
      <c r="I2" s="487"/>
      <c r="J2" s="487"/>
      <c r="K2" s="487"/>
      <c r="L2" s="487"/>
      <c r="M2" s="487"/>
      <c r="N2" s="487"/>
      <c r="O2" s="487"/>
      <c r="P2" s="487"/>
      <c r="AL2" t="s">
        <v>39</v>
      </c>
      <c r="AM2" s="46">
        <v>0.4</v>
      </c>
    </row>
    <row r="3" spans="2:42" x14ac:dyDescent="0.45">
      <c r="B3" s="486"/>
      <c r="C3" s="486"/>
      <c r="D3" s="488" t="s">
        <v>18</v>
      </c>
      <c r="E3" s="489">
        <v>46217</v>
      </c>
      <c r="F3" s="489"/>
      <c r="G3" s="485">
        <v>46219</v>
      </c>
      <c r="H3" s="485"/>
      <c r="I3" s="485">
        <v>46224</v>
      </c>
      <c r="J3" s="485"/>
      <c r="K3" s="485">
        <v>46226</v>
      </c>
      <c r="L3" s="485"/>
      <c r="M3" s="485">
        <v>46231</v>
      </c>
      <c r="N3" s="485"/>
      <c r="O3" s="485">
        <v>46233</v>
      </c>
      <c r="P3" s="485"/>
      <c r="Q3" s="485">
        <v>46238</v>
      </c>
      <c r="R3" s="485"/>
      <c r="S3" s="485">
        <v>46240</v>
      </c>
      <c r="T3" s="485"/>
      <c r="U3" s="485">
        <v>46245</v>
      </c>
      <c r="V3" s="485"/>
      <c r="W3" s="485">
        <v>46247</v>
      </c>
      <c r="X3" s="485"/>
      <c r="Y3" s="485">
        <v>46252</v>
      </c>
      <c r="Z3" s="485"/>
      <c r="AA3" s="485">
        <v>46254</v>
      </c>
      <c r="AB3" s="485"/>
      <c r="AL3" t="s">
        <v>40</v>
      </c>
      <c r="AM3" s="47">
        <f>1-AM2</f>
        <v>0.6</v>
      </c>
    </row>
    <row r="4" spans="2:42" s="48" customFormat="1" ht="18" customHeight="1" x14ac:dyDescent="0.55000000000000004">
      <c r="B4" s="486"/>
      <c r="C4" s="486"/>
      <c r="D4" s="488"/>
      <c r="E4" s="49" t="s">
        <v>41</v>
      </c>
      <c r="F4" s="50" t="s">
        <v>42</v>
      </c>
      <c r="G4" s="50" t="s">
        <v>41</v>
      </c>
      <c r="H4" s="50" t="s">
        <v>42</v>
      </c>
      <c r="I4" s="50" t="s">
        <v>41</v>
      </c>
      <c r="J4" s="50" t="s">
        <v>42</v>
      </c>
      <c r="K4" s="50" t="s">
        <v>41</v>
      </c>
      <c r="L4" s="50" t="s">
        <v>42</v>
      </c>
      <c r="M4" s="50" t="s">
        <v>41</v>
      </c>
      <c r="N4" s="50" t="s">
        <v>42</v>
      </c>
      <c r="O4" s="50" t="s">
        <v>41</v>
      </c>
      <c r="P4" s="50" t="s">
        <v>42</v>
      </c>
      <c r="Q4" s="50" t="s">
        <v>41</v>
      </c>
      <c r="R4" s="50" t="s">
        <v>42</v>
      </c>
      <c r="S4" s="50" t="s">
        <v>41</v>
      </c>
      <c r="T4" s="50" t="s">
        <v>42</v>
      </c>
      <c r="U4" s="50" t="s">
        <v>41</v>
      </c>
      <c r="V4" s="50" t="s">
        <v>42</v>
      </c>
      <c r="W4" s="50" t="s">
        <v>41</v>
      </c>
      <c r="X4" s="50" t="s">
        <v>42</v>
      </c>
      <c r="Y4" s="50" t="s">
        <v>41</v>
      </c>
      <c r="Z4" s="50" t="s">
        <v>42</v>
      </c>
      <c r="AA4" s="50" t="s">
        <v>41</v>
      </c>
      <c r="AB4" s="50" t="s">
        <v>42</v>
      </c>
      <c r="AE4" s="51" t="s">
        <v>43</v>
      </c>
      <c r="AF4" s="51" t="s">
        <v>12</v>
      </c>
      <c r="AG4" s="51" t="s">
        <v>28</v>
      </c>
      <c r="AH4" s="51" t="s">
        <v>44</v>
      </c>
      <c r="AI4" s="51" t="s">
        <v>45</v>
      </c>
      <c r="AJ4" s="51" t="s">
        <v>46</v>
      </c>
      <c r="AK4" s="51" t="s">
        <v>47</v>
      </c>
      <c r="AL4" s="52" t="s">
        <v>48</v>
      </c>
      <c r="AM4" s="53">
        <v>0.75</v>
      </c>
      <c r="AN4" s="51" t="s">
        <v>49</v>
      </c>
      <c r="AO4" s="51" t="s">
        <v>50</v>
      </c>
      <c r="AP4" s="51" t="s">
        <v>51</v>
      </c>
    </row>
    <row r="5" spans="2:42" ht="15.75" customHeight="1" x14ac:dyDescent="0.45">
      <c r="B5" s="490" t="s">
        <v>52</v>
      </c>
      <c r="C5" s="54">
        <v>1</v>
      </c>
      <c r="D5" s="55" t="s">
        <v>53</v>
      </c>
      <c r="E5" s="56" t="s">
        <v>54</v>
      </c>
      <c r="F5" s="57">
        <v>3</v>
      </c>
      <c r="G5" s="56" t="s">
        <v>54</v>
      </c>
      <c r="H5" s="57">
        <v>3</v>
      </c>
      <c r="I5" s="56" t="s">
        <v>55</v>
      </c>
      <c r="J5" s="57">
        <v>0</v>
      </c>
      <c r="K5" s="56" t="s">
        <v>54</v>
      </c>
      <c r="L5" s="57">
        <v>2</v>
      </c>
      <c r="M5" s="56" t="s">
        <v>54</v>
      </c>
      <c r="N5" s="57">
        <v>2</v>
      </c>
      <c r="O5" s="56" t="s">
        <v>55</v>
      </c>
      <c r="P5" s="57">
        <v>0</v>
      </c>
      <c r="Q5" s="58"/>
      <c r="R5" s="59"/>
      <c r="S5" s="58" t="s">
        <v>55</v>
      </c>
      <c r="T5" s="57">
        <v>0</v>
      </c>
      <c r="U5" s="56" t="s">
        <v>54</v>
      </c>
      <c r="V5" s="57">
        <v>3</v>
      </c>
      <c r="W5" s="56" t="s">
        <v>54</v>
      </c>
      <c r="X5" s="57">
        <v>4</v>
      </c>
      <c r="Y5" s="56" t="s">
        <v>54</v>
      </c>
      <c r="Z5" s="57">
        <v>3</v>
      </c>
      <c r="AA5" s="56" t="s">
        <v>54</v>
      </c>
      <c r="AB5" s="57">
        <v>3</v>
      </c>
      <c r="AD5" s="55" t="str">
        <f t="shared" ref="AD5:AD24" si="0">IF(D5="","",D5)</f>
        <v>Aoife Kennan</v>
      </c>
      <c r="AE5" s="60">
        <f t="shared" ref="AE5:AE24" si="1">IF($D5="","",COUNTIF(E5:AB5,"Yes"))</f>
        <v>8</v>
      </c>
      <c r="AF5" s="60">
        <f t="shared" ref="AF5:AF24" si="2">IF($D5="","",COUNTIF(E5:AB5,"Yes")+COUNTIF(E5:AB5,"No"))</f>
        <v>11</v>
      </c>
      <c r="AG5" s="61">
        <f t="shared" ref="AG5:AG24" si="3">IF($D5="","",IF(AF5=0,0,AE5/AF5))</f>
        <v>0.72727272727272729</v>
      </c>
      <c r="AH5" s="62">
        <f t="shared" ref="AH5:AH24" si="4">IF($D5="","",IF(COUNT(E5:AB5)=0,"",AVERAGE(E5:AB5)))</f>
        <v>2.0909090909090908</v>
      </c>
      <c r="AI5" s="61">
        <f t="shared" ref="AI5:AI24" si="5">IF($D5="","",IF($AK5="",0,($AK5/5)*MIN(1,IF($AM$4=0,1,$AG5/$AM$4))))</f>
        <v>0.5575757575757575</v>
      </c>
      <c r="AJ5" s="63">
        <f t="shared" ref="AJ5:AJ24" si="6">IF($D5="","",AG5*$AM$2+AI5*$AM$3)</f>
        <v>0.62545454545454549</v>
      </c>
      <c r="AK5" s="64">
        <f t="shared" ref="AK5:AK24" si="7">IF($D5="","",IF(COUNTIFS($E$4:$AB$4,"WR",$E5:$AB5,"&gt;0")=0,"",SUMIF($E$4:$AB$4,"WR",$E5:$AB5)/COUNTIFS($E$4:$AB$4,"WR",$E5:$AB5,"&gt;0")))</f>
        <v>2.875</v>
      </c>
      <c r="AL5" s="52" t="s">
        <v>56</v>
      </c>
      <c r="AM5" s="65">
        <v>5</v>
      </c>
      <c r="AN5" s="66" t="str">
        <f t="shared" ref="AN5:AN24" si="8">IF(D5="","",D5)</f>
        <v>Aoife Kennan</v>
      </c>
      <c r="AO5" s="67" t="s">
        <v>475</v>
      </c>
      <c r="AP5" s="67" t="s">
        <v>476</v>
      </c>
    </row>
    <row r="6" spans="2:42" ht="15.75" customHeight="1" x14ac:dyDescent="0.45">
      <c r="B6" s="490"/>
      <c r="C6" s="54">
        <v>2</v>
      </c>
      <c r="D6" s="55" t="s">
        <v>57</v>
      </c>
      <c r="E6" s="56" t="s">
        <v>54</v>
      </c>
      <c r="F6" s="57">
        <v>4</v>
      </c>
      <c r="G6" s="56" t="s">
        <v>54</v>
      </c>
      <c r="H6" s="57">
        <v>4</v>
      </c>
      <c r="I6" s="56" t="s">
        <v>54</v>
      </c>
      <c r="J6" s="57">
        <v>4</v>
      </c>
      <c r="K6" s="56" t="s">
        <v>54</v>
      </c>
      <c r="L6" s="57">
        <v>3</v>
      </c>
      <c r="M6" s="56" t="s">
        <v>55</v>
      </c>
      <c r="N6" s="57">
        <v>0</v>
      </c>
      <c r="O6" s="56" t="s">
        <v>54</v>
      </c>
      <c r="P6" s="57">
        <v>4</v>
      </c>
      <c r="Q6" s="58"/>
      <c r="R6" s="59"/>
      <c r="S6" s="58" t="s">
        <v>55</v>
      </c>
      <c r="T6" s="57">
        <v>0</v>
      </c>
      <c r="U6" s="56" t="s">
        <v>54</v>
      </c>
      <c r="V6" s="57">
        <v>4</v>
      </c>
      <c r="W6" s="56" t="s">
        <v>54</v>
      </c>
      <c r="X6" s="57">
        <v>4</v>
      </c>
      <c r="Y6" s="56" t="s">
        <v>54</v>
      </c>
      <c r="Z6" s="57">
        <v>3</v>
      </c>
      <c r="AA6" s="56" t="s">
        <v>54</v>
      </c>
      <c r="AB6" s="57">
        <v>3</v>
      </c>
      <c r="AD6" s="55" t="str">
        <f t="shared" si="0"/>
        <v>Stella McEvoy</v>
      </c>
      <c r="AE6" s="60">
        <f t="shared" si="1"/>
        <v>9</v>
      </c>
      <c r="AF6" s="60">
        <f t="shared" si="2"/>
        <v>11</v>
      </c>
      <c r="AG6" s="61">
        <f t="shared" si="3"/>
        <v>0.81818181818181823</v>
      </c>
      <c r="AH6" s="62">
        <f t="shared" si="4"/>
        <v>3</v>
      </c>
      <c r="AI6" s="61">
        <f t="shared" si="5"/>
        <v>0.73333333333333328</v>
      </c>
      <c r="AJ6" s="63">
        <f t="shared" si="6"/>
        <v>0.76727272727272733</v>
      </c>
      <c r="AK6" s="64">
        <f t="shared" si="7"/>
        <v>3.6666666666666665</v>
      </c>
      <c r="AN6" s="68" t="str">
        <f t="shared" si="8"/>
        <v>Stella McEvoy</v>
      </c>
      <c r="AO6" s="67" t="s">
        <v>58</v>
      </c>
      <c r="AP6" s="67" t="s">
        <v>59</v>
      </c>
    </row>
    <row r="7" spans="2:42" ht="15.75" customHeight="1" x14ac:dyDescent="0.45">
      <c r="B7" s="490"/>
      <c r="C7" s="54">
        <v>3</v>
      </c>
      <c r="D7" s="55" t="s">
        <v>60</v>
      </c>
      <c r="E7" s="56" t="s">
        <v>54</v>
      </c>
      <c r="F7" s="57">
        <v>3</v>
      </c>
      <c r="G7" s="56" t="s">
        <v>55</v>
      </c>
      <c r="H7" s="57">
        <v>0</v>
      </c>
      <c r="I7" s="56" t="s">
        <v>55</v>
      </c>
      <c r="J7" s="57">
        <v>0</v>
      </c>
      <c r="K7" s="56" t="s">
        <v>55</v>
      </c>
      <c r="L7" s="57">
        <v>0</v>
      </c>
      <c r="M7" s="56" t="s">
        <v>54</v>
      </c>
      <c r="N7" s="57">
        <v>2</v>
      </c>
      <c r="O7" s="56" t="s">
        <v>55</v>
      </c>
      <c r="P7" s="57">
        <v>0</v>
      </c>
      <c r="Q7" s="58"/>
      <c r="R7" s="59"/>
      <c r="S7" s="58" t="s">
        <v>54</v>
      </c>
      <c r="T7" s="57">
        <v>3</v>
      </c>
      <c r="U7" s="56" t="s">
        <v>55</v>
      </c>
      <c r="V7" s="57">
        <v>0</v>
      </c>
      <c r="W7" s="56" t="s">
        <v>55</v>
      </c>
      <c r="X7" s="57">
        <v>0</v>
      </c>
      <c r="Y7" s="56" t="s">
        <v>55</v>
      </c>
      <c r="Z7" s="57">
        <v>0</v>
      </c>
      <c r="AA7" s="56" t="s">
        <v>55</v>
      </c>
      <c r="AB7" s="57">
        <v>0</v>
      </c>
      <c r="AD7" s="55" t="str">
        <f t="shared" si="0"/>
        <v>Zara Power</v>
      </c>
      <c r="AE7" s="60">
        <f t="shared" si="1"/>
        <v>3</v>
      </c>
      <c r="AF7" s="60">
        <f t="shared" si="2"/>
        <v>11</v>
      </c>
      <c r="AG7" s="61">
        <f t="shared" si="3"/>
        <v>0.27272727272727271</v>
      </c>
      <c r="AH7" s="62">
        <f t="shared" si="4"/>
        <v>0.72727272727272729</v>
      </c>
      <c r="AI7" s="61">
        <f t="shared" si="5"/>
        <v>0.19393939393939391</v>
      </c>
      <c r="AJ7" s="63">
        <f t="shared" si="6"/>
        <v>0.22545454545454541</v>
      </c>
      <c r="AK7" s="64">
        <f t="shared" si="7"/>
        <v>2.6666666666666665</v>
      </c>
      <c r="AN7" s="68" t="str">
        <f t="shared" si="8"/>
        <v>Zara Power</v>
      </c>
      <c r="AO7" s="67" t="s">
        <v>61</v>
      </c>
      <c r="AP7" s="67" t="s">
        <v>62</v>
      </c>
    </row>
    <row r="8" spans="2:42" ht="15.75" customHeight="1" x14ac:dyDescent="0.45">
      <c r="B8" s="490"/>
      <c r="C8" s="54">
        <v>4</v>
      </c>
      <c r="D8" s="55" t="s">
        <v>63</v>
      </c>
      <c r="E8" s="56" t="s">
        <v>55</v>
      </c>
      <c r="F8" s="57">
        <v>0</v>
      </c>
      <c r="G8" s="56" t="s">
        <v>55</v>
      </c>
      <c r="H8" s="57">
        <v>0</v>
      </c>
      <c r="I8" s="56" t="s">
        <v>55</v>
      </c>
      <c r="J8" s="57">
        <v>0</v>
      </c>
      <c r="K8" s="56" t="s">
        <v>54</v>
      </c>
      <c r="L8" s="57">
        <v>1</v>
      </c>
      <c r="M8" s="56" t="s">
        <v>55</v>
      </c>
      <c r="N8" s="57">
        <v>0</v>
      </c>
      <c r="O8" s="56" t="s">
        <v>54</v>
      </c>
      <c r="P8" s="57">
        <v>3</v>
      </c>
      <c r="Q8" s="58"/>
      <c r="R8" s="59"/>
      <c r="S8" s="58" t="s">
        <v>55</v>
      </c>
      <c r="T8" s="57">
        <v>0</v>
      </c>
      <c r="U8" s="56" t="s">
        <v>55</v>
      </c>
      <c r="V8" s="57">
        <v>0</v>
      </c>
      <c r="W8" s="56" t="s">
        <v>55</v>
      </c>
      <c r="X8" s="57">
        <v>0</v>
      </c>
      <c r="Y8" s="56" t="s">
        <v>54</v>
      </c>
      <c r="Z8" s="57">
        <v>2</v>
      </c>
      <c r="AA8" s="56" t="s">
        <v>55</v>
      </c>
      <c r="AB8" s="57">
        <v>0</v>
      </c>
      <c r="AD8" s="55" t="str">
        <f t="shared" si="0"/>
        <v>Heidi Cerubini Dunne</v>
      </c>
      <c r="AE8" s="60">
        <f t="shared" si="1"/>
        <v>3</v>
      </c>
      <c r="AF8" s="60">
        <f t="shared" si="2"/>
        <v>11</v>
      </c>
      <c r="AG8" s="61">
        <f t="shared" si="3"/>
        <v>0.27272727272727271</v>
      </c>
      <c r="AH8" s="62">
        <f t="shared" si="4"/>
        <v>0.54545454545454541</v>
      </c>
      <c r="AI8" s="61">
        <f t="shared" si="5"/>
        <v>0.14545454545454545</v>
      </c>
      <c r="AJ8" s="63">
        <f t="shared" si="6"/>
        <v>0.19636363636363635</v>
      </c>
      <c r="AK8" s="64">
        <f t="shared" si="7"/>
        <v>2</v>
      </c>
      <c r="AN8" s="68" t="str">
        <f t="shared" si="8"/>
        <v>Heidi Cerubini Dunne</v>
      </c>
      <c r="AO8" s="67" t="s">
        <v>477</v>
      </c>
      <c r="AP8" s="67" t="s">
        <v>64</v>
      </c>
    </row>
    <row r="9" spans="2:42" ht="15.75" customHeight="1" x14ac:dyDescent="0.45">
      <c r="B9" s="490"/>
      <c r="C9" s="54">
        <v>5</v>
      </c>
      <c r="D9" s="55" t="s">
        <v>65</v>
      </c>
      <c r="E9" s="56" t="s">
        <v>54</v>
      </c>
      <c r="F9" s="57">
        <v>4</v>
      </c>
      <c r="G9" s="56" t="s">
        <v>55</v>
      </c>
      <c r="H9" s="57">
        <v>0</v>
      </c>
      <c r="I9" s="56" t="s">
        <v>54</v>
      </c>
      <c r="J9" s="57">
        <v>4</v>
      </c>
      <c r="K9" s="56" t="s">
        <v>54</v>
      </c>
      <c r="L9" s="57">
        <v>4</v>
      </c>
      <c r="M9" s="56" t="s">
        <v>54</v>
      </c>
      <c r="N9" s="57">
        <v>4</v>
      </c>
      <c r="O9" s="56" t="s">
        <v>55</v>
      </c>
      <c r="P9" s="57">
        <v>0</v>
      </c>
      <c r="Q9" s="58"/>
      <c r="R9" s="59"/>
      <c r="S9" s="58" t="s">
        <v>55</v>
      </c>
      <c r="T9" s="57">
        <v>0</v>
      </c>
      <c r="U9" s="56" t="s">
        <v>54</v>
      </c>
      <c r="V9" s="57">
        <v>4</v>
      </c>
      <c r="W9" s="56" t="s">
        <v>54</v>
      </c>
      <c r="X9" s="57">
        <v>4</v>
      </c>
      <c r="Y9" s="56" t="s">
        <v>54</v>
      </c>
      <c r="Z9" s="57">
        <v>4</v>
      </c>
      <c r="AA9" s="56" t="s">
        <v>54</v>
      </c>
      <c r="AB9" s="57">
        <v>3</v>
      </c>
      <c r="AD9" s="55" t="str">
        <f t="shared" si="0"/>
        <v>Roisin Offenhausen</v>
      </c>
      <c r="AE9" s="60">
        <f t="shared" si="1"/>
        <v>8</v>
      </c>
      <c r="AF9" s="60">
        <f t="shared" si="2"/>
        <v>11</v>
      </c>
      <c r="AG9" s="61">
        <f t="shared" si="3"/>
        <v>0.72727272727272729</v>
      </c>
      <c r="AH9" s="62">
        <f t="shared" si="4"/>
        <v>2.8181818181818183</v>
      </c>
      <c r="AI9" s="61">
        <f t="shared" si="5"/>
        <v>0.75151515151515158</v>
      </c>
      <c r="AJ9" s="63">
        <f t="shared" si="6"/>
        <v>0.74181818181818193</v>
      </c>
      <c r="AK9" s="64">
        <f t="shared" si="7"/>
        <v>3.875</v>
      </c>
      <c r="AN9" s="68" t="str">
        <f t="shared" si="8"/>
        <v>Roisin Offenhausen</v>
      </c>
      <c r="AO9" s="67" t="s">
        <v>66</v>
      </c>
      <c r="AP9" s="67" t="s">
        <v>67</v>
      </c>
    </row>
    <row r="10" spans="2:42" ht="15.75" customHeight="1" x14ac:dyDescent="0.45">
      <c r="B10" s="490"/>
      <c r="C10" s="54">
        <v>6</v>
      </c>
      <c r="D10" s="55" t="s">
        <v>68</v>
      </c>
      <c r="E10" s="56" t="s">
        <v>54</v>
      </c>
      <c r="F10" s="57">
        <v>3</v>
      </c>
      <c r="G10" s="56" t="s">
        <v>55</v>
      </c>
      <c r="H10" s="57">
        <v>0</v>
      </c>
      <c r="I10" s="56" t="s">
        <v>54</v>
      </c>
      <c r="J10" s="57">
        <v>3</v>
      </c>
      <c r="K10" s="56" t="s">
        <v>54</v>
      </c>
      <c r="L10" s="57">
        <v>4</v>
      </c>
      <c r="M10" s="56" t="s">
        <v>55</v>
      </c>
      <c r="N10" s="57">
        <v>0</v>
      </c>
      <c r="O10" s="56" t="s">
        <v>55</v>
      </c>
      <c r="P10" s="57">
        <v>0</v>
      </c>
      <c r="Q10" s="58"/>
      <c r="R10" s="59"/>
      <c r="S10" s="58" t="s">
        <v>54</v>
      </c>
      <c r="T10" s="57">
        <v>4</v>
      </c>
      <c r="U10" s="56" t="s">
        <v>54</v>
      </c>
      <c r="V10" s="57">
        <v>3</v>
      </c>
      <c r="W10" s="56" t="s">
        <v>55</v>
      </c>
      <c r="X10" s="57">
        <v>0</v>
      </c>
      <c r="Y10" s="56" t="s">
        <v>54</v>
      </c>
      <c r="Z10" s="57">
        <v>4</v>
      </c>
      <c r="AA10" s="56" t="s">
        <v>54</v>
      </c>
      <c r="AB10" s="57">
        <v>3</v>
      </c>
      <c r="AD10" s="55" t="str">
        <f t="shared" si="0"/>
        <v>Naomi Adewoyin</v>
      </c>
      <c r="AE10" s="60">
        <f t="shared" si="1"/>
        <v>7</v>
      </c>
      <c r="AF10" s="60">
        <f t="shared" si="2"/>
        <v>11</v>
      </c>
      <c r="AG10" s="61">
        <f t="shared" si="3"/>
        <v>0.63636363636363635</v>
      </c>
      <c r="AH10" s="62">
        <f t="shared" si="4"/>
        <v>2.1818181818181817</v>
      </c>
      <c r="AI10" s="61">
        <f t="shared" si="5"/>
        <v>0.58181818181818179</v>
      </c>
      <c r="AJ10" s="63">
        <f t="shared" si="6"/>
        <v>0.60363636363636364</v>
      </c>
      <c r="AK10" s="64">
        <f t="shared" si="7"/>
        <v>3.4285714285714284</v>
      </c>
      <c r="AN10" s="68" t="str">
        <f t="shared" si="8"/>
        <v>Naomi Adewoyin</v>
      </c>
      <c r="AO10" s="67" t="s">
        <v>478</v>
      </c>
      <c r="AP10" s="67" t="s">
        <v>69</v>
      </c>
    </row>
    <row r="11" spans="2:42" ht="15.75" customHeight="1" x14ac:dyDescent="0.45">
      <c r="B11" s="490"/>
      <c r="C11" s="54">
        <v>7</v>
      </c>
      <c r="D11" s="55" t="s">
        <v>70</v>
      </c>
      <c r="E11" s="56" t="s">
        <v>55</v>
      </c>
      <c r="F11" s="57">
        <v>0</v>
      </c>
      <c r="G11" s="56" t="s">
        <v>55</v>
      </c>
      <c r="H11" s="57">
        <v>0</v>
      </c>
      <c r="I11" s="56" t="s">
        <v>54</v>
      </c>
      <c r="J11" s="57">
        <v>2</v>
      </c>
      <c r="K11" s="56" t="s">
        <v>54</v>
      </c>
      <c r="L11" s="57">
        <v>3</v>
      </c>
      <c r="M11" s="56" t="s">
        <v>54</v>
      </c>
      <c r="N11" s="57">
        <v>4</v>
      </c>
      <c r="O11" s="56" t="s">
        <v>54</v>
      </c>
      <c r="P11" s="57">
        <v>4</v>
      </c>
      <c r="Q11" s="58"/>
      <c r="R11" s="59"/>
      <c r="S11" s="58" t="s">
        <v>55</v>
      </c>
      <c r="T11" s="57">
        <v>0</v>
      </c>
      <c r="U11" s="56" t="s">
        <v>55</v>
      </c>
      <c r="V11" s="57">
        <v>0</v>
      </c>
      <c r="W11" s="56" t="s">
        <v>54</v>
      </c>
      <c r="X11" s="57">
        <v>2</v>
      </c>
      <c r="Y11" s="56" t="s">
        <v>54</v>
      </c>
      <c r="Z11" s="57">
        <v>3</v>
      </c>
      <c r="AA11" s="56" t="s">
        <v>54</v>
      </c>
      <c r="AB11" s="57">
        <v>3</v>
      </c>
      <c r="AD11" s="55" t="str">
        <f t="shared" si="0"/>
        <v>Amber Kilalee</v>
      </c>
      <c r="AE11" s="60">
        <f t="shared" si="1"/>
        <v>7</v>
      </c>
      <c r="AF11" s="60">
        <f t="shared" si="2"/>
        <v>11</v>
      </c>
      <c r="AG11" s="61">
        <f t="shared" si="3"/>
        <v>0.63636363636363635</v>
      </c>
      <c r="AH11" s="62">
        <f t="shared" si="4"/>
        <v>1.9090909090909092</v>
      </c>
      <c r="AI11" s="61">
        <f t="shared" si="5"/>
        <v>0.50909090909090904</v>
      </c>
      <c r="AJ11" s="63">
        <f t="shared" si="6"/>
        <v>0.56000000000000005</v>
      </c>
      <c r="AK11" s="64">
        <f t="shared" si="7"/>
        <v>3</v>
      </c>
      <c r="AN11" s="68" t="str">
        <f t="shared" si="8"/>
        <v>Amber Kilalee</v>
      </c>
      <c r="AO11" s="67" t="s">
        <v>479</v>
      </c>
      <c r="AP11" s="67" t="s">
        <v>71</v>
      </c>
    </row>
    <row r="12" spans="2:42" ht="15.75" customHeight="1" x14ac:dyDescent="0.45">
      <c r="B12" s="490"/>
      <c r="C12" s="54">
        <v>8</v>
      </c>
      <c r="D12" s="55" t="s">
        <v>72</v>
      </c>
      <c r="E12" s="56" t="s">
        <v>54</v>
      </c>
      <c r="F12" s="57">
        <v>2</v>
      </c>
      <c r="G12" s="56" t="s">
        <v>54</v>
      </c>
      <c r="H12" s="57">
        <v>2</v>
      </c>
      <c r="I12" s="56" t="s">
        <v>54</v>
      </c>
      <c r="J12" s="57">
        <v>2</v>
      </c>
      <c r="K12" s="56" t="s">
        <v>54</v>
      </c>
      <c r="L12" s="57">
        <v>2</v>
      </c>
      <c r="M12" s="56" t="s">
        <v>55</v>
      </c>
      <c r="N12" s="57">
        <v>0</v>
      </c>
      <c r="O12" s="56" t="s">
        <v>55</v>
      </c>
      <c r="P12" s="57">
        <v>0</v>
      </c>
      <c r="Q12" s="58"/>
      <c r="R12" s="59"/>
      <c r="S12" s="58" t="s">
        <v>54</v>
      </c>
      <c r="T12" s="57">
        <v>4</v>
      </c>
      <c r="U12" s="56" t="s">
        <v>54</v>
      </c>
      <c r="V12" s="57">
        <v>3</v>
      </c>
      <c r="W12" s="56" t="s">
        <v>54</v>
      </c>
      <c r="X12" s="57">
        <v>2</v>
      </c>
      <c r="Y12" s="56" t="s">
        <v>54</v>
      </c>
      <c r="Z12" s="57">
        <v>1</v>
      </c>
      <c r="AA12" s="56" t="s">
        <v>54</v>
      </c>
      <c r="AB12" s="57">
        <v>2</v>
      </c>
      <c r="AD12" s="55" t="str">
        <f t="shared" si="0"/>
        <v>Shauna Kavanagh</v>
      </c>
      <c r="AE12" s="60">
        <f t="shared" si="1"/>
        <v>9</v>
      </c>
      <c r="AF12" s="60">
        <f t="shared" si="2"/>
        <v>11</v>
      </c>
      <c r="AG12" s="61">
        <f t="shared" si="3"/>
        <v>0.81818181818181823</v>
      </c>
      <c r="AH12" s="62">
        <f t="shared" si="4"/>
        <v>1.8181818181818181</v>
      </c>
      <c r="AI12" s="61">
        <f t="shared" si="5"/>
        <v>0.44444444444444448</v>
      </c>
      <c r="AJ12" s="63">
        <f t="shared" si="6"/>
        <v>0.59393939393939399</v>
      </c>
      <c r="AK12" s="64">
        <f t="shared" si="7"/>
        <v>2.2222222222222223</v>
      </c>
      <c r="AN12" s="68" t="str">
        <f t="shared" si="8"/>
        <v>Shauna Kavanagh</v>
      </c>
      <c r="AO12" s="67" t="s">
        <v>73</v>
      </c>
      <c r="AP12" s="67" t="s">
        <v>71</v>
      </c>
    </row>
    <row r="13" spans="2:42" ht="15.75" customHeight="1" x14ac:dyDescent="0.45">
      <c r="B13" s="490"/>
      <c r="C13" s="54">
        <v>9</v>
      </c>
      <c r="D13" s="55" t="s">
        <v>74</v>
      </c>
      <c r="E13" s="56" t="s">
        <v>54</v>
      </c>
      <c r="F13" s="57">
        <v>3</v>
      </c>
      <c r="G13" s="56" t="s">
        <v>54</v>
      </c>
      <c r="H13" s="57">
        <v>3</v>
      </c>
      <c r="I13" s="56" t="s">
        <v>54</v>
      </c>
      <c r="J13" s="57">
        <v>4</v>
      </c>
      <c r="K13" s="56" t="s">
        <v>55</v>
      </c>
      <c r="L13" s="57">
        <v>0</v>
      </c>
      <c r="M13" s="56" t="s">
        <v>55</v>
      </c>
      <c r="N13" s="57">
        <v>0</v>
      </c>
      <c r="O13" s="56" t="s">
        <v>55</v>
      </c>
      <c r="P13" s="57">
        <v>0</v>
      </c>
      <c r="Q13" s="58"/>
      <c r="R13" s="59"/>
      <c r="S13" s="58" t="s">
        <v>55</v>
      </c>
      <c r="T13" s="57">
        <v>0</v>
      </c>
      <c r="U13" s="56" t="s">
        <v>55</v>
      </c>
      <c r="V13" s="57">
        <v>0</v>
      </c>
      <c r="W13" s="56" t="s">
        <v>55</v>
      </c>
      <c r="X13" s="57">
        <v>0</v>
      </c>
      <c r="Y13" s="56" t="s">
        <v>55</v>
      </c>
      <c r="Z13" s="57">
        <v>0</v>
      </c>
      <c r="AA13" s="56" t="s">
        <v>54</v>
      </c>
      <c r="AB13" s="57">
        <v>3</v>
      </c>
      <c r="AD13" s="55" t="str">
        <f t="shared" si="0"/>
        <v>Tara Brannigan</v>
      </c>
      <c r="AE13" s="60">
        <f t="shared" si="1"/>
        <v>4</v>
      </c>
      <c r="AF13" s="60">
        <f t="shared" si="2"/>
        <v>11</v>
      </c>
      <c r="AG13" s="61">
        <f t="shared" si="3"/>
        <v>0.36363636363636365</v>
      </c>
      <c r="AH13" s="62">
        <f t="shared" si="4"/>
        <v>1.1818181818181819</v>
      </c>
      <c r="AI13" s="61">
        <f t="shared" si="5"/>
        <v>0.31515151515151518</v>
      </c>
      <c r="AJ13" s="63">
        <f t="shared" si="6"/>
        <v>0.33454545454545459</v>
      </c>
      <c r="AK13" s="64">
        <f t="shared" si="7"/>
        <v>3.25</v>
      </c>
      <c r="AN13" s="68" t="str">
        <f t="shared" si="8"/>
        <v>Tara Brannigan</v>
      </c>
      <c r="AO13" s="67" t="s">
        <v>480</v>
      </c>
      <c r="AP13" s="67" t="s">
        <v>75</v>
      </c>
    </row>
    <row r="14" spans="2:42" ht="28.5" customHeight="1" x14ac:dyDescent="0.45">
      <c r="B14" s="490"/>
      <c r="C14" s="54">
        <v>10</v>
      </c>
      <c r="D14" s="55" t="s">
        <v>76</v>
      </c>
      <c r="E14" s="56" t="s">
        <v>55</v>
      </c>
      <c r="F14" s="57">
        <v>0</v>
      </c>
      <c r="G14" s="56" t="s">
        <v>54</v>
      </c>
      <c r="H14" s="57">
        <v>3</v>
      </c>
      <c r="I14" s="56" t="s">
        <v>55</v>
      </c>
      <c r="J14" s="57">
        <v>0</v>
      </c>
      <c r="K14" s="56" t="s">
        <v>55</v>
      </c>
      <c r="L14" s="57">
        <v>0</v>
      </c>
      <c r="M14" s="56" t="s">
        <v>55</v>
      </c>
      <c r="N14" s="57">
        <v>0</v>
      </c>
      <c r="O14" s="56" t="s">
        <v>54</v>
      </c>
      <c r="P14" s="57">
        <v>4</v>
      </c>
      <c r="Q14" s="58"/>
      <c r="R14" s="59"/>
      <c r="S14" s="58" t="s">
        <v>54</v>
      </c>
      <c r="T14" s="57">
        <v>4</v>
      </c>
      <c r="U14" s="56" t="s">
        <v>54</v>
      </c>
      <c r="V14" s="57">
        <v>4</v>
      </c>
      <c r="W14" s="56" t="s">
        <v>54</v>
      </c>
      <c r="X14" s="57">
        <v>4</v>
      </c>
      <c r="Y14" s="56" t="s">
        <v>54</v>
      </c>
      <c r="Z14" s="57">
        <v>3</v>
      </c>
      <c r="AA14" s="56" t="s">
        <v>54</v>
      </c>
      <c r="AB14" s="57">
        <v>3</v>
      </c>
      <c r="AD14" s="55" t="str">
        <f t="shared" si="0"/>
        <v>Semilore Adesanya</v>
      </c>
      <c r="AE14" s="60">
        <f t="shared" si="1"/>
        <v>7</v>
      </c>
      <c r="AF14" s="60">
        <f t="shared" si="2"/>
        <v>11</v>
      </c>
      <c r="AG14" s="61">
        <f t="shared" si="3"/>
        <v>0.63636363636363635</v>
      </c>
      <c r="AH14" s="62">
        <f t="shared" si="4"/>
        <v>2.2727272727272729</v>
      </c>
      <c r="AI14" s="61">
        <f t="shared" si="5"/>
        <v>0.60606060606060608</v>
      </c>
      <c r="AJ14" s="63">
        <f t="shared" si="6"/>
        <v>0.61818181818181817</v>
      </c>
      <c r="AK14" s="64">
        <f t="shared" si="7"/>
        <v>3.5714285714285716</v>
      </c>
      <c r="AN14" s="68" t="str">
        <f t="shared" si="8"/>
        <v>Semilore Adesanya</v>
      </c>
      <c r="AO14" s="67" t="s">
        <v>77</v>
      </c>
      <c r="AP14" s="67" t="s">
        <v>78</v>
      </c>
    </row>
    <row r="15" spans="2:42" ht="15.75" customHeight="1" x14ac:dyDescent="0.45">
      <c r="B15" s="490"/>
      <c r="C15" s="54">
        <v>11</v>
      </c>
      <c r="D15" s="55" t="s">
        <v>79</v>
      </c>
      <c r="E15" s="56" t="s">
        <v>55</v>
      </c>
      <c r="F15" s="57">
        <v>0</v>
      </c>
      <c r="G15" s="56" t="s">
        <v>54</v>
      </c>
      <c r="H15" s="57">
        <v>3</v>
      </c>
      <c r="I15" s="56" t="s">
        <v>54</v>
      </c>
      <c r="J15" s="57">
        <v>3</v>
      </c>
      <c r="K15" s="56" t="s">
        <v>54</v>
      </c>
      <c r="L15" s="57">
        <v>3</v>
      </c>
      <c r="M15" s="56" t="s">
        <v>55</v>
      </c>
      <c r="N15" s="57">
        <v>0</v>
      </c>
      <c r="O15" s="56" t="s">
        <v>55</v>
      </c>
      <c r="P15" s="57">
        <v>0</v>
      </c>
      <c r="Q15" s="58"/>
      <c r="R15" s="59"/>
      <c r="S15" s="58" t="s">
        <v>54</v>
      </c>
      <c r="T15" s="57">
        <v>4</v>
      </c>
      <c r="U15" s="56" t="s">
        <v>54</v>
      </c>
      <c r="V15" s="57">
        <v>3</v>
      </c>
      <c r="W15" s="56" t="s">
        <v>54</v>
      </c>
      <c r="X15" s="57">
        <v>4</v>
      </c>
      <c r="Y15" s="56" t="s">
        <v>54</v>
      </c>
      <c r="Z15" s="57">
        <v>3</v>
      </c>
      <c r="AA15" s="56" t="s">
        <v>54</v>
      </c>
      <c r="AB15" s="57">
        <v>3</v>
      </c>
      <c r="AD15" s="55" t="str">
        <f t="shared" si="0"/>
        <v>Hannah Fleming</v>
      </c>
      <c r="AE15" s="60">
        <f t="shared" si="1"/>
        <v>8</v>
      </c>
      <c r="AF15" s="60">
        <f t="shared" si="2"/>
        <v>11</v>
      </c>
      <c r="AG15" s="61">
        <f t="shared" si="3"/>
        <v>0.72727272727272729</v>
      </c>
      <c r="AH15" s="62">
        <f t="shared" si="4"/>
        <v>2.3636363636363638</v>
      </c>
      <c r="AI15" s="61">
        <f t="shared" si="5"/>
        <v>0.63030303030303036</v>
      </c>
      <c r="AJ15" s="63">
        <f t="shared" si="6"/>
        <v>0.66909090909090918</v>
      </c>
      <c r="AK15" s="64">
        <f t="shared" si="7"/>
        <v>3.25</v>
      </c>
      <c r="AN15" s="68" t="str">
        <f t="shared" si="8"/>
        <v>Hannah Fleming</v>
      </c>
      <c r="AO15" s="67" t="s">
        <v>80</v>
      </c>
      <c r="AP15" s="67" t="s">
        <v>481</v>
      </c>
    </row>
    <row r="16" spans="2:42" ht="28.5" customHeight="1" x14ac:dyDescent="0.45">
      <c r="B16" s="490"/>
      <c r="C16" s="54">
        <v>12</v>
      </c>
      <c r="D16" s="55" t="s">
        <v>81</v>
      </c>
      <c r="E16" s="56" t="s">
        <v>55</v>
      </c>
      <c r="F16" s="57">
        <v>0</v>
      </c>
      <c r="G16" s="56" t="s">
        <v>54</v>
      </c>
      <c r="H16" s="57">
        <v>3</v>
      </c>
      <c r="I16" s="56" t="s">
        <v>55</v>
      </c>
      <c r="J16" s="57">
        <v>0</v>
      </c>
      <c r="K16" s="56" t="s">
        <v>54</v>
      </c>
      <c r="L16" s="57">
        <v>2</v>
      </c>
      <c r="M16" s="56" t="s">
        <v>55</v>
      </c>
      <c r="N16" s="57">
        <v>0</v>
      </c>
      <c r="O16" s="56" t="s">
        <v>54</v>
      </c>
      <c r="P16" s="57">
        <v>3</v>
      </c>
      <c r="Q16" s="58"/>
      <c r="R16" s="59"/>
      <c r="S16" s="58" t="s">
        <v>54</v>
      </c>
      <c r="T16" s="57">
        <v>4</v>
      </c>
      <c r="U16" s="56" t="s">
        <v>54</v>
      </c>
      <c r="V16" s="57">
        <v>4</v>
      </c>
      <c r="W16" s="56" t="s">
        <v>54</v>
      </c>
      <c r="X16" s="57">
        <v>4</v>
      </c>
      <c r="Y16" s="56" t="s">
        <v>55</v>
      </c>
      <c r="Z16" s="57">
        <v>0</v>
      </c>
      <c r="AA16" s="56" t="s">
        <v>54</v>
      </c>
      <c r="AB16" s="57">
        <v>3</v>
      </c>
      <c r="AD16" s="55" t="str">
        <f t="shared" si="0"/>
        <v>Emma Kelly</v>
      </c>
      <c r="AE16" s="60">
        <f t="shared" si="1"/>
        <v>7</v>
      </c>
      <c r="AF16" s="60">
        <f t="shared" si="2"/>
        <v>11</v>
      </c>
      <c r="AG16" s="61">
        <f t="shared" si="3"/>
        <v>0.63636363636363635</v>
      </c>
      <c r="AH16" s="62">
        <f t="shared" si="4"/>
        <v>2.0909090909090908</v>
      </c>
      <c r="AI16" s="61">
        <f t="shared" si="5"/>
        <v>0.55757575757575761</v>
      </c>
      <c r="AJ16" s="63">
        <f t="shared" si="6"/>
        <v>0.58909090909090911</v>
      </c>
      <c r="AK16" s="64">
        <f t="shared" si="7"/>
        <v>3.2857142857142856</v>
      </c>
      <c r="AN16" s="68" t="str">
        <f t="shared" si="8"/>
        <v>Emma Kelly</v>
      </c>
      <c r="AO16" s="67" t="s">
        <v>82</v>
      </c>
      <c r="AP16" s="67" t="s">
        <v>83</v>
      </c>
    </row>
    <row r="17" spans="2:42" ht="15.75" customHeight="1" x14ac:dyDescent="0.45">
      <c r="B17" s="490"/>
      <c r="C17" s="54">
        <v>13</v>
      </c>
      <c r="D17" s="55" t="s">
        <v>84</v>
      </c>
      <c r="E17" s="56" t="s">
        <v>55</v>
      </c>
      <c r="F17" s="57">
        <v>0</v>
      </c>
      <c r="G17" s="56" t="s">
        <v>55</v>
      </c>
      <c r="H17" s="57">
        <v>0</v>
      </c>
      <c r="I17" s="56" t="s">
        <v>54</v>
      </c>
      <c r="J17" s="57">
        <v>3</v>
      </c>
      <c r="K17" s="56" t="s">
        <v>54</v>
      </c>
      <c r="L17" s="57">
        <v>3</v>
      </c>
      <c r="M17" s="56" t="s">
        <v>54</v>
      </c>
      <c r="N17" s="57">
        <v>3</v>
      </c>
      <c r="O17" s="56" t="s">
        <v>55</v>
      </c>
      <c r="P17" s="57">
        <v>0</v>
      </c>
      <c r="Q17" s="58"/>
      <c r="R17" s="59"/>
      <c r="S17" s="58" t="s">
        <v>54</v>
      </c>
      <c r="T17" s="57">
        <v>4</v>
      </c>
      <c r="U17" s="56" t="s">
        <v>55</v>
      </c>
      <c r="V17" s="57">
        <v>0</v>
      </c>
      <c r="W17" s="56" t="s">
        <v>54</v>
      </c>
      <c r="X17" s="57">
        <v>4</v>
      </c>
      <c r="Y17" s="56" t="s">
        <v>54</v>
      </c>
      <c r="Z17" s="57">
        <v>3</v>
      </c>
      <c r="AA17" s="56" t="s">
        <v>54</v>
      </c>
      <c r="AB17" s="57">
        <v>3</v>
      </c>
      <c r="AD17" s="55" t="str">
        <f t="shared" si="0"/>
        <v>Roma Memon</v>
      </c>
      <c r="AE17" s="60">
        <f t="shared" si="1"/>
        <v>7</v>
      </c>
      <c r="AF17" s="60">
        <f t="shared" si="2"/>
        <v>11</v>
      </c>
      <c r="AG17" s="61">
        <f t="shared" si="3"/>
        <v>0.63636363636363635</v>
      </c>
      <c r="AH17" s="62">
        <f t="shared" si="4"/>
        <v>2.0909090909090908</v>
      </c>
      <c r="AI17" s="61">
        <f t="shared" si="5"/>
        <v>0.55757575757575761</v>
      </c>
      <c r="AJ17" s="63">
        <f t="shared" si="6"/>
        <v>0.58909090909090911</v>
      </c>
      <c r="AK17" s="64">
        <f t="shared" si="7"/>
        <v>3.2857142857142856</v>
      </c>
      <c r="AN17" s="68" t="str">
        <f t="shared" si="8"/>
        <v>Roma Memon</v>
      </c>
      <c r="AO17" s="67" t="s">
        <v>85</v>
      </c>
      <c r="AP17" s="67" t="s">
        <v>86</v>
      </c>
    </row>
    <row r="18" spans="2:42" ht="15.75" customHeight="1" x14ac:dyDescent="0.45">
      <c r="B18" s="490"/>
      <c r="C18" s="54">
        <v>14</v>
      </c>
      <c r="D18" s="55" t="s">
        <v>87</v>
      </c>
      <c r="E18" s="56" t="s">
        <v>54</v>
      </c>
      <c r="F18" s="57">
        <v>4</v>
      </c>
      <c r="G18" s="56" t="s">
        <v>54</v>
      </c>
      <c r="H18" s="57">
        <v>4</v>
      </c>
      <c r="I18" s="56" t="s">
        <v>54</v>
      </c>
      <c r="J18" s="57">
        <v>4</v>
      </c>
      <c r="K18" s="56" t="s">
        <v>54</v>
      </c>
      <c r="L18" s="57">
        <v>2</v>
      </c>
      <c r="M18" s="56" t="s">
        <v>55</v>
      </c>
      <c r="N18" s="57">
        <v>0</v>
      </c>
      <c r="O18" s="56" t="s">
        <v>55</v>
      </c>
      <c r="P18" s="57">
        <v>0</v>
      </c>
      <c r="Q18" s="58"/>
      <c r="R18" s="59"/>
      <c r="S18" s="58" t="s">
        <v>54</v>
      </c>
      <c r="T18" s="57">
        <v>4</v>
      </c>
      <c r="U18" s="56" t="s">
        <v>54</v>
      </c>
      <c r="V18" s="57">
        <v>3</v>
      </c>
      <c r="W18" s="56" t="s">
        <v>55</v>
      </c>
      <c r="X18" s="57">
        <v>0</v>
      </c>
      <c r="Y18" s="56" t="s">
        <v>55</v>
      </c>
      <c r="Z18" s="57">
        <v>0</v>
      </c>
      <c r="AA18" s="56" t="s">
        <v>55</v>
      </c>
      <c r="AB18" s="57">
        <v>0</v>
      </c>
      <c r="AD18" s="55" t="str">
        <f t="shared" si="0"/>
        <v>Emma Dromgoole</v>
      </c>
      <c r="AE18" s="60">
        <f t="shared" si="1"/>
        <v>6</v>
      </c>
      <c r="AF18" s="60">
        <f t="shared" si="2"/>
        <v>11</v>
      </c>
      <c r="AG18" s="61">
        <f t="shared" si="3"/>
        <v>0.54545454545454541</v>
      </c>
      <c r="AH18" s="62">
        <f t="shared" si="4"/>
        <v>1.9090909090909092</v>
      </c>
      <c r="AI18" s="61">
        <f t="shared" si="5"/>
        <v>0.50909090909090904</v>
      </c>
      <c r="AJ18" s="63">
        <f t="shared" si="6"/>
        <v>0.52363636363636357</v>
      </c>
      <c r="AK18" s="64">
        <f t="shared" si="7"/>
        <v>3.5</v>
      </c>
      <c r="AN18" s="68" t="str">
        <f t="shared" si="8"/>
        <v>Emma Dromgoole</v>
      </c>
      <c r="AO18" s="67" t="s">
        <v>88</v>
      </c>
      <c r="AP18" s="67" t="s">
        <v>89</v>
      </c>
    </row>
    <row r="19" spans="2:42" ht="15.75" customHeight="1" x14ac:dyDescent="0.45">
      <c r="B19" s="490"/>
      <c r="C19" s="54">
        <v>15</v>
      </c>
      <c r="D19" s="55" t="s">
        <v>90</v>
      </c>
      <c r="E19" s="56" t="s">
        <v>55</v>
      </c>
      <c r="F19" s="57">
        <v>0</v>
      </c>
      <c r="G19" s="56" t="s">
        <v>54</v>
      </c>
      <c r="H19" s="57">
        <v>4</v>
      </c>
      <c r="I19" s="56" t="s">
        <v>54</v>
      </c>
      <c r="J19" s="57">
        <v>4</v>
      </c>
      <c r="K19" s="56" t="s">
        <v>54</v>
      </c>
      <c r="L19" s="57">
        <v>2</v>
      </c>
      <c r="M19" s="56" t="s">
        <v>54</v>
      </c>
      <c r="N19" s="57">
        <v>3</v>
      </c>
      <c r="O19" s="56" t="s">
        <v>54</v>
      </c>
      <c r="P19" s="57">
        <v>3</v>
      </c>
      <c r="Q19" s="58"/>
      <c r="R19" s="59"/>
      <c r="S19" s="58" t="s">
        <v>54</v>
      </c>
      <c r="T19" s="57">
        <v>4</v>
      </c>
      <c r="U19" s="56" t="s">
        <v>54</v>
      </c>
      <c r="V19" s="57">
        <v>4</v>
      </c>
      <c r="W19" s="56" t="s">
        <v>54</v>
      </c>
      <c r="X19" s="57">
        <v>3</v>
      </c>
      <c r="Y19" s="56" t="s">
        <v>54</v>
      </c>
      <c r="Z19" s="57">
        <v>2</v>
      </c>
      <c r="AA19" s="56" t="s">
        <v>55</v>
      </c>
      <c r="AB19" s="57">
        <v>0</v>
      </c>
      <c r="AD19" s="55" t="str">
        <f t="shared" si="0"/>
        <v>Elsie Morrison</v>
      </c>
      <c r="AE19" s="60">
        <f t="shared" si="1"/>
        <v>9</v>
      </c>
      <c r="AF19" s="60">
        <f t="shared" si="2"/>
        <v>11</v>
      </c>
      <c r="AG19" s="61">
        <f t="shared" si="3"/>
        <v>0.81818181818181823</v>
      </c>
      <c r="AH19" s="62">
        <f t="shared" si="4"/>
        <v>2.6363636363636362</v>
      </c>
      <c r="AI19" s="61">
        <f t="shared" si="5"/>
        <v>0.64444444444444449</v>
      </c>
      <c r="AJ19" s="63">
        <f t="shared" si="6"/>
        <v>0.71393939393939398</v>
      </c>
      <c r="AK19" s="64">
        <f t="shared" si="7"/>
        <v>3.2222222222222223</v>
      </c>
      <c r="AN19" s="68" t="str">
        <f t="shared" si="8"/>
        <v>Elsie Morrison</v>
      </c>
      <c r="AO19" s="67" t="s">
        <v>91</v>
      </c>
      <c r="AP19" s="67" t="s">
        <v>92</v>
      </c>
    </row>
    <row r="20" spans="2:42" x14ac:dyDescent="0.45">
      <c r="B20" s="483" t="s">
        <v>93</v>
      </c>
      <c r="C20" s="54">
        <v>16</v>
      </c>
      <c r="D20" s="69" t="s">
        <v>94</v>
      </c>
      <c r="E20" s="56" t="s">
        <v>55</v>
      </c>
      <c r="F20" s="57">
        <v>0</v>
      </c>
      <c r="G20" s="56" t="s">
        <v>55</v>
      </c>
      <c r="H20" s="57">
        <v>0</v>
      </c>
      <c r="I20" s="56" t="s">
        <v>55</v>
      </c>
      <c r="J20" s="57">
        <v>0</v>
      </c>
      <c r="K20" s="56" t="s">
        <v>55</v>
      </c>
      <c r="L20" s="57">
        <v>0</v>
      </c>
      <c r="M20" s="56" t="s">
        <v>55</v>
      </c>
      <c r="N20" s="57">
        <v>0</v>
      </c>
      <c r="O20" s="56" t="s">
        <v>55</v>
      </c>
      <c r="P20" s="57">
        <v>0</v>
      </c>
      <c r="Q20" s="58"/>
      <c r="R20" s="59"/>
      <c r="S20" s="58" t="s">
        <v>54</v>
      </c>
      <c r="T20" s="57">
        <v>4</v>
      </c>
      <c r="U20" s="56" t="s">
        <v>55</v>
      </c>
      <c r="V20" s="57">
        <v>0</v>
      </c>
      <c r="W20" s="56" t="s">
        <v>54</v>
      </c>
      <c r="X20" s="57">
        <v>3</v>
      </c>
      <c r="Y20" s="56" t="s">
        <v>55</v>
      </c>
      <c r="Z20" s="57">
        <v>0</v>
      </c>
      <c r="AA20" s="56" t="s">
        <v>54</v>
      </c>
      <c r="AB20" s="57">
        <v>3</v>
      </c>
      <c r="AD20" s="69" t="str">
        <f t="shared" si="0"/>
        <v>Zara Freeman</v>
      </c>
      <c r="AE20" s="60">
        <f t="shared" si="1"/>
        <v>3</v>
      </c>
      <c r="AF20" s="60">
        <f t="shared" si="2"/>
        <v>11</v>
      </c>
      <c r="AG20" s="61">
        <f t="shared" si="3"/>
        <v>0.27272727272727271</v>
      </c>
      <c r="AH20" s="62">
        <f t="shared" si="4"/>
        <v>0.90909090909090906</v>
      </c>
      <c r="AI20" s="61">
        <f t="shared" si="5"/>
        <v>0.24242424242424243</v>
      </c>
      <c r="AJ20" s="63">
        <f t="shared" si="6"/>
        <v>0.25454545454545452</v>
      </c>
      <c r="AK20" s="64">
        <f t="shared" si="7"/>
        <v>3.3333333333333335</v>
      </c>
      <c r="AN20" s="68" t="str">
        <f t="shared" si="8"/>
        <v>Zara Freeman</v>
      </c>
      <c r="AO20" s="67" t="s">
        <v>95</v>
      </c>
      <c r="AP20" s="67" t="s">
        <v>96</v>
      </c>
    </row>
    <row r="21" spans="2:42" ht="15.75" customHeight="1" x14ac:dyDescent="0.45">
      <c r="B21" s="483"/>
      <c r="C21" s="54">
        <v>17</v>
      </c>
      <c r="D21" s="70" t="s">
        <v>501</v>
      </c>
      <c r="E21" s="56" t="s">
        <v>55</v>
      </c>
      <c r="F21" s="57">
        <v>0</v>
      </c>
      <c r="G21" s="56" t="s">
        <v>55</v>
      </c>
      <c r="H21" s="57">
        <v>0</v>
      </c>
      <c r="I21" s="56" t="s">
        <v>55</v>
      </c>
      <c r="J21" s="57">
        <v>0</v>
      </c>
      <c r="K21" s="56" t="s">
        <v>55</v>
      </c>
      <c r="L21" s="57">
        <v>0</v>
      </c>
      <c r="M21" s="56" t="s">
        <v>55</v>
      </c>
      <c r="N21" s="57">
        <v>0</v>
      </c>
      <c r="O21" s="56" t="s">
        <v>55</v>
      </c>
      <c r="P21" s="57">
        <v>0</v>
      </c>
      <c r="Q21" s="58"/>
      <c r="R21" s="59"/>
      <c r="S21" s="56" t="s">
        <v>55</v>
      </c>
      <c r="T21" s="57">
        <v>0</v>
      </c>
      <c r="U21" s="56" t="s">
        <v>54</v>
      </c>
      <c r="V21" s="57">
        <v>3</v>
      </c>
      <c r="W21" s="56" t="s">
        <v>54</v>
      </c>
      <c r="X21" s="57">
        <v>3</v>
      </c>
      <c r="Y21" s="56" t="s">
        <v>54</v>
      </c>
      <c r="Z21" s="57">
        <v>3</v>
      </c>
      <c r="AA21" s="56" t="s">
        <v>55</v>
      </c>
      <c r="AB21" s="57">
        <v>0</v>
      </c>
      <c r="AD21" s="70" t="str">
        <f t="shared" si="0"/>
        <v>Mariana Soares</v>
      </c>
      <c r="AE21" s="60">
        <f t="shared" si="1"/>
        <v>3</v>
      </c>
      <c r="AF21" s="60">
        <f t="shared" si="2"/>
        <v>11</v>
      </c>
      <c r="AG21" s="61">
        <f t="shared" si="3"/>
        <v>0.27272727272727271</v>
      </c>
      <c r="AH21" s="62">
        <f t="shared" si="4"/>
        <v>0.81818181818181823</v>
      </c>
      <c r="AI21" s="61">
        <f t="shared" si="5"/>
        <v>0.21818181818181814</v>
      </c>
      <c r="AJ21" s="63">
        <f t="shared" si="6"/>
        <v>0.24</v>
      </c>
      <c r="AK21" s="64">
        <f t="shared" si="7"/>
        <v>3</v>
      </c>
      <c r="AN21" s="68" t="str">
        <f t="shared" si="8"/>
        <v>Mariana Soares</v>
      </c>
      <c r="AO21" s="67" t="s">
        <v>97</v>
      </c>
      <c r="AP21" s="67" t="s">
        <v>98</v>
      </c>
    </row>
    <row r="22" spans="2:42" x14ac:dyDescent="0.45">
      <c r="B22" s="483"/>
      <c r="C22" s="54">
        <v>18</v>
      </c>
      <c r="D22" s="69" t="s">
        <v>500</v>
      </c>
      <c r="E22" s="56"/>
      <c r="F22" s="57"/>
      <c r="G22" s="56"/>
      <c r="H22" s="57"/>
      <c r="I22" s="56"/>
      <c r="J22" s="57"/>
      <c r="K22" s="56"/>
      <c r="L22" s="57"/>
      <c r="M22" s="56"/>
      <c r="N22" s="57"/>
      <c r="O22" s="56"/>
      <c r="P22" s="57"/>
      <c r="Q22" s="58"/>
      <c r="R22" s="59"/>
      <c r="S22" s="58"/>
      <c r="T22" s="57"/>
      <c r="U22" s="56"/>
      <c r="V22" s="57"/>
      <c r="W22" s="56"/>
      <c r="X22" s="57"/>
      <c r="Y22" s="56"/>
      <c r="Z22" s="57"/>
      <c r="AA22" s="56"/>
      <c r="AB22" s="57"/>
      <c r="AD22" s="69" t="str">
        <f t="shared" si="0"/>
        <v>Rama Abuowda</v>
      </c>
      <c r="AE22" s="60">
        <f t="shared" si="1"/>
        <v>0</v>
      </c>
      <c r="AF22" s="60">
        <f t="shared" si="2"/>
        <v>0</v>
      </c>
      <c r="AG22" s="61">
        <f t="shared" si="3"/>
        <v>0</v>
      </c>
      <c r="AH22" s="62" t="str">
        <f t="shared" si="4"/>
        <v/>
      </c>
      <c r="AI22" s="61">
        <f t="shared" si="5"/>
        <v>0</v>
      </c>
      <c r="AJ22" s="63">
        <f t="shared" si="6"/>
        <v>0</v>
      </c>
      <c r="AK22" s="64" t="str">
        <f t="shared" si="7"/>
        <v/>
      </c>
      <c r="AN22" s="68" t="str">
        <f t="shared" si="8"/>
        <v>Rama Abuowda</v>
      </c>
      <c r="AO22" s="67"/>
      <c r="AP22" s="67"/>
    </row>
    <row r="23" spans="2:42" ht="15.75" customHeight="1" x14ac:dyDescent="0.45">
      <c r="B23" s="483"/>
      <c r="C23" s="54">
        <v>19</v>
      </c>
      <c r="D23" s="71"/>
      <c r="E23" s="56"/>
      <c r="F23" s="57"/>
      <c r="G23" s="56"/>
      <c r="H23" s="57"/>
      <c r="I23" s="56"/>
      <c r="J23" s="57"/>
      <c r="K23" s="56"/>
      <c r="L23" s="57"/>
      <c r="M23" s="56"/>
      <c r="N23" s="57"/>
      <c r="O23" s="56"/>
      <c r="P23" s="57"/>
      <c r="Q23" s="58"/>
      <c r="R23" s="59"/>
      <c r="S23" s="58"/>
      <c r="T23" s="57"/>
      <c r="U23" s="56"/>
      <c r="V23" s="57"/>
      <c r="W23" s="56"/>
      <c r="X23" s="57"/>
      <c r="Y23" s="56"/>
      <c r="Z23" s="57"/>
      <c r="AA23" s="56"/>
      <c r="AB23" s="57"/>
      <c r="AD23" s="71" t="str">
        <f t="shared" si="0"/>
        <v/>
      </c>
      <c r="AE23" s="60" t="str">
        <f t="shared" si="1"/>
        <v/>
      </c>
      <c r="AF23" s="60" t="str">
        <f t="shared" si="2"/>
        <v/>
      </c>
      <c r="AG23" s="61" t="str">
        <f t="shared" si="3"/>
        <v/>
      </c>
      <c r="AH23" s="62" t="str">
        <f t="shared" si="4"/>
        <v/>
      </c>
      <c r="AI23" s="61" t="str">
        <f t="shared" si="5"/>
        <v/>
      </c>
      <c r="AJ23" s="63" t="str">
        <f t="shared" si="6"/>
        <v/>
      </c>
      <c r="AK23" s="64" t="str">
        <f t="shared" si="7"/>
        <v/>
      </c>
      <c r="AN23" s="68" t="str">
        <f t="shared" si="8"/>
        <v/>
      </c>
      <c r="AO23" s="67"/>
      <c r="AP23" s="67"/>
    </row>
    <row r="24" spans="2:42" x14ac:dyDescent="0.45">
      <c r="B24" s="483"/>
      <c r="C24" s="54">
        <v>20</v>
      </c>
      <c r="D24" s="72"/>
      <c r="E24" s="73"/>
      <c r="F24" s="74"/>
      <c r="G24" s="73"/>
      <c r="H24" s="74"/>
      <c r="I24" s="73"/>
      <c r="J24" s="74"/>
      <c r="K24" s="56"/>
      <c r="L24" s="74"/>
      <c r="M24" s="73"/>
      <c r="N24" s="74"/>
      <c r="O24" s="73"/>
      <c r="P24" s="74"/>
      <c r="Q24" s="75"/>
      <c r="R24" s="76"/>
      <c r="S24" s="75"/>
      <c r="T24" s="74"/>
      <c r="U24" s="73"/>
      <c r="V24" s="74"/>
      <c r="W24" s="73"/>
      <c r="X24" s="74"/>
      <c r="Y24" s="73"/>
      <c r="Z24" s="74"/>
      <c r="AA24" s="73"/>
      <c r="AB24" s="74"/>
      <c r="AD24" s="72" t="str">
        <f t="shared" si="0"/>
        <v/>
      </c>
      <c r="AE24" s="60" t="str">
        <f t="shared" si="1"/>
        <v/>
      </c>
      <c r="AF24" s="60" t="str">
        <f t="shared" si="2"/>
        <v/>
      </c>
      <c r="AG24" s="61" t="str">
        <f t="shared" si="3"/>
        <v/>
      </c>
      <c r="AH24" s="62" t="str">
        <f t="shared" si="4"/>
        <v/>
      </c>
      <c r="AI24" s="61" t="str">
        <f t="shared" si="5"/>
        <v/>
      </c>
      <c r="AJ24" s="63" t="str">
        <f t="shared" si="6"/>
        <v/>
      </c>
      <c r="AK24" s="64" t="str">
        <f t="shared" si="7"/>
        <v/>
      </c>
      <c r="AN24" s="77" t="str">
        <f t="shared" si="8"/>
        <v/>
      </c>
      <c r="AO24" s="67"/>
      <c r="AP24" s="67"/>
    </row>
    <row r="25" spans="2:42" x14ac:dyDescent="0.45">
      <c r="D25" s="78" t="s">
        <v>99</v>
      </c>
      <c r="E25" s="79">
        <f>COUNTIF(E5:E24,"Yes")</f>
        <v>8</v>
      </c>
      <c r="F25" s="80">
        <f>IF(COUNT(F5:F24)=0,"",AVERAGE(F5:F24))</f>
        <v>1.5294117647058822</v>
      </c>
      <c r="G25" s="79">
        <f>COUNTIF(G5:G24,"Yes")</f>
        <v>9</v>
      </c>
      <c r="H25" s="80">
        <f>IF(COUNT(H5:H24)=0,"",AVERAGE(H5:H24))</f>
        <v>1.7058823529411764</v>
      </c>
      <c r="I25" s="79">
        <f>COUNTIF(I5:I24,"Yes")</f>
        <v>10</v>
      </c>
      <c r="J25" s="80">
        <f>IF(COUNT(J5:J24)=0,"",AVERAGE(J5:J24))</f>
        <v>1.9411764705882353</v>
      </c>
      <c r="K25" s="79">
        <f>COUNTIF(K5:K24,"Yes")</f>
        <v>12</v>
      </c>
      <c r="L25" s="80">
        <f>IF(COUNT(L5:L24)=0,"",AVERAGE(L5:L24))</f>
        <v>1.8235294117647058</v>
      </c>
      <c r="M25" s="79">
        <f>COUNTIF(M5:M24,"Yes")</f>
        <v>6</v>
      </c>
      <c r="N25" s="80">
        <f>IF(COUNT(N5:N24)=0,"",AVERAGE(N5:N24))</f>
        <v>1.0588235294117647</v>
      </c>
      <c r="O25" s="79">
        <f>COUNTIF(O5:O24,"Yes")</f>
        <v>6</v>
      </c>
      <c r="P25" s="80">
        <f>IF(COUNT(P5:P24)=0,"",AVERAGE(P5:P24))</f>
        <v>1.2352941176470589</v>
      </c>
      <c r="Q25" s="81">
        <f>COUNTIF(Q5:Q24,"Yes")</f>
        <v>0</v>
      </c>
      <c r="R25" s="82" t="str">
        <f>IF(COUNT(R5:R24)=0,"",AVERAGE(R5:R24))</f>
        <v/>
      </c>
      <c r="S25" s="81">
        <f>COUNTIF(S5:S24,"Yes")</f>
        <v>10</v>
      </c>
      <c r="T25" s="80">
        <f>IF(COUNT(T5:T24)=0,"",AVERAGE(T5:T24))</f>
        <v>2.2941176470588234</v>
      </c>
      <c r="U25" s="79">
        <f>COUNTIF(U5:U24,"Yes")</f>
        <v>11</v>
      </c>
      <c r="V25" s="80">
        <f>IF(COUNT(V5:V24)=0,"",AVERAGE(V5:V24))</f>
        <v>2.2352941176470589</v>
      </c>
      <c r="W25" s="79">
        <f>COUNTIF(W5:W24,"Yes")</f>
        <v>12</v>
      </c>
      <c r="X25" s="80">
        <f>IF(COUNT(X5:X24)=0,"",AVERAGE(X5:X24))</f>
        <v>2.4117647058823528</v>
      </c>
      <c r="Y25" s="79">
        <f>COUNTIF(Y5:Y24,"Yes")</f>
        <v>12</v>
      </c>
      <c r="Z25" s="80">
        <f>IF(COUNT(Z5:Z24)=0,"",AVERAGE(Z5:Z24))</f>
        <v>2</v>
      </c>
      <c r="AA25" s="79">
        <f>COUNTIF(AA5:AA24,"Yes")</f>
        <v>12</v>
      </c>
      <c r="AB25" s="80">
        <f>IF(COUNT(AB5:AB24)=0,"",AVERAGE(AB5:AB24))</f>
        <v>2.0588235294117645</v>
      </c>
      <c r="AH25" s="64"/>
    </row>
    <row r="26" spans="2:42" x14ac:dyDescent="0.45">
      <c r="E26" s="44"/>
      <c r="G26" s="44"/>
    </row>
    <row r="27" spans="2:42" x14ac:dyDescent="0.45">
      <c r="B27" s="484" t="s">
        <v>100</v>
      </c>
      <c r="C27" s="484"/>
      <c r="D27" s="484"/>
    </row>
    <row r="28" spans="2:42" x14ac:dyDescent="0.45">
      <c r="B28" s="482" t="s">
        <v>101</v>
      </c>
      <c r="C28" s="482"/>
      <c r="D28" s="482"/>
      <c r="E28" s="58" t="s">
        <v>54</v>
      </c>
      <c r="F28" s="58"/>
      <c r="G28" s="58"/>
    </row>
    <row r="29" spans="2:42" x14ac:dyDescent="0.45">
      <c r="B29" s="482" t="s">
        <v>102</v>
      </c>
      <c r="C29" s="482"/>
      <c r="D29" s="482"/>
      <c r="E29" s="58" t="s">
        <v>54</v>
      </c>
      <c r="F29" s="58"/>
      <c r="G29" s="58"/>
    </row>
    <row r="30" spans="2:42" x14ac:dyDescent="0.45">
      <c r="B30" s="482" t="s">
        <v>103</v>
      </c>
      <c r="C30" s="482"/>
      <c r="D30" s="482"/>
      <c r="E30" s="58"/>
      <c r="F30" s="58"/>
      <c r="G30" s="58" t="s">
        <v>54</v>
      </c>
    </row>
    <row r="31" spans="2:42" x14ac:dyDescent="0.45">
      <c r="B31" s="482" t="s">
        <v>104</v>
      </c>
      <c r="C31" s="482"/>
      <c r="D31" s="482"/>
      <c r="E31" s="58"/>
      <c r="F31" s="58" t="s">
        <v>54</v>
      </c>
      <c r="G31" s="58"/>
    </row>
    <row r="32" spans="2:42" x14ac:dyDescent="0.45">
      <c r="B32" s="482" t="s">
        <v>105</v>
      </c>
      <c r="C32" s="482"/>
      <c r="D32" s="482"/>
      <c r="E32" s="58"/>
      <c r="F32" s="58"/>
      <c r="G32" s="58" t="s">
        <v>54</v>
      </c>
    </row>
    <row r="33" spans="2:14" x14ac:dyDescent="0.45">
      <c r="B33" s="482" t="s">
        <v>106</v>
      </c>
      <c r="C33" s="482"/>
      <c r="D33" s="482"/>
      <c r="E33" s="58"/>
      <c r="F33" s="58"/>
      <c r="G33" s="58" t="s">
        <v>54</v>
      </c>
    </row>
    <row r="36" spans="2:14" ht="18" customHeight="1" x14ac:dyDescent="0.55000000000000004">
      <c r="B36" s="83" t="s">
        <v>107</v>
      </c>
    </row>
    <row r="37" spans="2:14" ht="15.75" customHeight="1" x14ac:dyDescent="0.5">
      <c r="C37" s="51" t="s">
        <v>108</v>
      </c>
      <c r="D37" s="51" t="s">
        <v>109</v>
      </c>
      <c r="E37" s="480" t="s">
        <v>110</v>
      </c>
      <c r="F37" s="480"/>
      <c r="G37" s="480"/>
      <c r="H37" s="480"/>
      <c r="I37" s="480"/>
      <c r="J37" s="480"/>
      <c r="K37" s="480"/>
      <c r="L37" s="480"/>
      <c r="M37" s="480"/>
      <c r="N37" s="480"/>
    </row>
    <row r="38" spans="2:14" ht="37.5" customHeight="1" x14ac:dyDescent="0.45">
      <c r="C38" s="84">
        <v>5</v>
      </c>
      <c r="D38" s="85" t="s">
        <v>111</v>
      </c>
      <c r="E38" s="479" t="s">
        <v>112</v>
      </c>
      <c r="F38" s="479"/>
      <c r="G38" s="479"/>
      <c r="H38" s="479"/>
      <c r="I38" s="479"/>
      <c r="J38" s="479"/>
      <c r="K38" s="479"/>
      <c r="L38" s="479"/>
      <c r="M38" s="479"/>
      <c r="N38" s="479"/>
    </row>
    <row r="39" spans="2:14" ht="45" customHeight="1" x14ac:dyDescent="0.45">
      <c r="C39" s="84">
        <v>4</v>
      </c>
      <c r="D39" s="85" t="s">
        <v>113</v>
      </c>
      <c r="E39" s="479" t="s">
        <v>114</v>
      </c>
      <c r="F39" s="479"/>
      <c r="G39" s="479"/>
      <c r="H39" s="479"/>
      <c r="I39" s="479"/>
      <c r="J39" s="479"/>
      <c r="K39" s="479"/>
      <c r="L39" s="479"/>
      <c r="M39" s="479"/>
      <c r="N39" s="479"/>
    </row>
    <row r="40" spans="2:14" ht="32.25" customHeight="1" x14ac:dyDescent="0.45">
      <c r="C40" s="86">
        <v>3</v>
      </c>
      <c r="D40" s="87" t="s">
        <v>115</v>
      </c>
      <c r="E40" s="481" t="s">
        <v>116</v>
      </c>
      <c r="F40" s="481"/>
      <c r="G40" s="481"/>
      <c r="H40" s="481"/>
      <c r="I40" s="481"/>
      <c r="J40" s="481"/>
      <c r="K40" s="481"/>
      <c r="L40" s="481"/>
      <c r="M40" s="481"/>
      <c r="N40" s="481"/>
    </row>
    <row r="41" spans="2:14" ht="39" customHeight="1" x14ac:dyDescent="0.45">
      <c r="C41" s="84">
        <v>2</v>
      </c>
      <c r="D41" s="85" t="s">
        <v>117</v>
      </c>
      <c r="E41" s="479" t="s">
        <v>118</v>
      </c>
      <c r="F41" s="479"/>
      <c r="G41" s="479"/>
      <c r="H41" s="479"/>
      <c r="I41" s="479"/>
      <c r="J41" s="479"/>
      <c r="K41" s="479"/>
      <c r="L41" s="479"/>
      <c r="M41" s="479"/>
      <c r="N41" s="479"/>
    </row>
    <row r="42" spans="2:14" ht="36" customHeight="1" x14ac:dyDescent="0.45">
      <c r="C42" s="84">
        <v>1</v>
      </c>
      <c r="D42" s="85" t="s">
        <v>119</v>
      </c>
      <c r="E42" s="479" t="s">
        <v>120</v>
      </c>
      <c r="F42" s="479"/>
      <c r="G42" s="479"/>
      <c r="H42" s="479"/>
      <c r="I42" s="479"/>
      <c r="J42" s="479"/>
      <c r="K42" s="479"/>
      <c r="L42" s="479"/>
      <c r="M42" s="479"/>
      <c r="N42" s="479"/>
    </row>
  </sheetData>
  <mergeCells count="30">
    <mergeCell ref="AA3:AB3"/>
    <mergeCell ref="B5:B19"/>
    <mergeCell ref="U3:V3"/>
    <mergeCell ref="W3:X3"/>
    <mergeCell ref="Y3:Z3"/>
    <mergeCell ref="B20:B24"/>
    <mergeCell ref="B27:D27"/>
    <mergeCell ref="B28:D28"/>
    <mergeCell ref="Q3:R3"/>
    <mergeCell ref="S3:T3"/>
    <mergeCell ref="B2:C4"/>
    <mergeCell ref="D2:P2"/>
    <mergeCell ref="D3:D4"/>
    <mergeCell ref="E3:F3"/>
    <mergeCell ref="G3:H3"/>
    <mergeCell ref="I3:J3"/>
    <mergeCell ref="K3:L3"/>
    <mergeCell ref="M3:N3"/>
    <mergeCell ref="O3:P3"/>
    <mergeCell ref="B29:D29"/>
    <mergeCell ref="B30:D30"/>
    <mergeCell ref="B31:D31"/>
    <mergeCell ref="B32:D32"/>
    <mergeCell ref="B33:D33"/>
    <mergeCell ref="E42:N42"/>
    <mergeCell ref="E37:N37"/>
    <mergeCell ref="E38:N38"/>
    <mergeCell ref="E39:N39"/>
    <mergeCell ref="E40:N40"/>
    <mergeCell ref="E41:N41"/>
  </mergeCells>
  <conditionalFormatting sqref="D25:D26 E26:E34 G26:G34 E57:E1048576 G57:G1048576">
    <cfRule type="containsText" dxfId="50" priority="16" operator="containsText" text="Left">
      <formula>NOT(ISERROR(SEARCH("Left",D25)))</formula>
    </cfRule>
  </conditionalFormatting>
  <conditionalFormatting sqref="E1 E26:E34 G26:G34 E57:E1048576 G57:G1048576 D25:D26">
    <cfRule type="containsText" dxfId="49" priority="15" operator="containsText" text="Right">
      <formula>NOT(ISERROR(SEARCH("Right",D1)))</formula>
    </cfRule>
  </conditionalFormatting>
  <conditionalFormatting sqref="E1:R1 Q2:R2 Q5:R25 E26:R26 E27:I33 E34:R34 B36:J42 E57:R1048576">
    <cfRule type="containsText" dxfId="48" priority="12" operator="containsText" text="No">
      <formula>NOT(ISERROR(SEARCH("No",B1)))</formula>
    </cfRule>
  </conditionalFormatting>
  <conditionalFormatting sqref="F31">
    <cfRule type="containsText" dxfId="47" priority="8" operator="containsText" text="Right">
      <formula>NOT(ISERROR(SEARCH("Right",F31)))</formula>
    </cfRule>
    <cfRule type="containsText" dxfId="46" priority="9" operator="containsText" text="Left">
      <formula>NOT(ISERROR(SEARCH("Left",F31)))</formula>
    </cfRule>
  </conditionalFormatting>
  <conditionalFormatting sqref="G1">
    <cfRule type="containsText" dxfId="45" priority="13" operator="containsText" text="Right">
      <formula>NOT(ISERROR(SEARCH("Right",G1)))</formula>
    </cfRule>
  </conditionalFormatting>
  <conditionalFormatting sqref="G30">
    <cfRule type="containsText" dxfId="44" priority="2" operator="containsText" text="Right">
      <formula>NOT(ISERROR(SEARCH("Right",G30)))</formula>
    </cfRule>
    <cfRule type="containsText" dxfId="43" priority="3" operator="containsText" text="Left">
      <formula>NOT(ISERROR(SEARCH("Left",G30)))</formula>
    </cfRule>
    <cfRule type="containsText" dxfId="42" priority="4" operator="containsText" text="CDM">
      <formula>NOT(ISERROR(SEARCH("CDM",G30)))</formula>
    </cfRule>
  </conditionalFormatting>
  <conditionalFormatting sqref="G32:G33">
    <cfRule type="containsText" dxfId="41" priority="5" operator="containsText" text="Right">
      <formula>NOT(ISERROR(SEARCH("Right",G32)))</formula>
    </cfRule>
    <cfRule type="containsText" dxfId="40" priority="6" operator="containsText" text="Left">
      <formula>NOT(ISERROR(SEARCH("Left",G32)))</formula>
    </cfRule>
    <cfRule type="containsText" dxfId="39" priority="7" operator="containsText" text="CDM">
      <formula>NOT(ISERROR(SEARCH("CDM",G32)))</formula>
    </cfRule>
  </conditionalFormatting>
  <conditionalFormatting sqref="Q1:R2 Q5:R25 H26:T26 F26:F34 H27:I33 H34:T34 B36:L42 F57:F1048576">
    <cfRule type="containsText" dxfId="38" priority="14" operator="containsText" text="CDM">
      <formula>NOT(ISERROR(SEARCH("CDM",B1)))</formula>
    </cfRule>
  </conditionalFormatting>
  <conditionalFormatting sqref="Q5:R25 E57:R1048576 E27:I33 E1:R1 Q2:R2 E26:R26 E34:R34 B36:J42">
    <cfRule type="containsText" dxfId="37" priority="11" operator="containsText" text="Yes">
      <formula>NOT(ISERROR(SEARCH("Yes",B1)))</formula>
    </cfRule>
  </conditionalFormatting>
  <conditionalFormatting sqref="Q5:T7 Q8:S8 Q9:T20 Q21:R21 Q22:T25 H57:T1048576">
    <cfRule type="containsText" dxfId="36" priority="10" operator="containsText" text="CDM">
      <formula>NOT(ISERROR(SEARCH("CDM",H5)))</formula>
    </cfRule>
  </conditionalFormatting>
  <conditionalFormatting sqref="AG5:AG24">
    <cfRule type="colorScale" priority="17">
      <colorScale>
        <cfvo type="min"/>
        <cfvo type="percent" val="50"/>
        <cfvo type="max"/>
        <color rgb="FFF8696B"/>
        <color rgb="FFFFEB84"/>
        <color rgb="FF63BE7B"/>
      </colorScale>
    </cfRule>
  </conditionalFormatting>
  <conditionalFormatting sqref="AJ5:AJ24">
    <cfRule type="colorScale" priority="18">
      <colorScale>
        <cfvo type="min"/>
        <cfvo type="percent" val="50"/>
        <cfvo type="max"/>
        <color rgb="FFF8696B"/>
        <color rgb="FFFFEB84"/>
        <color rgb="FF63BE7B"/>
      </colorScale>
    </cfRule>
  </conditionalFormatting>
  <dataValidations count="2">
    <dataValidation type="list" allowBlank="1" showInputMessage="1" showErrorMessage="1" sqref="F5:F24 H5:H24 J5:J24 L5:L24 N5:N24 P5:P24 R5:R24 T5:T24 V5:V24 X5:X24 Z5:Z24 AB5:AB24" xr:uid="{00000000-0002-0000-0100-000000000000}">
      <formula1>"0,1,2,3,4,5"</formula1>
      <formula2>0</formula2>
    </dataValidation>
    <dataValidation type="list" allowBlank="1" showInputMessage="1" showErrorMessage="1" sqref="E5:E24 G5:G24 I5:I24 K5:K24 M5:M24 O5:O24 Q5:Q24 S5:S24 U5:U24 W5:W24 Y5:Y24 AA5:AA24" xr:uid="{00000000-0002-0000-0100-000001000000}">
      <formula1>"Yes,No"</formula1>
      <formula2>0</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S79"/>
  <sheetViews>
    <sheetView zoomScaleNormal="100" workbookViewId="0">
      <pane xSplit="4" ySplit="4" topLeftCell="E5" activePane="bottomRight" state="frozen"/>
      <selection pane="topRight" activeCell="E1" sqref="E1"/>
      <selection pane="bottomLeft" activeCell="A62" sqref="A62"/>
      <selection pane="bottomRight" activeCell="M17" sqref="M17"/>
    </sheetView>
  </sheetViews>
  <sheetFormatPr defaultColWidth="8.53125" defaultRowHeight="14.25" outlineLevelCol="1" x14ac:dyDescent="0.45"/>
  <cols>
    <col min="1" max="1" width="2.3984375" customWidth="1"/>
    <col min="2" max="2" width="16.86328125" customWidth="1"/>
    <col min="3" max="3" width="7.9296875" customWidth="1"/>
    <col min="4" max="4" width="19.1328125" customWidth="1"/>
    <col min="5" max="92" width="6" customWidth="1" outlineLevel="1"/>
    <col min="94" max="181" width="6.73046875" customWidth="1" outlineLevel="1"/>
    <col min="183" max="196" width="11" customWidth="1"/>
    <col min="197" max="197" width="23.1328125" customWidth="1"/>
    <col min="198" max="198" width="12.3984375" customWidth="1"/>
    <col min="199" max="201" width="30.1328125" customWidth="1"/>
  </cols>
  <sheetData>
    <row r="1" spans="2:201" x14ac:dyDescent="0.45">
      <c r="CP1" s="434" t="s">
        <v>121</v>
      </c>
      <c r="CQ1" s="434"/>
      <c r="CR1" s="434"/>
      <c r="CS1" s="434"/>
      <c r="CT1" s="434" t="s">
        <v>122</v>
      </c>
      <c r="CU1" s="434"/>
      <c r="CV1" s="434"/>
      <c r="CW1" s="434"/>
      <c r="CX1" s="434" t="s">
        <v>123</v>
      </c>
      <c r="CY1" s="434"/>
      <c r="CZ1" s="434"/>
      <c r="DA1" s="434"/>
      <c r="DB1" s="434" t="s">
        <v>124</v>
      </c>
      <c r="DC1" s="434"/>
      <c r="DD1" s="434"/>
      <c r="DE1" s="434"/>
      <c r="DF1" s="434" t="s">
        <v>125</v>
      </c>
      <c r="DG1" s="434"/>
      <c r="DH1" s="434"/>
      <c r="DI1" s="434"/>
      <c r="DJ1" s="434" t="s">
        <v>126</v>
      </c>
      <c r="DK1" s="434"/>
      <c r="DL1" s="434"/>
      <c r="DM1" s="434"/>
      <c r="DN1" s="434" t="s">
        <v>127</v>
      </c>
      <c r="DO1" s="434"/>
      <c r="DP1" s="434"/>
      <c r="DQ1" s="434"/>
      <c r="DR1" s="434" t="s">
        <v>128</v>
      </c>
      <c r="DS1" s="434"/>
      <c r="DT1" s="434"/>
      <c r="DU1" s="434"/>
      <c r="DV1" s="434" t="s">
        <v>129</v>
      </c>
      <c r="DW1" s="434"/>
      <c r="DX1" s="434"/>
      <c r="DY1" s="434"/>
      <c r="DZ1" s="434" t="s">
        <v>130</v>
      </c>
      <c r="EA1" s="434"/>
      <c r="EB1" s="434"/>
      <c r="EC1" s="434"/>
      <c r="ED1" s="434" t="s">
        <v>131</v>
      </c>
      <c r="EE1" s="434"/>
      <c r="EF1" s="434"/>
      <c r="EG1" s="434"/>
      <c r="EH1" s="434" t="s">
        <v>132</v>
      </c>
      <c r="EI1" s="434"/>
      <c r="EJ1" s="434"/>
      <c r="EK1" s="434"/>
      <c r="EL1" s="434" t="s">
        <v>133</v>
      </c>
      <c r="EM1" s="434"/>
      <c r="EN1" s="434"/>
      <c r="EO1" s="434"/>
      <c r="EP1" s="434" t="s">
        <v>134</v>
      </c>
      <c r="EQ1" s="434"/>
      <c r="ER1" s="434"/>
      <c r="ES1" s="434"/>
      <c r="ET1" s="434" t="s">
        <v>135</v>
      </c>
      <c r="EU1" s="434"/>
      <c r="EV1" s="434"/>
      <c r="EW1" s="434"/>
      <c r="EX1" s="434" t="s">
        <v>136</v>
      </c>
      <c r="EY1" s="434"/>
      <c r="EZ1" s="434"/>
      <c r="FA1" s="434"/>
      <c r="FB1" s="434" t="s">
        <v>137</v>
      </c>
      <c r="FC1" s="434"/>
      <c r="FD1" s="434"/>
      <c r="FE1" s="434"/>
      <c r="FF1" s="434" t="s">
        <v>138</v>
      </c>
      <c r="FG1" s="434"/>
      <c r="FH1" s="434"/>
      <c r="FI1" s="434"/>
      <c r="FJ1" s="434" t="s">
        <v>139</v>
      </c>
      <c r="FK1" s="434"/>
      <c r="FL1" s="434"/>
      <c r="FM1" s="434"/>
      <c r="FN1" s="434" t="s">
        <v>140</v>
      </c>
      <c r="FO1" s="434"/>
      <c r="FP1" s="434"/>
      <c r="FQ1" s="434"/>
      <c r="FR1" s="434" t="s">
        <v>141</v>
      </c>
      <c r="FS1" s="434"/>
      <c r="FT1" s="434"/>
      <c r="FU1" s="434"/>
      <c r="FV1" s="434" t="s">
        <v>142</v>
      </c>
      <c r="FW1" s="434"/>
      <c r="FX1" s="434"/>
      <c r="FY1" s="434"/>
      <c r="GA1" s="6" t="s">
        <v>143</v>
      </c>
      <c r="GB1" s="6" t="s">
        <v>40</v>
      </c>
      <c r="GC1" s="6" t="s">
        <v>144</v>
      </c>
      <c r="GD1" s="6" t="s">
        <v>145</v>
      </c>
      <c r="GE1" s="6" t="s">
        <v>146</v>
      </c>
      <c r="GF1" s="6" t="s">
        <v>147</v>
      </c>
      <c r="GG1" s="6" t="s">
        <v>148</v>
      </c>
      <c r="GH1" s="505" t="s">
        <v>149</v>
      </c>
      <c r="GI1" s="505"/>
      <c r="GJ1" s="505"/>
    </row>
    <row r="2" spans="2:201" ht="18" customHeight="1" x14ac:dyDescent="0.55000000000000004">
      <c r="B2" s="456" t="s">
        <v>150</v>
      </c>
      <c r="C2" s="456"/>
      <c r="D2" s="456"/>
      <c r="E2" s="434" t="s">
        <v>121</v>
      </c>
      <c r="F2" s="434"/>
      <c r="G2" s="434"/>
      <c r="H2" s="434"/>
      <c r="I2" s="434" t="s">
        <v>122</v>
      </c>
      <c r="J2" s="434"/>
      <c r="K2" s="434"/>
      <c r="L2" s="434"/>
      <c r="M2" s="434" t="s">
        <v>123</v>
      </c>
      <c r="N2" s="434"/>
      <c r="O2" s="434"/>
      <c r="P2" s="434"/>
      <c r="Q2" s="434" t="s">
        <v>124</v>
      </c>
      <c r="R2" s="434"/>
      <c r="S2" s="434"/>
      <c r="T2" s="434"/>
      <c r="U2" s="434" t="s">
        <v>125</v>
      </c>
      <c r="V2" s="434"/>
      <c r="W2" s="434"/>
      <c r="X2" s="434"/>
      <c r="Y2" s="434" t="s">
        <v>126</v>
      </c>
      <c r="Z2" s="434"/>
      <c r="AA2" s="434"/>
      <c r="AB2" s="434"/>
      <c r="AC2" s="434" t="s">
        <v>127</v>
      </c>
      <c r="AD2" s="434"/>
      <c r="AE2" s="434"/>
      <c r="AF2" s="434"/>
      <c r="AG2" s="434" t="s">
        <v>128</v>
      </c>
      <c r="AH2" s="434"/>
      <c r="AI2" s="434"/>
      <c r="AJ2" s="434"/>
      <c r="AK2" s="434" t="s">
        <v>129</v>
      </c>
      <c r="AL2" s="434"/>
      <c r="AM2" s="434"/>
      <c r="AN2" s="434"/>
      <c r="AO2" s="434" t="s">
        <v>130</v>
      </c>
      <c r="AP2" s="434"/>
      <c r="AQ2" s="434"/>
      <c r="AR2" s="434"/>
      <c r="AS2" s="434" t="s">
        <v>131</v>
      </c>
      <c r="AT2" s="434"/>
      <c r="AU2" s="434"/>
      <c r="AV2" s="434"/>
      <c r="AW2" s="434" t="s">
        <v>132</v>
      </c>
      <c r="AX2" s="434"/>
      <c r="AY2" s="434"/>
      <c r="AZ2" s="434"/>
      <c r="BA2" s="434" t="s">
        <v>133</v>
      </c>
      <c r="BB2" s="434"/>
      <c r="BC2" s="434"/>
      <c r="BD2" s="434"/>
      <c r="BE2" s="434" t="s">
        <v>134</v>
      </c>
      <c r="BF2" s="434"/>
      <c r="BG2" s="434"/>
      <c r="BH2" s="434"/>
      <c r="BI2" s="434" t="s">
        <v>135</v>
      </c>
      <c r="BJ2" s="434"/>
      <c r="BK2" s="434"/>
      <c r="BL2" s="434"/>
      <c r="BM2" s="434" t="s">
        <v>136</v>
      </c>
      <c r="BN2" s="434"/>
      <c r="BO2" s="434"/>
      <c r="BP2" s="434"/>
      <c r="BQ2" s="434" t="s">
        <v>137</v>
      </c>
      <c r="BR2" s="434"/>
      <c r="BS2" s="434"/>
      <c r="BT2" s="434"/>
      <c r="BU2" s="434" t="s">
        <v>138</v>
      </c>
      <c r="BV2" s="434"/>
      <c r="BW2" s="434"/>
      <c r="BX2" s="434"/>
      <c r="BY2" s="434" t="s">
        <v>139</v>
      </c>
      <c r="BZ2" s="434"/>
      <c r="CA2" s="434"/>
      <c r="CB2" s="434"/>
      <c r="CC2" s="434" t="s">
        <v>140</v>
      </c>
      <c r="CD2" s="434"/>
      <c r="CE2" s="434"/>
      <c r="CF2" s="434"/>
      <c r="CG2" s="434" t="s">
        <v>141</v>
      </c>
      <c r="CH2" s="434"/>
      <c r="CI2" s="434"/>
      <c r="CJ2" s="434"/>
      <c r="CK2" s="434" t="s">
        <v>142</v>
      </c>
      <c r="CL2" s="434"/>
      <c r="CM2" s="434"/>
      <c r="CN2" s="434"/>
      <c r="CP2" s="503">
        <f>IF('Match Day Reports'!$B$82="","",'Match Day Reports'!$B$82)</f>
        <v>46264</v>
      </c>
      <c r="CQ2" s="503"/>
      <c r="CR2" s="503"/>
      <c r="CS2" s="503"/>
      <c r="CT2" s="503" t="str">
        <f>IF('Match Day Reports'!$B$109="","",'Match Day Reports'!$B$109)</f>
        <v/>
      </c>
      <c r="CU2" s="503"/>
      <c r="CV2" s="503"/>
      <c r="CW2" s="503"/>
      <c r="CX2" s="503" t="str">
        <f>IF('Match Day Reports'!$B$136="","",'Match Day Reports'!$B$136)</f>
        <v/>
      </c>
      <c r="CY2" s="503"/>
      <c r="CZ2" s="503"/>
      <c r="DA2" s="503"/>
      <c r="DB2" s="503" t="str">
        <f>IF('Match Day Reports'!$B$163="","",'Match Day Reports'!$B$163)</f>
        <v/>
      </c>
      <c r="DC2" s="503"/>
      <c r="DD2" s="503"/>
      <c r="DE2" s="503"/>
      <c r="DF2" s="503" t="str">
        <f>IF('Match Day Reports'!$B$190="","",'Match Day Reports'!$B$190)</f>
        <v/>
      </c>
      <c r="DG2" s="503"/>
      <c r="DH2" s="503"/>
      <c r="DI2" s="503"/>
      <c r="DJ2" s="503" t="str">
        <f>IF('Match Day Reports'!$B$217="","",'Match Day Reports'!$B$217)</f>
        <v/>
      </c>
      <c r="DK2" s="503"/>
      <c r="DL2" s="503"/>
      <c r="DM2" s="503"/>
      <c r="DN2" s="503" t="str">
        <f>IF('Match Day Reports'!$B$244="","",'Match Day Reports'!$B$244)</f>
        <v/>
      </c>
      <c r="DO2" s="503"/>
      <c r="DP2" s="503"/>
      <c r="DQ2" s="503"/>
      <c r="DR2" s="503" t="str">
        <f>IF('Match Day Reports'!$B$271="","",'Match Day Reports'!$B$271)</f>
        <v/>
      </c>
      <c r="DS2" s="503"/>
      <c r="DT2" s="503"/>
      <c r="DU2" s="503"/>
      <c r="DV2" s="503" t="str">
        <f>IF('Match Day Reports'!$B$298="","",'Match Day Reports'!$B$298)</f>
        <v/>
      </c>
      <c r="DW2" s="503"/>
      <c r="DX2" s="503"/>
      <c r="DY2" s="503"/>
      <c r="DZ2" s="503" t="str">
        <f>IF('Match Day Reports'!$B$325="","",'Match Day Reports'!$B$325)</f>
        <v/>
      </c>
      <c r="EA2" s="503"/>
      <c r="EB2" s="503"/>
      <c r="EC2" s="503"/>
      <c r="ED2" s="503" t="str">
        <f>IF('Match Day Reports'!$B$352="","",'Match Day Reports'!$B$352)</f>
        <v/>
      </c>
      <c r="EE2" s="503"/>
      <c r="EF2" s="503"/>
      <c r="EG2" s="503"/>
      <c r="EH2" s="503" t="str">
        <f>IF('Match Day Reports'!$B$379="","",'Match Day Reports'!$B$379)</f>
        <v/>
      </c>
      <c r="EI2" s="503"/>
      <c r="EJ2" s="503"/>
      <c r="EK2" s="503"/>
      <c r="EL2" s="503" t="str">
        <f>IF('Match Day Reports'!$B$406="","",'Match Day Reports'!$B$406)</f>
        <v/>
      </c>
      <c r="EM2" s="503"/>
      <c r="EN2" s="503"/>
      <c r="EO2" s="503"/>
      <c r="EP2" s="503" t="str">
        <f>IF('Match Day Reports'!$B$433="","",'Match Day Reports'!$B$433)</f>
        <v/>
      </c>
      <c r="EQ2" s="503"/>
      <c r="ER2" s="503"/>
      <c r="ES2" s="503"/>
      <c r="ET2" s="503" t="str">
        <f>IF('Match Day Reports'!$B$460="","",'Match Day Reports'!$B$460)</f>
        <v/>
      </c>
      <c r="EU2" s="503"/>
      <c r="EV2" s="503"/>
      <c r="EW2" s="503"/>
      <c r="EX2" s="503" t="str">
        <f>IF('Match Day Reports'!$B$487="","",'Match Day Reports'!$B$487)</f>
        <v/>
      </c>
      <c r="EY2" s="503"/>
      <c r="EZ2" s="503"/>
      <c r="FA2" s="503"/>
      <c r="FB2" s="503" t="str">
        <f>IF('Match Day Reports'!$B$514="","",'Match Day Reports'!$B$514)</f>
        <v/>
      </c>
      <c r="FC2" s="503"/>
      <c r="FD2" s="503"/>
      <c r="FE2" s="503"/>
      <c r="FF2" s="503" t="str">
        <f>IF('Match Day Reports'!$B$541="","",'Match Day Reports'!$B$541)</f>
        <v/>
      </c>
      <c r="FG2" s="503"/>
      <c r="FH2" s="503"/>
      <c r="FI2" s="503"/>
      <c r="FJ2" s="503" t="str">
        <f>IF('Match Day Reports'!$B$568="","",'Match Day Reports'!$B$568)</f>
        <v/>
      </c>
      <c r="FK2" s="503"/>
      <c r="FL2" s="503"/>
      <c r="FM2" s="503"/>
      <c r="FN2" s="503" t="str">
        <f>IF('Match Day Reports'!$B$595="","",'Match Day Reports'!$B$595)</f>
        <v/>
      </c>
      <c r="FO2" s="503"/>
      <c r="FP2" s="503"/>
      <c r="FQ2" s="503"/>
      <c r="FR2" s="503" t="str">
        <f>IF('Match Day Reports'!$B$622="","",'Match Day Reports'!$B$622)</f>
        <v/>
      </c>
      <c r="FS2" s="503"/>
      <c r="FT2" s="503"/>
      <c r="FU2" s="503"/>
      <c r="FV2" s="503" t="str">
        <f>IF('Match Day Reports'!$B$649="","",'Match Day Reports'!$B$649)</f>
        <v/>
      </c>
      <c r="FW2" s="503"/>
      <c r="FX2" s="503"/>
      <c r="FY2" s="503"/>
      <c r="GA2" s="88">
        <v>0.25</v>
      </c>
      <c r="GB2" s="88">
        <v>0.35</v>
      </c>
      <c r="GC2" s="88">
        <v>0.15</v>
      </c>
      <c r="GD2" s="88">
        <v>0.25</v>
      </c>
      <c r="GE2" s="89">
        <f>SUM(GA2:GD2)</f>
        <v>1</v>
      </c>
      <c r="GF2" s="89">
        <f>GA2+GB2</f>
        <v>0.6</v>
      </c>
      <c r="GG2" s="89">
        <f>GC2+GD2</f>
        <v>0.4</v>
      </c>
      <c r="GH2" s="504" t="str">
        <f>IF(ROUND(GE2,4)&lt;&gt;1,"WARNING: weights total "&amp;TEXT(GE2,"0.0%")&amp;" — must equal 100%","OK — weights total 100%")</f>
        <v>OK — weights total 100%</v>
      </c>
      <c r="GI2" s="504"/>
      <c r="GJ2" s="504"/>
    </row>
    <row r="3" spans="2:201" x14ac:dyDescent="0.45">
      <c r="B3" s="457" t="s">
        <v>151</v>
      </c>
      <c r="C3" s="457"/>
      <c r="D3" s="457"/>
      <c r="E3" s="502">
        <v>46259</v>
      </c>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P3" s="499" t="str">
        <f>IF('Match Day Reports'!$C$82="","",'Match Day Reports'!$C$82)</f>
        <v>Stamullen FC</v>
      </c>
      <c r="CQ3" s="499"/>
      <c r="CR3" s="499"/>
      <c r="CS3" s="90" t="str">
        <f>IF('Match Day Reports'!$D$82="","",'Match Day Reports'!$D$82)</f>
        <v>A</v>
      </c>
      <c r="CT3" s="499" t="str">
        <f>IF('Match Day Reports'!$C$109="","",'Match Day Reports'!$C$109)</f>
        <v/>
      </c>
      <c r="CU3" s="499"/>
      <c r="CV3" s="499"/>
      <c r="CW3" s="90" t="str">
        <f>IF('Match Day Reports'!$D$109="","",'Match Day Reports'!$D$109)</f>
        <v/>
      </c>
      <c r="CX3" s="499" t="str">
        <f>IF('Match Day Reports'!$C$136="","",'Match Day Reports'!$C$136)</f>
        <v/>
      </c>
      <c r="CY3" s="499"/>
      <c r="CZ3" s="499"/>
      <c r="DA3" s="90" t="str">
        <f>IF('Match Day Reports'!$D$136="","",'Match Day Reports'!$D$136)</f>
        <v/>
      </c>
      <c r="DB3" s="499" t="str">
        <f>IF('Match Day Reports'!$C$163="","",'Match Day Reports'!$C$163)</f>
        <v/>
      </c>
      <c r="DC3" s="499"/>
      <c r="DD3" s="499"/>
      <c r="DE3" s="90" t="str">
        <f>IF('Match Day Reports'!$D$163="","",'Match Day Reports'!$D$163)</f>
        <v/>
      </c>
      <c r="DF3" s="499" t="str">
        <f>IF('Match Day Reports'!$C$190="","",'Match Day Reports'!$C$190)</f>
        <v/>
      </c>
      <c r="DG3" s="499"/>
      <c r="DH3" s="499"/>
      <c r="DI3" s="90" t="str">
        <f>IF('Match Day Reports'!$D$190="","",'Match Day Reports'!$D$190)</f>
        <v/>
      </c>
      <c r="DJ3" s="499" t="str">
        <f>IF('Match Day Reports'!$C$217="","",'Match Day Reports'!$C$217)</f>
        <v/>
      </c>
      <c r="DK3" s="499"/>
      <c r="DL3" s="499"/>
      <c r="DM3" s="90" t="str">
        <f>IF('Match Day Reports'!$D$217="","",'Match Day Reports'!$D$217)</f>
        <v/>
      </c>
      <c r="DN3" s="499" t="str">
        <f>IF('Match Day Reports'!$C$244="","",'Match Day Reports'!$C$244)</f>
        <v/>
      </c>
      <c r="DO3" s="499"/>
      <c r="DP3" s="499"/>
      <c r="DQ3" s="90" t="str">
        <f>IF('Match Day Reports'!$D$244="","",'Match Day Reports'!$D$244)</f>
        <v/>
      </c>
      <c r="DR3" s="499" t="str">
        <f>IF('Match Day Reports'!$C$271="","",'Match Day Reports'!$C$271)</f>
        <v/>
      </c>
      <c r="DS3" s="499"/>
      <c r="DT3" s="499"/>
      <c r="DU3" s="90" t="str">
        <f>IF('Match Day Reports'!$D$271="","",'Match Day Reports'!$D$271)</f>
        <v/>
      </c>
      <c r="DV3" s="499" t="str">
        <f>IF('Match Day Reports'!$C$298="","",'Match Day Reports'!$C$298)</f>
        <v/>
      </c>
      <c r="DW3" s="499"/>
      <c r="DX3" s="499"/>
      <c r="DY3" s="90" t="str">
        <f>IF('Match Day Reports'!$D$298="","",'Match Day Reports'!$D$298)</f>
        <v/>
      </c>
      <c r="DZ3" s="499" t="str">
        <f>IF('Match Day Reports'!$C$325="","",'Match Day Reports'!$C$325)</f>
        <v/>
      </c>
      <c r="EA3" s="499"/>
      <c r="EB3" s="499"/>
      <c r="EC3" s="90" t="str">
        <f>IF('Match Day Reports'!$D$325="","",'Match Day Reports'!$D$325)</f>
        <v/>
      </c>
      <c r="ED3" s="499" t="str">
        <f>IF('Match Day Reports'!$C$352="","",'Match Day Reports'!$C$352)</f>
        <v/>
      </c>
      <c r="EE3" s="499"/>
      <c r="EF3" s="499"/>
      <c r="EG3" s="90" t="str">
        <f>IF('Match Day Reports'!$D$352="","",'Match Day Reports'!$D$352)</f>
        <v/>
      </c>
      <c r="EH3" s="499" t="str">
        <f>IF('Match Day Reports'!$C$379="","",'Match Day Reports'!$C$379)</f>
        <v/>
      </c>
      <c r="EI3" s="499"/>
      <c r="EJ3" s="499"/>
      <c r="EK3" s="90" t="str">
        <f>IF('Match Day Reports'!$D$379="","",'Match Day Reports'!$D$379)</f>
        <v/>
      </c>
      <c r="EL3" s="499" t="str">
        <f>IF('Match Day Reports'!$C$406="","",'Match Day Reports'!$C$406)</f>
        <v/>
      </c>
      <c r="EM3" s="499"/>
      <c r="EN3" s="499"/>
      <c r="EO3" s="90" t="str">
        <f>IF('Match Day Reports'!$D$406="","",'Match Day Reports'!$D$406)</f>
        <v/>
      </c>
      <c r="EP3" s="499" t="str">
        <f>IF('Match Day Reports'!$C$433="","",'Match Day Reports'!$C$433)</f>
        <v/>
      </c>
      <c r="EQ3" s="499"/>
      <c r="ER3" s="499"/>
      <c r="ES3" s="90" t="str">
        <f>IF('Match Day Reports'!$D$433="","",'Match Day Reports'!$D$433)</f>
        <v/>
      </c>
      <c r="ET3" s="499" t="str">
        <f>IF('Match Day Reports'!$C$460="","",'Match Day Reports'!$C$460)</f>
        <v/>
      </c>
      <c r="EU3" s="499"/>
      <c r="EV3" s="499"/>
      <c r="EW3" s="90" t="str">
        <f>IF('Match Day Reports'!$D$460="","",'Match Day Reports'!$D$460)</f>
        <v/>
      </c>
      <c r="EX3" s="499" t="str">
        <f>IF('Match Day Reports'!$C$487="","",'Match Day Reports'!$C$487)</f>
        <v/>
      </c>
      <c r="EY3" s="499"/>
      <c r="EZ3" s="499"/>
      <c r="FA3" s="90" t="str">
        <f>IF('Match Day Reports'!$D$487="","",'Match Day Reports'!$D$487)</f>
        <v/>
      </c>
      <c r="FB3" s="499" t="str">
        <f>IF('Match Day Reports'!$C$514="","",'Match Day Reports'!$C$514)</f>
        <v/>
      </c>
      <c r="FC3" s="499"/>
      <c r="FD3" s="499"/>
      <c r="FE3" s="90" t="str">
        <f>IF('Match Day Reports'!$D$514="","",'Match Day Reports'!$D$514)</f>
        <v/>
      </c>
      <c r="FF3" s="499" t="str">
        <f>IF('Match Day Reports'!$C$541="","",'Match Day Reports'!$C$541)</f>
        <v/>
      </c>
      <c r="FG3" s="499"/>
      <c r="FH3" s="499"/>
      <c r="FI3" s="90" t="str">
        <f>IF('Match Day Reports'!$D$541="","",'Match Day Reports'!$D$541)</f>
        <v/>
      </c>
      <c r="FJ3" s="499" t="str">
        <f>IF('Match Day Reports'!$C$568="","",'Match Day Reports'!$C$568)</f>
        <v/>
      </c>
      <c r="FK3" s="499"/>
      <c r="FL3" s="499"/>
      <c r="FM3" s="90" t="str">
        <f>IF('Match Day Reports'!$D$568="","",'Match Day Reports'!$D$568)</f>
        <v/>
      </c>
      <c r="FN3" s="499" t="str">
        <f>IF('Match Day Reports'!$C$595="","",'Match Day Reports'!$C$595)</f>
        <v/>
      </c>
      <c r="FO3" s="499"/>
      <c r="FP3" s="499"/>
      <c r="FQ3" s="90" t="str">
        <f>IF('Match Day Reports'!$D$595="","",'Match Day Reports'!$D$595)</f>
        <v/>
      </c>
      <c r="FR3" s="499" t="str">
        <f>IF('Match Day Reports'!$C$622="","",'Match Day Reports'!$C$622)</f>
        <v/>
      </c>
      <c r="FS3" s="499"/>
      <c r="FT3" s="499"/>
      <c r="FU3" s="90" t="str">
        <f>IF('Match Day Reports'!$D$622="","",'Match Day Reports'!$D$622)</f>
        <v/>
      </c>
      <c r="FV3" s="499" t="str">
        <f>IF('Match Day Reports'!$C$649="","",'Match Day Reports'!$C$649)</f>
        <v/>
      </c>
      <c r="FW3" s="499"/>
      <c r="FX3" s="499"/>
      <c r="FY3" s="90" t="str">
        <f>IF('Match Day Reports'!$D$649="","",'Match Day Reports'!$D$649)</f>
        <v/>
      </c>
    </row>
    <row r="4" spans="2:201" ht="30" customHeight="1" x14ac:dyDescent="0.45">
      <c r="B4" s="91" t="s">
        <v>152</v>
      </c>
      <c r="C4" s="91" t="s">
        <v>153</v>
      </c>
      <c r="D4" s="91" t="s">
        <v>18</v>
      </c>
      <c r="E4" s="92" t="s">
        <v>41</v>
      </c>
      <c r="F4" s="92" t="s">
        <v>42</v>
      </c>
      <c r="G4" s="92" t="s">
        <v>41</v>
      </c>
      <c r="H4" s="92" t="s">
        <v>42</v>
      </c>
      <c r="I4" s="92" t="s">
        <v>41</v>
      </c>
      <c r="J4" s="92" t="s">
        <v>42</v>
      </c>
      <c r="K4" s="92" t="s">
        <v>41</v>
      </c>
      <c r="L4" s="92" t="s">
        <v>42</v>
      </c>
      <c r="M4" s="92" t="s">
        <v>41</v>
      </c>
      <c r="N4" s="92" t="s">
        <v>42</v>
      </c>
      <c r="O4" s="92" t="s">
        <v>41</v>
      </c>
      <c r="P4" s="92" t="s">
        <v>42</v>
      </c>
      <c r="Q4" s="92" t="s">
        <v>41</v>
      </c>
      <c r="R4" s="92" t="s">
        <v>42</v>
      </c>
      <c r="S4" s="92" t="s">
        <v>41</v>
      </c>
      <c r="T4" s="92" t="s">
        <v>42</v>
      </c>
      <c r="U4" s="92" t="s">
        <v>41</v>
      </c>
      <c r="V4" s="92" t="s">
        <v>42</v>
      </c>
      <c r="W4" s="92" t="s">
        <v>41</v>
      </c>
      <c r="X4" s="92" t="s">
        <v>42</v>
      </c>
      <c r="Y4" s="92" t="s">
        <v>41</v>
      </c>
      <c r="Z4" s="92" t="s">
        <v>42</v>
      </c>
      <c r="AA4" s="92" t="s">
        <v>41</v>
      </c>
      <c r="AB4" s="92" t="s">
        <v>42</v>
      </c>
      <c r="AC4" s="92" t="s">
        <v>41</v>
      </c>
      <c r="AD4" s="92" t="s">
        <v>42</v>
      </c>
      <c r="AE4" s="92" t="s">
        <v>41</v>
      </c>
      <c r="AF4" s="92" t="s">
        <v>42</v>
      </c>
      <c r="AG4" s="92" t="s">
        <v>41</v>
      </c>
      <c r="AH4" s="92" t="s">
        <v>42</v>
      </c>
      <c r="AI4" s="92" t="s">
        <v>41</v>
      </c>
      <c r="AJ4" s="92" t="s">
        <v>42</v>
      </c>
      <c r="AK4" s="92" t="s">
        <v>41</v>
      </c>
      <c r="AL4" s="92" t="s">
        <v>42</v>
      </c>
      <c r="AM4" s="92" t="s">
        <v>41</v>
      </c>
      <c r="AN4" s="92" t="s">
        <v>42</v>
      </c>
      <c r="AO4" s="92" t="s">
        <v>41</v>
      </c>
      <c r="AP4" s="92" t="s">
        <v>42</v>
      </c>
      <c r="AQ4" s="92" t="s">
        <v>41</v>
      </c>
      <c r="AR4" s="92" t="s">
        <v>42</v>
      </c>
      <c r="AS4" s="92" t="s">
        <v>41</v>
      </c>
      <c r="AT4" s="92" t="s">
        <v>42</v>
      </c>
      <c r="AU4" s="92" t="s">
        <v>41</v>
      </c>
      <c r="AV4" s="92" t="s">
        <v>42</v>
      </c>
      <c r="AW4" s="92" t="s">
        <v>41</v>
      </c>
      <c r="AX4" s="92" t="s">
        <v>42</v>
      </c>
      <c r="AY4" s="92" t="s">
        <v>41</v>
      </c>
      <c r="AZ4" s="92" t="s">
        <v>42</v>
      </c>
      <c r="BA4" s="92" t="s">
        <v>41</v>
      </c>
      <c r="BB4" s="92" t="s">
        <v>42</v>
      </c>
      <c r="BC4" s="92" t="s">
        <v>41</v>
      </c>
      <c r="BD4" s="92" t="s">
        <v>42</v>
      </c>
      <c r="BE4" s="92" t="s">
        <v>41</v>
      </c>
      <c r="BF4" s="92" t="s">
        <v>42</v>
      </c>
      <c r="BG4" s="92" t="s">
        <v>41</v>
      </c>
      <c r="BH4" s="92" t="s">
        <v>42</v>
      </c>
      <c r="BI4" s="92" t="s">
        <v>41</v>
      </c>
      <c r="BJ4" s="92" t="s">
        <v>42</v>
      </c>
      <c r="BK4" s="92" t="s">
        <v>41</v>
      </c>
      <c r="BL4" s="92" t="s">
        <v>42</v>
      </c>
      <c r="BM4" s="92" t="s">
        <v>41</v>
      </c>
      <c r="BN4" s="92" t="s">
        <v>42</v>
      </c>
      <c r="BO4" s="92" t="s">
        <v>41</v>
      </c>
      <c r="BP4" s="92" t="s">
        <v>42</v>
      </c>
      <c r="BQ4" s="92" t="s">
        <v>41</v>
      </c>
      <c r="BR4" s="92" t="s">
        <v>42</v>
      </c>
      <c r="BS4" s="92" t="s">
        <v>41</v>
      </c>
      <c r="BT4" s="92" t="s">
        <v>42</v>
      </c>
      <c r="BU4" s="92" t="s">
        <v>41</v>
      </c>
      <c r="BV4" s="92" t="s">
        <v>42</v>
      </c>
      <c r="BW4" s="92" t="s">
        <v>41</v>
      </c>
      <c r="BX4" s="92" t="s">
        <v>42</v>
      </c>
      <c r="BY4" s="92" t="s">
        <v>41</v>
      </c>
      <c r="BZ4" s="92" t="s">
        <v>42</v>
      </c>
      <c r="CA4" s="92" t="s">
        <v>41</v>
      </c>
      <c r="CB4" s="92" t="s">
        <v>42</v>
      </c>
      <c r="CC4" s="92" t="s">
        <v>41</v>
      </c>
      <c r="CD4" s="92" t="s">
        <v>42</v>
      </c>
      <c r="CE4" s="92" t="s">
        <v>41</v>
      </c>
      <c r="CF4" s="92" t="s">
        <v>42</v>
      </c>
      <c r="CG4" s="92" t="s">
        <v>41</v>
      </c>
      <c r="CH4" s="92" t="s">
        <v>42</v>
      </c>
      <c r="CI4" s="92" t="s">
        <v>41</v>
      </c>
      <c r="CJ4" s="92" t="s">
        <v>42</v>
      </c>
      <c r="CK4" s="92" t="s">
        <v>41</v>
      </c>
      <c r="CL4" s="92" t="s">
        <v>42</v>
      </c>
      <c r="CM4" s="92" t="s">
        <v>41</v>
      </c>
      <c r="CN4" s="92" t="s">
        <v>42</v>
      </c>
      <c r="CP4" s="93" t="s">
        <v>41</v>
      </c>
      <c r="CQ4" s="93" t="s">
        <v>154</v>
      </c>
      <c r="CR4" s="93" t="s">
        <v>155</v>
      </c>
      <c r="CS4" s="93" t="s">
        <v>156</v>
      </c>
      <c r="CT4" s="93" t="s">
        <v>41</v>
      </c>
      <c r="CU4" s="93" t="s">
        <v>154</v>
      </c>
      <c r="CV4" s="93" t="s">
        <v>155</v>
      </c>
      <c r="CW4" s="93" t="s">
        <v>156</v>
      </c>
      <c r="CX4" s="93" t="s">
        <v>41</v>
      </c>
      <c r="CY4" s="93" t="s">
        <v>154</v>
      </c>
      <c r="CZ4" s="93" t="s">
        <v>155</v>
      </c>
      <c r="DA4" s="93" t="s">
        <v>156</v>
      </c>
      <c r="DB4" s="93" t="s">
        <v>41</v>
      </c>
      <c r="DC4" s="93" t="s">
        <v>154</v>
      </c>
      <c r="DD4" s="93" t="s">
        <v>155</v>
      </c>
      <c r="DE4" s="93" t="s">
        <v>156</v>
      </c>
      <c r="DF4" s="93" t="s">
        <v>41</v>
      </c>
      <c r="DG4" s="93" t="s">
        <v>154</v>
      </c>
      <c r="DH4" s="93" t="s">
        <v>155</v>
      </c>
      <c r="DI4" s="93" t="s">
        <v>156</v>
      </c>
      <c r="DJ4" s="93" t="s">
        <v>41</v>
      </c>
      <c r="DK4" s="93" t="s">
        <v>154</v>
      </c>
      <c r="DL4" s="93" t="s">
        <v>155</v>
      </c>
      <c r="DM4" s="93" t="s">
        <v>156</v>
      </c>
      <c r="DN4" s="93" t="s">
        <v>41</v>
      </c>
      <c r="DO4" s="93" t="s">
        <v>154</v>
      </c>
      <c r="DP4" s="93" t="s">
        <v>155</v>
      </c>
      <c r="DQ4" s="93" t="s">
        <v>156</v>
      </c>
      <c r="DR4" s="93" t="s">
        <v>41</v>
      </c>
      <c r="DS4" s="93" t="s">
        <v>154</v>
      </c>
      <c r="DT4" s="93" t="s">
        <v>155</v>
      </c>
      <c r="DU4" s="93" t="s">
        <v>156</v>
      </c>
      <c r="DV4" s="93" t="s">
        <v>41</v>
      </c>
      <c r="DW4" s="93" t="s">
        <v>154</v>
      </c>
      <c r="DX4" s="93" t="s">
        <v>155</v>
      </c>
      <c r="DY4" s="93" t="s">
        <v>156</v>
      </c>
      <c r="DZ4" s="93" t="s">
        <v>41</v>
      </c>
      <c r="EA4" s="93" t="s">
        <v>154</v>
      </c>
      <c r="EB4" s="93" t="s">
        <v>155</v>
      </c>
      <c r="EC4" s="93" t="s">
        <v>156</v>
      </c>
      <c r="ED4" s="93" t="s">
        <v>41</v>
      </c>
      <c r="EE4" s="93" t="s">
        <v>154</v>
      </c>
      <c r="EF4" s="93" t="s">
        <v>155</v>
      </c>
      <c r="EG4" s="93" t="s">
        <v>156</v>
      </c>
      <c r="EH4" s="93" t="s">
        <v>41</v>
      </c>
      <c r="EI4" s="93" t="s">
        <v>154</v>
      </c>
      <c r="EJ4" s="93" t="s">
        <v>155</v>
      </c>
      <c r="EK4" s="93" t="s">
        <v>156</v>
      </c>
      <c r="EL4" s="93" t="s">
        <v>41</v>
      </c>
      <c r="EM4" s="93" t="s">
        <v>154</v>
      </c>
      <c r="EN4" s="93" t="s">
        <v>155</v>
      </c>
      <c r="EO4" s="93" t="s">
        <v>156</v>
      </c>
      <c r="EP4" s="93" t="s">
        <v>41</v>
      </c>
      <c r="EQ4" s="93" t="s">
        <v>154</v>
      </c>
      <c r="ER4" s="93" t="s">
        <v>155</v>
      </c>
      <c r="ES4" s="93" t="s">
        <v>156</v>
      </c>
      <c r="ET4" s="93" t="s">
        <v>41</v>
      </c>
      <c r="EU4" s="93" t="s">
        <v>154</v>
      </c>
      <c r="EV4" s="93" t="s">
        <v>155</v>
      </c>
      <c r="EW4" s="93" t="s">
        <v>156</v>
      </c>
      <c r="EX4" s="93" t="s">
        <v>41</v>
      </c>
      <c r="EY4" s="93" t="s">
        <v>154</v>
      </c>
      <c r="EZ4" s="93" t="s">
        <v>155</v>
      </c>
      <c r="FA4" s="93" t="s">
        <v>156</v>
      </c>
      <c r="FB4" s="93" t="s">
        <v>41</v>
      </c>
      <c r="FC4" s="93" t="s">
        <v>154</v>
      </c>
      <c r="FD4" s="93" t="s">
        <v>155</v>
      </c>
      <c r="FE4" s="93" t="s">
        <v>156</v>
      </c>
      <c r="FF4" s="93" t="s">
        <v>41</v>
      </c>
      <c r="FG4" s="93" t="s">
        <v>154</v>
      </c>
      <c r="FH4" s="93" t="s">
        <v>155</v>
      </c>
      <c r="FI4" s="93" t="s">
        <v>156</v>
      </c>
      <c r="FJ4" s="93" t="s">
        <v>41</v>
      </c>
      <c r="FK4" s="93" t="s">
        <v>154</v>
      </c>
      <c r="FL4" s="93" t="s">
        <v>155</v>
      </c>
      <c r="FM4" s="93" t="s">
        <v>156</v>
      </c>
      <c r="FN4" s="93" t="s">
        <v>41</v>
      </c>
      <c r="FO4" s="93" t="s">
        <v>154</v>
      </c>
      <c r="FP4" s="93" t="s">
        <v>155</v>
      </c>
      <c r="FQ4" s="93" t="s">
        <v>156</v>
      </c>
      <c r="FR4" s="93" t="s">
        <v>41</v>
      </c>
      <c r="FS4" s="93" t="s">
        <v>154</v>
      </c>
      <c r="FT4" s="93" t="s">
        <v>155</v>
      </c>
      <c r="FU4" s="93" t="s">
        <v>156</v>
      </c>
      <c r="FV4" s="93" t="s">
        <v>41</v>
      </c>
      <c r="FW4" s="93" t="s">
        <v>154</v>
      </c>
      <c r="FX4" s="93" t="s">
        <v>155</v>
      </c>
      <c r="FY4" s="93" t="s">
        <v>156</v>
      </c>
      <c r="GA4" s="7" t="s">
        <v>43</v>
      </c>
      <c r="GB4" s="8" t="s">
        <v>12</v>
      </c>
      <c r="GC4" s="8" t="s">
        <v>157</v>
      </c>
      <c r="GD4" s="8" t="s">
        <v>4</v>
      </c>
      <c r="GE4" s="8" t="s">
        <v>158</v>
      </c>
      <c r="GF4" s="8" t="s">
        <v>159</v>
      </c>
      <c r="GG4" s="8" t="s">
        <v>160</v>
      </c>
      <c r="GH4" s="8" t="s">
        <v>161</v>
      </c>
      <c r="GI4" s="8" t="s">
        <v>162</v>
      </c>
      <c r="GJ4" s="8" t="s">
        <v>163</v>
      </c>
      <c r="GK4" s="8" t="s">
        <v>6</v>
      </c>
      <c r="GL4" s="8" t="s">
        <v>164</v>
      </c>
      <c r="GM4" s="8" t="s">
        <v>165</v>
      </c>
      <c r="GN4" s="94" t="s">
        <v>166</v>
      </c>
      <c r="GO4" s="8" t="s">
        <v>49</v>
      </c>
      <c r="GP4" s="8" t="s">
        <v>167</v>
      </c>
      <c r="GQ4" s="8" t="s">
        <v>168</v>
      </c>
      <c r="GR4" s="8" t="s">
        <v>50</v>
      </c>
      <c r="GS4" s="9" t="s">
        <v>51</v>
      </c>
    </row>
    <row r="5" spans="2:201" ht="14.25" customHeight="1" x14ac:dyDescent="0.45">
      <c r="B5" s="500" t="s">
        <v>52</v>
      </c>
      <c r="C5" s="95">
        <v>1</v>
      </c>
      <c r="D5" s="96" t="s">
        <v>53</v>
      </c>
      <c r="E5" s="97" t="s">
        <v>54</v>
      </c>
      <c r="F5" s="97">
        <v>3</v>
      </c>
      <c r="G5" s="97" t="s">
        <v>54</v>
      </c>
      <c r="H5" s="97">
        <v>3</v>
      </c>
      <c r="I5" s="97" t="s">
        <v>54</v>
      </c>
      <c r="J5" s="97">
        <v>3</v>
      </c>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7"/>
      <c r="BV5" s="97"/>
      <c r="BW5" s="97"/>
      <c r="BX5" s="97"/>
      <c r="BY5" s="97"/>
      <c r="BZ5" s="97"/>
      <c r="CA5" s="97"/>
      <c r="CB5" s="97"/>
      <c r="CC5" s="97"/>
      <c r="CD5" s="97"/>
      <c r="CE5" s="97"/>
      <c r="CF5" s="97"/>
      <c r="CG5" s="97"/>
      <c r="CH5" s="97"/>
      <c r="CI5" s="97"/>
      <c r="CJ5" s="97"/>
      <c r="CK5" s="97"/>
      <c r="CL5" s="97"/>
      <c r="CM5" s="97"/>
      <c r="CN5" s="97"/>
      <c r="CP5" s="97"/>
      <c r="CQ5" s="97"/>
      <c r="CR5" s="412">
        <f>IF($D5="","",IF(COUNTIFS('Match Day Reports'!$C$85:$C$102,$D5)=0,"",SUMIFS('Match Day Reports'!$I$85:$I$102,'Match Day Reports'!$C$85:$C$102,$D5)))</f>
        <v>6.5</v>
      </c>
      <c r="CS5" s="411" t="str">
        <f>IF($D5="","",IF($D5='Match Day Reports'!$H$82,"Yes",""))</f>
        <v/>
      </c>
      <c r="CT5" s="97"/>
      <c r="CU5" s="97"/>
      <c r="CV5" s="412" t="str">
        <f>IF($D5="","",IF(COUNTIFS('Match Day Reports'!$C$112:$C$129,$D5)=0,"",SUMIFS('Match Day Reports'!$I$112:$I$129,'Match Day Reports'!$C$112:$C$129,$D5)))</f>
        <v/>
      </c>
      <c r="CW5" s="411" t="str">
        <f>IF($D5="","",IF($D5='Match Day Reports'!$H$109,"Yes",""))</f>
        <v/>
      </c>
      <c r="CX5" s="97"/>
      <c r="CY5" s="97"/>
      <c r="CZ5" s="412" t="str">
        <f>IF($D5="","",IF(COUNTIFS('Match Day Reports'!$C$139:$C$156,$D5)=0,"",SUMIFS('Match Day Reports'!$I$139:$I$156,'Match Day Reports'!$C$139:$C$156,$D5)))</f>
        <v/>
      </c>
      <c r="DA5" s="411" t="str">
        <f>IF($D5="","",IF($D5='Match Day Reports'!$H$136,"Yes",""))</f>
        <v/>
      </c>
      <c r="DB5" s="97"/>
      <c r="DC5" s="97"/>
      <c r="DD5" s="412" t="str">
        <f>IF($D5="","",IF(COUNTIFS('Match Day Reports'!$C$166:$C$183,$D5)=0,"",SUMIFS('Match Day Reports'!$I$166:$I$183,'Match Day Reports'!$C$166:$C$183,$D5)))</f>
        <v/>
      </c>
      <c r="DE5" s="411" t="str">
        <f>IF($D5="","",IF($D5='Match Day Reports'!$H$163,"Yes",""))</f>
        <v/>
      </c>
      <c r="DF5" s="97"/>
      <c r="DG5" s="97"/>
      <c r="DH5" s="412" t="str">
        <f>IF($D5="","",IF(COUNTIFS('Match Day Reports'!$C$193:$C$210,$D5)=0,"",SUMIFS('Match Day Reports'!$I$193:$I$210,'Match Day Reports'!$C$193:$C$210,$D5)))</f>
        <v/>
      </c>
      <c r="DI5" s="411" t="str">
        <f>IF($D5="","",IF($D5='Match Day Reports'!$H$190,"Yes",""))</f>
        <v/>
      </c>
      <c r="DJ5" s="97"/>
      <c r="DK5" s="97"/>
      <c r="DL5" s="412" t="str">
        <f>IF($D5="","",IF(COUNTIFS('Match Day Reports'!$C$220:$C$237,$D5)=0,"",SUMIFS('Match Day Reports'!$I$220:$I$237,'Match Day Reports'!$C$220:$C$237,$D5)))</f>
        <v/>
      </c>
      <c r="DM5" s="411" t="str">
        <f>IF($D5="","",IF($D5='Match Day Reports'!$H$217,"Yes",""))</f>
        <v/>
      </c>
      <c r="DN5" s="97"/>
      <c r="DO5" s="97"/>
      <c r="DP5" s="412" t="str">
        <f>IF($D5="","",IF(COUNTIFS('Match Day Reports'!$C$247:$C$264,$D5)=0,"",SUMIFS('Match Day Reports'!$I$247:$I$264,'Match Day Reports'!$C$247:$C$264,$D5)))</f>
        <v/>
      </c>
      <c r="DQ5" s="411" t="str">
        <f>IF($D5="","",IF($D5='Match Day Reports'!$H$244,"Yes",""))</f>
        <v/>
      </c>
      <c r="DR5" s="97"/>
      <c r="DS5" s="97"/>
      <c r="DT5" s="412" t="str">
        <f>IF($D5="","",IF(COUNTIFS('Match Day Reports'!$C$274:$C$291,$D5)=0,"",SUMIFS('Match Day Reports'!$I$274:$I$291,'Match Day Reports'!$C$274:$C$291,$D5)))</f>
        <v/>
      </c>
      <c r="DU5" s="411" t="str">
        <f>IF($D5="","",IF($D5='Match Day Reports'!$H$271,"Yes",""))</f>
        <v/>
      </c>
      <c r="DV5" s="97"/>
      <c r="DW5" s="97"/>
      <c r="DX5" s="412" t="str">
        <f>IF($D5="","",IF(COUNTIFS('Match Day Reports'!$C$301:$C$318,$D5)=0,"",SUMIFS('Match Day Reports'!$I$301:$I$318,'Match Day Reports'!$C$301:$C$318,$D5)))</f>
        <v/>
      </c>
      <c r="DY5" s="411" t="str">
        <f>IF($D5="","",IF($D5='Match Day Reports'!$H$298,"Yes",""))</f>
        <v/>
      </c>
      <c r="DZ5" s="97"/>
      <c r="EA5" s="97"/>
      <c r="EB5" s="412" t="str">
        <f>IF($D5="","",IF(COUNTIFS('Match Day Reports'!$C$328:$C$345,$D5)=0,"",SUMIFS('Match Day Reports'!$I$328:$I$345,'Match Day Reports'!$C$328:$C$345,$D5)))</f>
        <v/>
      </c>
      <c r="EC5" s="411" t="str">
        <f>IF($D5="","",IF($D5='Match Day Reports'!$H$325,"Yes",""))</f>
        <v/>
      </c>
      <c r="ED5" s="97"/>
      <c r="EE5" s="97"/>
      <c r="EF5" s="412" t="str">
        <f>IF($D5="","",IF(COUNTIFS('Match Day Reports'!$C$355:$C$372,$D5)=0,"",SUMIFS('Match Day Reports'!$I$355:$I$372,'Match Day Reports'!$C$355:$C$372,$D5)))</f>
        <v/>
      </c>
      <c r="EG5" s="411" t="str">
        <f>IF($D5="","",IF($D5='Match Day Reports'!$H$352,"Yes",""))</f>
        <v/>
      </c>
      <c r="EH5" s="97"/>
      <c r="EI5" s="97"/>
      <c r="EJ5" s="412" t="str">
        <f>IF($D5="","",IF(COUNTIFS('Match Day Reports'!$C$382:$C$399,$D5)=0,"",SUMIFS('Match Day Reports'!$I$382:$I$399,'Match Day Reports'!$C$382:$C$399,$D5)))</f>
        <v/>
      </c>
      <c r="EK5" s="411" t="str">
        <f>IF($D5="","",IF($D5='Match Day Reports'!$H$379,"Yes",""))</f>
        <v/>
      </c>
      <c r="EL5" s="97"/>
      <c r="EM5" s="97"/>
      <c r="EN5" s="412" t="str">
        <f>IF($D5="","",IF(COUNTIFS('Match Day Reports'!$C$409:$C$426,$D5)=0,"",SUMIFS('Match Day Reports'!$I$409:$I$426,'Match Day Reports'!$C$409:$C$426,$D5)))</f>
        <v/>
      </c>
      <c r="EO5" s="411" t="str">
        <f>IF($D5="","",IF($D5='Match Day Reports'!$H$406,"Yes",""))</f>
        <v/>
      </c>
      <c r="EP5" s="97"/>
      <c r="EQ5" s="97"/>
      <c r="ER5" s="412" t="str">
        <f>IF($D5="","",IF(COUNTIFS('Match Day Reports'!$C$436:$C$453,$D5)=0,"",SUMIFS('Match Day Reports'!$I$436:$I$453,'Match Day Reports'!$C$436:$C$453,$D5)))</f>
        <v/>
      </c>
      <c r="ES5" s="411" t="str">
        <f>IF($D5="","",IF($D5='Match Day Reports'!$H$433,"Yes",""))</f>
        <v/>
      </c>
      <c r="ET5" s="97"/>
      <c r="EU5" s="97"/>
      <c r="EV5" s="412" t="str">
        <f>IF($D5="","",IF(COUNTIFS('Match Day Reports'!$C$463:$C$480,$D5)=0,"",SUMIFS('Match Day Reports'!$I$463:$I$480,'Match Day Reports'!$C$463:$C$480,$D5)))</f>
        <v/>
      </c>
      <c r="EW5" s="411" t="str">
        <f>IF($D5="","",IF($D5='Match Day Reports'!$H$460,"Yes",""))</f>
        <v/>
      </c>
      <c r="EX5" s="97"/>
      <c r="EY5" s="97"/>
      <c r="EZ5" s="412" t="str">
        <f>IF($D5="","",IF(COUNTIFS('Match Day Reports'!$C$490:$C$507,$D5)=0,"",SUMIFS('Match Day Reports'!$I$490:$I$507,'Match Day Reports'!$C$490:$C$507,$D5)))</f>
        <v/>
      </c>
      <c r="FA5" s="411" t="str">
        <f>IF($D5="","",IF($D5='Match Day Reports'!$H$487,"Yes",""))</f>
        <v/>
      </c>
      <c r="FB5" s="97"/>
      <c r="FC5" s="97"/>
      <c r="FD5" s="412" t="str">
        <f>IF($D5="","",IF(COUNTIFS('Match Day Reports'!$C$517:$C$534,$D5)=0,"",SUMIFS('Match Day Reports'!$I$517:$I$534,'Match Day Reports'!$C$517:$C$534,$D5)))</f>
        <v/>
      </c>
      <c r="FE5" s="411" t="str">
        <f>IF($D5="","",IF($D5='Match Day Reports'!$H$514,"Yes",""))</f>
        <v/>
      </c>
      <c r="FF5" s="97"/>
      <c r="FG5" s="97"/>
      <c r="FH5" s="412" t="str">
        <f>IF($D5="","",IF(COUNTIFS('Match Day Reports'!$C$544:$C$561,$D5)=0,"",SUMIFS('Match Day Reports'!$I$544:$I$561,'Match Day Reports'!$C$544:$C$561,$D5)))</f>
        <v/>
      </c>
      <c r="FI5" s="411" t="str">
        <f>IF($D5="","",IF($D5='Match Day Reports'!$H$541,"Yes",""))</f>
        <v/>
      </c>
      <c r="FJ5" s="97"/>
      <c r="FK5" s="97"/>
      <c r="FL5" s="412" t="str">
        <f>IF($D5="","",IF(COUNTIFS('Match Day Reports'!$C$571:$C$588,$D5)=0,"",SUMIFS('Match Day Reports'!$I$571:$I$588,'Match Day Reports'!$C$571:$C$588,$D5)))</f>
        <v/>
      </c>
      <c r="FM5" s="411" t="str">
        <f>IF($D5="","",IF($D5='Match Day Reports'!$H$568,"Yes",""))</f>
        <v/>
      </c>
      <c r="FN5" s="97"/>
      <c r="FO5" s="97"/>
      <c r="FP5" s="412" t="str">
        <f>IF($D5="","",IF(COUNTIFS('Match Day Reports'!$C$598:$C$615,$D5)=0,"",SUMIFS('Match Day Reports'!$I$598:$I$615,'Match Day Reports'!$C$598:$C$615,$D5)))</f>
        <v/>
      </c>
      <c r="FQ5" s="411" t="str">
        <f>IF($D5="","",IF($D5='Match Day Reports'!$H$595,"Yes",""))</f>
        <v/>
      </c>
      <c r="FR5" s="97"/>
      <c r="FS5" s="97"/>
      <c r="FT5" s="412" t="str">
        <f>IF($D5="","",IF(COUNTIFS('Match Day Reports'!$C$625:$C$642,$D5)=0,"",SUMIFS('Match Day Reports'!$I$625:$I$642,'Match Day Reports'!$C$625:$C$642,$D5)))</f>
        <v/>
      </c>
      <c r="FU5" s="411" t="str">
        <f>IF($D5="","",IF($D5='Match Day Reports'!$H$622,"Yes",""))</f>
        <v/>
      </c>
      <c r="FV5" s="97"/>
      <c r="FW5" s="97"/>
      <c r="FX5" s="412" t="str">
        <f>IF($D5="","",IF(COUNTIFS('Match Day Reports'!$C$652:$C$669,$D5)=0,"",SUMIFS('Match Day Reports'!$I$652:$I$669,'Match Day Reports'!$C$652:$C$669,$D5)))</f>
        <v/>
      </c>
      <c r="FY5" s="411" t="str">
        <f>IF($D5="","",IF($D5='Match Day Reports'!$H$649,"Yes",""))</f>
        <v/>
      </c>
      <c r="GA5" s="98">
        <f t="shared" ref="GA5:GA24" si="0">IF($D5="","",COUNTIFS($E$4:$CN$4,"Att",$E5:$CN5,"Yes"))</f>
        <v>3</v>
      </c>
      <c r="GB5" s="99" cm="1">
        <f t="array" ref="GB5">IF($D5="","",SUMPRODUCT(($E$4:$CN$4="Att")*((($E$3:$CN$3&lt;&gt;"")+($E5:$CN5="Yes")+($E5:$CN5="No"))&gt;0)))</f>
        <v>3</v>
      </c>
      <c r="GC5" s="100">
        <f>IF($D5="","",IF($GB5=0,"",MIN(1,$GA5/$GB5)))</f>
        <v>1</v>
      </c>
      <c r="GD5" s="35">
        <f t="shared" ref="GD5:GD24" si="1">IF($D5="","",IF(COUNTIFS($E$4:$CN$4,"WR",$E5:$CN5,"&gt;0")=0,"",SUMIF($E$4:$CN$4,"WR",$E5:$CN5)/COUNTIFS($E$4:$CN$4,"WR",$E5:$CN5,"&gt;0")))</f>
        <v>3</v>
      </c>
      <c r="GE5" s="100">
        <f>IF($D5="","",IF($GD5="","",MIN(1,$GD5/5)))</f>
        <v>0.6</v>
      </c>
      <c r="GF5" s="99">
        <f t="array" ref="GF5">IF($D5="","",SUMPRODUCT(($CP$4:$FY$4="Att")*($CP$2:$FY$2&lt;&gt;"")*($CP5:$FY5&lt;&gt;"N-A")*($CP5:$FY5&lt;&gt;"")))</f>
        <v>0</v>
      </c>
      <c r="GG5" s="99">
        <f t="shared" ref="GG5:GG24" si="2">IF($D5="","",COUNTIFS($CP$4:$FY$4,"Att",$CP5:$FY5,"Yes"))</f>
        <v>0</v>
      </c>
      <c r="GH5" s="100" t="str">
        <f>IF($D5="","",IF($GF5=0,"",MIN(1,$GG5/$GF5)))</f>
        <v/>
      </c>
      <c r="GI5" s="99">
        <f t="shared" ref="GI5:GI24" si="3">IF($D5="","",SUMIF($CP$4:$FY$4,"Mins",$CP5:$FY5))</f>
        <v>0</v>
      </c>
      <c r="GJ5" s="35" t="str">
        <f t="shared" ref="GJ5:GJ24" si="4">IF($D5="","",IF($GG5=0,"",$GI5/$GG5))</f>
        <v/>
      </c>
      <c r="GK5" s="35">
        <f t="shared" ref="GK5:GK24" si="5">IF($D5="","",IF(COUNTIFS($CP$4:$FY$4,"Rating",$CP5:$FY5,"&gt;0")=0,"",SUMIF($CP$4:$FY$4,"Rating",$CP5:$FY5)/COUNTIFS($CP$4:$FY$4,"Rating",$CP5:$FY5,"&gt;0")))</f>
        <v>6.5</v>
      </c>
      <c r="GL5" s="100">
        <f>IF($D5="","",IF($GK5="","",MIN(1,$GK5/10)))</f>
        <v>0.65</v>
      </c>
      <c r="GM5" s="99">
        <f t="shared" ref="GM5:GM24" si="6">IF($D5="","",COUNTIFS($CP$4:$FY$4,"MOTM",$CP5:$FY5,"Yes"))</f>
        <v>0</v>
      </c>
      <c r="GN5" s="101">
        <f t="shared" ref="GN5:GN24" si="7">IF($D5="","",IF($GG5=0,(N($GC5)*$GA$2+N($GE5)*$GB$2)/MAX(0.0001,$GA$2+$GB$2),N($GC5)*$GA$2+N($GE5)*$GB$2+N($GH5)*$GC$2+N($GL5)*$GD$2))</f>
        <v>0.76666666666666661</v>
      </c>
      <c r="GO5" s="102" t="str">
        <f t="shared" ref="GO5:GO24" si="8">IF($D5="","",$D5)</f>
        <v>Aoife Kennan</v>
      </c>
      <c r="GP5" s="103"/>
      <c r="GQ5" s="103"/>
      <c r="GR5" s="103"/>
      <c r="GS5" s="104"/>
    </row>
    <row r="6" spans="2:201" x14ac:dyDescent="0.45">
      <c r="B6" s="500"/>
      <c r="C6" s="60">
        <v>2</v>
      </c>
      <c r="D6" s="105" t="s">
        <v>57</v>
      </c>
      <c r="E6" s="97" t="s">
        <v>54</v>
      </c>
      <c r="F6" s="97">
        <v>3</v>
      </c>
      <c r="G6" s="97" t="s">
        <v>54</v>
      </c>
      <c r="H6" s="97">
        <v>3</v>
      </c>
      <c r="I6" s="97" t="s">
        <v>54</v>
      </c>
      <c r="J6" s="97">
        <v>3</v>
      </c>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c r="BU6" s="97"/>
      <c r="BV6" s="97"/>
      <c r="BW6" s="97"/>
      <c r="BX6" s="97"/>
      <c r="BY6" s="97"/>
      <c r="BZ6" s="97"/>
      <c r="CA6" s="97"/>
      <c r="CB6" s="97"/>
      <c r="CC6" s="97"/>
      <c r="CD6" s="97"/>
      <c r="CE6" s="97"/>
      <c r="CF6" s="97"/>
      <c r="CG6" s="97"/>
      <c r="CH6" s="97"/>
      <c r="CI6" s="97"/>
      <c r="CJ6" s="97"/>
      <c r="CK6" s="97"/>
      <c r="CL6" s="97"/>
      <c r="CM6" s="97"/>
      <c r="CN6" s="97"/>
      <c r="CP6" s="97"/>
      <c r="CQ6" s="97"/>
      <c r="CR6" s="412">
        <f>IF($D6="","",IF(COUNTIFS('Match Day Reports'!$C$85:$C$102,$D6)=0,"",SUMIFS('Match Day Reports'!$I$85:$I$102,'Match Day Reports'!$C$85:$C$102,$D6)))</f>
        <v>7.5</v>
      </c>
      <c r="CS6" s="411" t="str">
        <f>IF($D6="","",IF($D6='Match Day Reports'!$H$82,"Yes",""))</f>
        <v/>
      </c>
      <c r="CT6" s="97"/>
      <c r="CU6" s="97"/>
      <c r="CV6" s="412" t="str">
        <f>IF($D6="","",IF(COUNTIFS('Match Day Reports'!$C$112:$C$129,$D6)=0,"",SUMIFS('Match Day Reports'!$I$112:$I$129,'Match Day Reports'!$C$112:$C$129,$D6)))</f>
        <v/>
      </c>
      <c r="CW6" s="411" t="str">
        <f>IF($D6="","",IF($D6='Match Day Reports'!$H$109,"Yes",""))</f>
        <v/>
      </c>
      <c r="CX6" s="97"/>
      <c r="CY6" s="97"/>
      <c r="CZ6" s="412" t="str">
        <f>IF($D6="","",IF(COUNTIFS('Match Day Reports'!$C$139:$C$156,$D6)=0,"",SUMIFS('Match Day Reports'!$I$139:$I$156,'Match Day Reports'!$C$139:$C$156,$D6)))</f>
        <v/>
      </c>
      <c r="DA6" s="411" t="str">
        <f>IF($D6="","",IF($D6='Match Day Reports'!$H$136,"Yes",""))</f>
        <v/>
      </c>
      <c r="DB6" s="97"/>
      <c r="DC6" s="97"/>
      <c r="DD6" s="412" t="str">
        <f>IF($D6="","",IF(COUNTIFS('Match Day Reports'!$C$166:$C$183,$D6)=0,"",SUMIFS('Match Day Reports'!$I$166:$I$183,'Match Day Reports'!$C$166:$C$183,$D6)))</f>
        <v/>
      </c>
      <c r="DE6" s="411" t="str">
        <f>IF($D6="","",IF($D6='Match Day Reports'!$H$163,"Yes",""))</f>
        <v/>
      </c>
      <c r="DF6" s="97"/>
      <c r="DG6" s="97"/>
      <c r="DH6" s="412" t="str">
        <f>IF($D6="","",IF(COUNTIFS('Match Day Reports'!$C$193:$C$210,$D6)=0,"",SUMIFS('Match Day Reports'!$I$193:$I$210,'Match Day Reports'!$C$193:$C$210,$D6)))</f>
        <v/>
      </c>
      <c r="DI6" s="411" t="str">
        <f>IF($D6="","",IF($D6='Match Day Reports'!$H$190,"Yes",""))</f>
        <v/>
      </c>
      <c r="DJ6" s="97"/>
      <c r="DK6" s="97"/>
      <c r="DL6" s="412" t="str">
        <f>IF($D6="","",IF(COUNTIFS('Match Day Reports'!$C$220:$C$237,$D6)=0,"",SUMIFS('Match Day Reports'!$I$220:$I$237,'Match Day Reports'!$C$220:$C$237,$D6)))</f>
        <v/>
      </c>
      <c r="DM6" s="411" t="str">
        <f>IF($D6="","",IF($D6='Match Day Reports'!$H$217,"Yes",""))</f>
        <v/>
      </c>
      <c r="DN6" s="97"/>
      <c r="DO6" s="97"/>
      <c r="DP6" s="412" t="str">
        <f>IF($D6="","",IF(COUNTIFS('Match Day Reports'!$C$247:$C$264,$D6)=0,"",SUMIFS('Match Day Reports'!$I$247:$I$264,'Match Day Reports'!$C$247:$C$264,$D6)))</f>
        <v/>
      </c>
      <c r="DQ6" s="411" t="str">
        <f>IF($D6="","",IF($D6='Match Day Reports'!$H$244,"Yes",""))</f>
        <v/>
      </c>
      <c r="DR6" s="97"/>
      <c r="DS6" s="97"/>
      <c r="DT6" s="412" t="str">
        <f>IF($D6="","",IF(COUNTIFS('Match Day Reports'!$C$274:$C$291,$D6)=0,"",SUMIFS('Match Day Reports'!$I$274:$I$291,'Match Day Reports'!$C$274:$C$291,$D6)))</f>
        <v/>
      </c>
      <c r="DU6" s="411" t="str">
        <f>IF($D6="","",IF($D6='Match Day Reports'!$H$271,"Yes",""))</f>
        <v/>
      </c>
      <c r="DV6" s="97"/>
      <c r="DW6" s="97"/>
      <c r="DX6" s="412" t="str">
        <f>IF($D6="","",IF(COUNTIFS('Match Day Reports'!$C$301:$C$318,$D6)=0,"",SUMIFS('Match Day Reports'!$I$301:$I$318,'Match Day Reports'!$C$301:$C$318,$D6)))</f>
        <v/>
      </c>
      <c r="DY6" s="411" t="str">
        <f>IF($D6="","",IF($D6='Match Day Reports'!$H$298,"Yes",""))</f>
        <v/>
      </c>
      <c r="DZ6" s="97"/>
      <c r="EA6" s="97"/>
      <c r="EB6" s="412" t="str">
        <f>IF($D6="","",IF(COUNTIFS('Match Day Reports'!$C$328:$C$345,$D6)=0,"",SUMIFS('Match Day Reports'!$I$328:$I$345,'Match Day Reports'!$C$328:$C$345,$D6)))</f>
        <v/>
      </c>
      <c r="EC6" s="411" t="str">
        <f>IF($D6="","",IF($D6='Match Day Reports'!$H$325,"Yes",""))</f>
        <v/>
      </c>
      <c r="ED6" s="97"/>
      <c r="EE6" s="97"/>
      <c r="EF6" s="412" t="str">
        <f>IF($D6="","",IF(COUNTIFS('Match Day Reports'!$C$355:$C$372,$D6)=0,"",SUMIFS('Match Day Reports'!$I$355:$I$372,'Match Day Reports'!$C$355:$C$372,$D6)))</f>
        <v/>
      </c>
      <c r="EG6" s="411" t="str">
        <f>IF($D6="","",IF($D6='Match Day Reports'!$H$352,"Yes",""))</f>
        <v/>
      </c>
      <c r="EH6" s="97"/>
      <c r="EI6" s="97"/>
      <c r="EJ6" s="412" t="str">
        <f>IF($D6="","",IF(COUNTIFS('Match Day Reports'!$C$382:$C$399,$D6)=0,"",SUMIFS('Match Day Reports'!$I$382:$I$399,'Match Day Reports'!$C$382:$C$399,$D6)))</f>
        <v/>
      </c>
      <c r="EK6" s="411" t="str">
        <f>IF($D6="","",IF($D6='Match Day Reports'!$H$379,"Yes",""))</f>
        <v/>
      </c>
      <c r="EL6" s="97"/>
      <c r="EM6" s="97"/>
      <c r="EN6" s="412" t="str">
        <f>IF($D6="","",IF(COUNTIFS('Match Day Reports'!$C$409:$C$426,$D6)=0,"",SUMIFS('Match Day Reports'!$I$409:$I$426,'Match Day Reports'!$C$409:$C$426,$D6)))</f>
        <v/>
      </c>
      <c r="EO6" s="411" t="str">
        <f>IF($D6="","",IF($D6='Match Day Reports'!$H$406,"Yes",""))</f>
        <v/>
      </c>
      <c r="EP6" s="97"/>
      <c r="EQ6" s="97"/>
      <c r="ER6" s="412" t="str">
        <f>IF($D6="","",IF(COUNTIFS('Match Day Reports'!$C$436:$C$453,$D6)=0,"",SUMIFS('Match Day Reports'!$I$436:$I$453,'Match Day Reports'!$C$436:$C$453,$D6)))</f>
        <v/>
      </c>
      <c r="ES6" s="411" t="str">
        <f>IF($D6="","",IF($D6='Match Day Reports'!$H$433,"Yes",""))</f>
        <v/>
      </c>
      <c r="ET6" s="97"/>
      <c r="EU6" s="97"/>
      <c r="EV6" s="412" t="str">
        <f>IF($D6="","",IF(COUNTIFS('Match Day Reports'!$C$463:$C$480,$D6)=0,"",SUMIFS('Match Day Reports'!$I$463:$I$480,'Match Day Reports'!$C$463:$C$480,$D6)))</f>
        <v/>
      </c>
      <c r="EW6" s="411" t="str">
        <f>IF($D6="","",IF($D6='Match Day Reports'!$H$460,"Yes",""))</f>
        <v/>
      </c>
      <c r="EX6" s="97"/>
      <c r="EY6" s="97"/>
      <c r="EZ6" s="412" t="str">
        <f>IF($D6="","",IF(COUNTIFS('Match Day Reports'!$C$490:$C$507,$D6)=0,"",SUMIFS('Match Day Reports'!$I$490:$I$507,'Match Day Reports'!$C$490:$C$507,$D6)))</f>
        <v/>
      </c>
      <c r="FA6" s="411" t="str">
        <f>IF($D6="","",IF($D6='Match Day Reports'!$H$487,"Yes",""))</f>
        <v/>
      </c>
      <c r="FB6" s="97"/>
      <c r="FC6" s="97"/>
      <c r="FD6" s="412" t="str">
        <f>IF($D6="","",IF(COUNTIFS('Match Day Reports'!$C$517:$C$534,$D6)=0,"",SUMIFS('Match Day Reports'!$I$517:$I$534,'Match Day Reports'!$C$517:$C$534,$D6)))</f>
        <v/>
      </c>
      <c r="FE6" s="411" t="str">
        <f>IF($D6="","",IF($D6='Match Day Reports'!$H$514,"Yes",""))</f>
        <v/>
      </c>
      <c r="FF6" s="97"/>
      <c r="FG6" s="97"/>
      <c r="FH6" s="412" t="str">
        <f>IF($D6="","",IF(COUNTIFS('Match Day Reports'!$C$544:$C$561,$D6)=0,"",SUMIFS('Match Day Reports'!$I$544:$I$561,'Match Day Reports'!$C$544:$C$561,$D6)))</f>
        <v/>
      </c>
      <c r="FI6" s="411" t="str">
        <f>IF($D6="","",IF($D6='Match Day Reports'!$H$541,"Yes",""))</f>
        <v/>
      </c>
      <c r="FJ6" s="97"/>
      <c r="FK6" s="97"/>
      <c r="FL6" s="412" t="str">
        <f>IF($D6="","",IF(COUNTIFS('Match Day Reports'!$C$571:$C$588,$D6)=0,"",SUMIFS('Match Day Reports'!$I$571:$I$588,'Match Day Reports'!$C$571:$C$588,$D6)))</f>
        <v/>
      </c>
      <c r="FM6" s="411" t="str">
        <f>IF($D6="","",IF($D6='Match Day Reports'!$H$568,"Yes",""))</f>
        <v/>
      </c>
      <c r="FN6" s="97"/>
      <c r="FO6" s="97"/>
      <c r="FP6" s="412" t="str">
        <f>IF($D6="","",IF(COUNTIFS('Match Day Reports'!$C$598:$C$615,$D6)=0,"",SUMIFS('Match Day Reports'!$I$598:$I$615,'Match Day Reports'!$C$598:$C$615,$D6)))</f>
        <v/>
      </c>
      <c r="FQ6" s="411" t="str">
        <f>IF($D6="","",IF($D6='Match Day Reports'!$H$595,"Yes",""))</f>
        <v/>
      </c>
      <c r="FR6" s="97"/>
      <c r="FS6" s="97"/>
      <c r="FT6" s="412" t="str">
        <f>IF($D6="","",IF(COUNTIFS('Match Day Reports'!$C$625:$C$642,$D6)=0,"",SUMIFS('Match Day Reports'!$I$625:$I$642,'Match Day Reports'!$C$625:$C$642,$D6)))</f>
        <v/>
      </c>
      <c r="FU6" s="411" t="str">
        <f>IF($D6="","",IF($D6='Match Day Reports'!$H$622,"Yes",""))</f>
        <v/>
      </c>
      <c r="FV6" s="97"/>
      <c r="FW6" s="97"/>
      <c r="FX6" s="412" t="str">
        <f>IF($D6="","",IF(COUNTIFS('Match Day Reports'!$C$652:$C$669,$D6)=0,"",SUMIFS('Match Day Reports'!$I$652:$I$669,'Match Day Reports'!$C$652:$C$669,$D6)))</f>
        <v/>
      </c>
      <c r="FY6" s="411" t="str">
        <f>IF($D6="","",IF($D6='Match Day Reports'!$H$649,"Yes",""))</f>
        <v/>
      </c>
      <c r="GA6" s="106">
        <f t="shared" si="0"/>
        <v>3</v>
      </c>
      <c r="GB6" s="107" cm="1">
        <f t="array" ref="GB6">IF($D6="","",SUMPRODUCT(($E$4:$CN$4="Att")*((($E$3:$CN$3&lt;&gt;"")+($E6:$CN6="Yes")+($E6:$CN6="No"))&gt;0)))</f>
        <v>3</v>
      </c>
      <c r="GC6" s="108">
        <f t="shared" ref="GC6:GC24" si="9">IF($D6="","",IF($GB6=0,"",MIN(1,$GA6/$GB6)))</f>
        <v>1</v>
      </c>
      <c r="GD6" s="109">
        <f t="shared" si="1"/>
        <v>3</v>
      </c>
      <c r="GE6" s="108">
        <f t="shared" ref="GE6:GE24" si="10">IF($D6="","",IF($GD6="","",MIN(1,$GD6/5)))</f>
        <v>0.6</v>
      </c>
      <c r="GF6" s="107">
        <f t="array" ref="GF6">IF($D6="","",SUMPRODUCT(($CP$4:$FY$4="Att")*($CP$2:$FY$2&lt;&gt;"")*($CP6:$FY6&lt;&gt;"N-A")*($CP6:$FY6&lt;&gt;"")))</f>
        <v>0</v>
      </c>
      <c r="GG6" s="107">
        <f t="shared" si="2"/>
        <v>0</v>
      </c>
      <c r="GH6" s="108" t="str">
        <f t="shared" ref="GH6:GH24" si="11">IF($D6="","",IF($GF6=0,"",MIN(1,$GG6/$GF6)))</f>
        <v/>
      </c>
      <c r="GI6" s="107">
        <f t="shared" si="3"/>
        <v>0</v>
      </c>
      <c r="GJ6" s="109" t="str">
        <f t="shared" si="4"/>
        <v/>
      </c>
      <c r="GK6" s="109">
        <f t="shared" si="5"/>
        <v>7.5</v>
      </c>
      <c r="GL6" s="108">
        <f t="shared" ref="GL6:GL24" si="12">IF($D6="","",IF($GK6="","",MIN(1,$GK6/10)))</f>
        <v>0.75</v>
      </c>
      <c r="GM6" s="107">
        <f t="shared" si="6"/>
        <v>0</v>
      </c>
      <c r="GN6" s="110">
        <f t="shared" si="7"/>
        <v>0.76666666666666661</v>
      </c>
      <c r="GO6" s="111" t="str">
        <f t="shared" si="8"/>
        <v>Stella McEvoy</v>
      </c>
      <c r="GP6" s="103"/>
      <c r="GQ6" s="103"/>
      <c r="GR6" s="103"/>
      <c r="GS6" s="104"/>
    </row>
    <row r="7" spans="2:201" x14ac:dyDescent="0.45">
      <c r="B7" s="500"/>
      <c r="C7" s="60">
        <v>3</v>
      </c>
      <c r="D7" s="105" t="s">
        <v>60</v>
      </c>
      <c r="E7" s="97" t="s">
        <v>55</v>
      </c>
      <c r="F7" s="97"/>
      <c r="G7" s="97" t="s">
        <v>55</v>
      </c>
      <c r="H7" s="97"/>
      <c r="I7" s="97" t="s">
        <v>55</v>
      </c>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7"/>
      <c r="CP7" s="97"/>
      <c r="CQ7" s="97"/>
      <c r="CR7" s="412" t="str">
        <f>IF($D7="","",IF(COUNTIFS('Match Day Reports'!$C$85:$C$102,$D7)=0,"",SUMIFS('Match Day Reports'!$I$85:$I$102,'Match Day Reports'!$C$85:$C$102,$D7)))</f>
        <v/>
      </c>
      <c r="CS7" s="411" t="str">
        <f>IF($D7="","",IF($D7='Match Day Reports'!$H$82,"Yes",""))</f>
        <v/>
      </c>
      <c r="CT7" s="97"/>
      <c r="CU7" s="97"/>
      <c r="CV7" s="412" t="str">
        <f>IF($D7="","",IF(COUNTIFS('Match Day Reports'!$C$112:$C$129,$D7)=0,"",SUMIFS('Match Day Reports'!$I$112:$I$129,'Match Day Reports'!$C$112:$C$129,$D7)))</f>
        <v/>
      </c>
      <c r="CW7" s="411" t="str">
        <f>IF($D7="","",IF($D7='Match Day Reports'!$H$109,"Yes",""))</f>
        <v/>
      </c>
      <c r="CX7" s="97"/>
      <c r="CY7" s="97"/>
      <c r="CZ7" s="412" t="str">
        <f>IF($D7="","",IF(COUNTIFS('Match Day Reports'!$C$139:$C$156,$D7)=0,"",SUMIFS('Match Day Reports'!$I$139:$I$156,'Match Day Reports'!$C$139:$C$156,$D7)))</f>
        <v/>
      </c>
      <c r="DA7" s="411" t="str">
        <f>IF($D7="","",IF($D7='Match Day Reports'!$H$136,"Yes",""))</f>
        <v/>
      </c>
      <c r="DB7" s="97"/>
      <c r="DC7" s="97"/>
      <c r="DD7" s="412" t="str">
        <f>IF($D7="","",IF(COUNTIFS('Match Day Reports'!$C$166:$C$183,$D7)=0,"",SUMIFS('Match Day Reports'!$I$166:$I$183,'Match Day Reports'!$C$166:$C$183,$D7)))</f>
        <v/>
      </c>
      <c r="DE7" s="411" t="str">
        <f>IF($D7="","",IF($D7='Match Day Reports'!$H$163,"Yes",""))</f>
        <v/>
      </c>
      <c r="DF7" s="97"/>
      <c r="DG7" s="97"/>
      <c r="DH7" s="412" t="str">
        <f>IF($D7="","",IF(COUNTIFS('Match Day Reports'!$C$193:$C$210,$D7)=0,"",SUMIFS('Match Day Reports'!$I$193:$I$210,'Match Day Reports'!$C$193:$C$210,$D7)))</f>
        <v/>
      </c>
      <c r="DI7" s="411" t="str">
        <f>IF($D7="","",IF($D7='Match Day Reports'!$H$190,"Yes",""))</f>
        <v/>
      </c>
      <c r="DJ7" s="97"/>
      <c r="DK7" s="97"/>
      <c r="DL7" s="412" t="str">
        <f>IF($D7="","",IF(COUNTIFS('Match Day Reports'!$C$220:$C$237,$D7)=0,"",SUMIFS('Match Day Reports'!$I$220:$I$237,'Match Day Reports'!$C$220:$C$237,$D7)))</f>
        <v/>
      </c>
      <c r="DM7" s="411" t="str">
        <f>IF($D7="","",IF($D7='Match Day Reports'!$H$217,"Yes",""))</f>
        <v/>
      </c>
      <c r="DN7" s="97"/>
      <c r="DO7" s="97"/>
      <c r="DP7" s="412" t="str">
        <f>IF($D7="","",IF(COUNTIFS('Match Day Reports'!$C$247:$C$264,$D7)=0,"",SUMIFS('Match Day Reports'!$I$247:$I$264,'Match Day Reports'!$C$247:$C$264,$D7)))</f>
        <v/>
      </c>
      <c r="DQ7" s="411" t="str">
        <f>IF($D7="","",IF($D7='Match Day Reports'!$H$244,"Yes",""))</f>
        <v/>
      </c>
      <c r="DR7" s="97"/>
      <c r="DS7" s="97"/>
      <c r="DT7" s="412" t="str">
        <f>IF($D7="","",IF(COUNTIFS('Match Day Reports'!$C$274:$C$291,$D7)=0,"",SUMIFS('Match Day Reports'!$I$274:$I$291,'Match Day Reports'!$C$274:$C$291,$D7)))</f>
        <v/>
      </c>
      <c r="DU7" s="411" t="str">
        <f>IF($D7="","",IF($D7='Match Day Reports'!$H$271,"Yes",""))</f>
        <v/>
      </c>
      <c r="DV7" s="97"/>
      <c r="DW7" s="97"/>
      <c r="DX7" s="412" t="str">
        <f>IF($D7="","",IF(COUNTIFS('Match Day Reports'!$C$301:$C$318,$D7)=0,"",SUMIFS('Match Day Reports'!$I$301:$I$318,'Match Day Reports'!$C$301:$C$318,$D7)))</f>
        <v/>
      </c>
      <c r="DY7" s="411" t="str">
        <f>IF($D7="","",IF($D7='Match Day Reports'!$H$298,"Yes",""))</f>
        <v/>
      </c>
      <c r="DZ7" s="97"/>
      <c r="EA7" s="97"/>
      <c r="EB7" s="412" t="str">
        <f>IF($D7="","",IF(COUNTIFS('Match Day Reports'!$C$328:$C$345,$D7)=0,"",SUMIFS('Match Day Reports'!$I$328:$I$345,'Match Day Reports'!$C$328:$C$345,$D7)))</f>
        <v/>
      </c>
      <c r="EC7" s="411" t="str">
        <f>IF($D7="","",IF($D7='Match Day Reports'!$H$325,"Yes",""))</f>
        <v/>
      </c>
      <c r="ED7" s="97"/>
      <c r="EE7" s="97"/>
      <c r="EF7" s="412" t="str">
        <f>IF($D7="","",IF(COUNTIFS('Match Day Reports'!$C$355:$C$372,$D7)=0,"",SUMIFS('Match Day Reports'!$I$355:$I$372,'Match Day Reports'!$C$355:$C$372,$D7)))</f>
        <v/>
      </c>
      <c r="EG7" s="411" t="str">
        <f>IF($D7="","",IF($D7='Match Day Reports'!$H$352,"Yes",""))</f>
        <v/>
      </c>
      <c r="EH7" s="97"/>
      <c r="EI7" s="97"/>
      <c r="EJ7" s="412" t="str">
        <f>IF($D7="","",IF(COUNTIFS('Match Day Reports'!$C$382:$C$399,$D7)=0,"",SUMIFS('Match Day Reports'!$I$382:$I$399,'Match Day Reports'!$C$382:$C$399,$D7)))</f>
        <v/>
      </c>
      <c r="EK7" s="411" t="str">
        <f>IF($D7="","",IF($D7='Match Day Reports'!$H$379,"Yes",""))</f>
        <v/>
      </c>
      <c r="EL7" s="97"/>
      <c r="EM7" s="97"/>
      <c r="EN7" s="412" t="str">
        <f>IF($D7="","",IF(COUNTIFS('Match Day Reports'!$C$409:$C$426,$D7)=0,"",SUMIFS('Match Day Reports'!$I$409:$I$426,'Match Day Reports'!$C$409:$C$426,$D7)))</f>
        <v/>
      </c>
      <c r="EO7" s="411" t="str">
        <f>IF($D7="","",IF($D7='Match Day Reports'!$H$406,"Yes",""))</f>
        <v/>
      </c>
      <c r="EP7" s="97"/>
      <c r="EQ7" s="97"/>
      <c r="ER7" s="412" t="str">
        <f>IF($D7="","",IF(COUNTIFS('Match Day Reports'!$C$436:$C$453,$D7)=0,"",SUMIFS('Match Day Reports'!$I$436:$I$453,'Match Day Reports'!$C$436:$C$453,$D7)))</f>
        <v/>
      </c>
      <c r="ES7" s="411" t="str">
        <f>IF($D7="","",IF($D7='Match Day Reports'!$H$433,"Yes",""))</f>
        <v/>
      </c>
      <c r="ET7" s="97"/>
      <c r="EU7" s="97"/>
      <c r="EV7" s="412" t="str">
        <f>IF($D7="","",IF(COUNTIFS('Match Day Reports'!$C$463:$C$480,$D7)=0,"",SUMIFS('Match Day Reports'!$I$463:$I$480,'Match Day Reports'!$C$463:$C$480,$D7)))</f>
        <v/>
      </c>
      <c r="EW7" s="411" t="str">
        <f>IF($D7="","",IF($D7='Match Day Reports'!$H$460,"Yes",""))</f>
        <v/>
      </c>
      <c r="EX7" s="97"/>
      <c r="EY7" s="97"/>
      <c r="EZ7" s="412" t="str">
        <f>IF($D7="","",IF(COUNTIFS('Match Day Reports'!$C$490:$C$507,$D7)=0,"",SUMIFS('Match Day Reports'!$I$490:$I$507,'Match Day Reports'!$C$490:$C$507,$D7)))</f>
        <v/>
      </c>
      <c r="FA7" s="411" t="str">
        <f>IF($D7="","",IF($D7='Match Day Reports'!$H$487,"Yes",""))</f>
        <v/>
      </c>
      <c r="FB7" s="97"/>
      <c r="FC7" s="97"/>
      <c r="FD7" s="412" t="str">
        <f>IF($D7="","",IF(COUNTIFS('Match Day Reports'!$C$517:$C$534,$D7)=0,"",SUMIFS('Match Day Reports'!$I$517:$I$534,'Match Day Reports'!$C$517:$C$534,$D7)))</f>
        <v/>
      </c>
      <c r="FE7" s="411" t="str">
        <f>IF($D7="","",IF($D7='Match Day Reports'!$H$514,"Yes",""))</f>
        <v/>
      </c>
      <c r="FF7" s="97"/>
      <c r="FG7" s="97"/>
      <c r="FH7" s="412" t="str">
        <f>IF($D7="","",IF(COUNTIFS('Match Day Reports'!$C$544:$C$561,$D7)=0,"",SUMIFS('Match Day Reports'!$I$544:$I$561,'Match Day Reports'!$C$544:$C$561,$D7)))</f>
        <v/>
      </c>
      <c r="FI7" s="411" t="str">
        <f>IF($D7="","",IF($D7='Match Day Reports'!$H$541,"Yes",""))</f>
        <v/>
      </c>
      <c r="FJ7" s="97"/>
      <c r="FK7" s="97"/>
      <c r="FL7" s="412" t="str">
        <f>IF($D7="","",IF(COUNTIFS('Match Day Reports'!$C$571:$C$588,$D7)=0,"",SUMIFS('Match Day Reports'!$I$571:$I$588,'Match Day Reports'!$C$571:$C$588,$D7)))</f>
        <v/>
      </c>
      <c r="FM7" s="411" t="str">
        <f>IF($D7="","",IF($D7='Match Day Reports'!$H$568,"Yes",""))</f>
        <v/>
      </c>
      <c r="FN7" s="97"/>
      <c r="FO7" s="97"/>
      <c r="FP7" s="412" t="str">
        <f>IF($D7="","",IF(COUNTIFS('Match Day Reports'!$C$598:$C$615,$D7)=0,"",SUMIFS('Match Day Reports'!$I$598:$I$615,'Match Day Reports'!$C$598:$C$615,$D7)))</f>
        <v/>
      </c>
      <c r="FQ7" s="411" t="str">
        <f>IF($D7="","",IF($D7='Match Day Reports'!$H$595,"Yes",""))</f>
        <v/>
      </c>
      <c r="FR7" s="97"/>
      <c r="FS7" s="97"/>
      <c r="FT7" s="412" t="str">
        <f>IF($D7="","",IF(COUNTIFS('Match Day Reports'!$C$625:$C$642,$D7)=0,"",SUMIFS('Match Day Reports'!$I$625:$I$642,'Match Day Reports'!$C$625:$C$642,$D7)))</f>
        <v/>
      </c>
      <c r="FU7" s="411" t="str">
        <f>IF($D7="","",IF($D7='Match Day Reports'!$H$622,"Yes",""))</f>
        <v/>
      </c>
      <c r="FV7" s="97"/>
      <c r="FW7" s="97"/>
      <c r="FX7" s="412" t="str">
        <f>IF($D7="","",IF(COUNTIFS('Match Day Reports'!$C$652:$C$669,$D7)=0,"",SUMIFS('Match Day Reports'!$I$652:$I$669,'Match Day Reports'!$C$652:$C$669,$D7)))</f>
        <v/>
      </c>
      <c r="FY7" s="411" t="str">
        <f>IF($D7="","",IF($D7='Match Day Reports'!$H$649,"Yes",""))</f>
        <v/>
      </c>
      <c r="GA7" s="98">
        <f t="shared" si="0"/>
        <v>0</v>
      </c>
      <c r="GB7" s="99" cm="1">
        <f t="array" ref="GB7">IF($D7="","",SUMPRODUCT(($E$4:$CN$4="Att")*((($E$3:$CN$3&lt;&gt;"")+($E7:$CN7="Yes")+($E7:$CN7="No"))&gt;0)))</f>
        <v>3</v>
      </c>
      <c r="GC7" s="100">
        <f t="shared" si="9"/>
        <v>0</v>
      </c>
      <c r="GD7" s="35" t="str">
        <f t="shared" si="1"/>
        <v/>
      </c>
      <c r="GE7" s="100" t="str">
        <f t="shared" si="10"/>
        <v/>
      </c>
      <c r="GF7" s="99">
        <f t="array" ref="GF7">IF($D7="","",SUMPRODUCT(($CP$4:$FY$4="Att")*($CP$2:$FY$2&lt;&gt;"")*($CP7:$FY7&lt;&gt;"N-A")*($CP7:$FY7&lt;&gt;"")))</f>
        <v>0</v>
      </c>
      <c r="GG7" s="99">
        <f t="shared" si="2"/>
        <v>0</v>
      </c>
      <c r="GH7" s="100" t="str">
        <f t="shared" si="11"/>
        <v/>
      </c>
      <c r="GI7" s="99">
        <f t="shared" si="3"/>
        <v>0</v>
      </c>
      <c r="GJ7" s="35" t="str">
        <f t="shared" si="4"/>
        <v/>
      </c>
      <c r="GK7" s="35" t="str">
        <f t="shared" si="5"/>
        <v/>
      </c>
      <c r="GL7" s="100" t="str">
        <f t="shared" si="12"/>
        <v/>
      </c>
      <c r="GM7" s="99">
        <f t="shared" si="6"/>
        <v>0</v>
      </c>
      <c r="GN7" s="101">
        <f t="shared" si="7"/>
        <v>0</v>
      </c>
      <c r="GO7" s="102" t="str">
        <f t="shared" si="8"/>
        <v>Zara Power</v>
      </c>
      <c r="GP7" s="103"/>
      <c r="GQ7" s="103"/>
      <c r="GR7" s="103"/>
      <c r="GS7" s="104"/>
    </row>
    <row r="8" spans="2:201" x14ac:dyDescent="0.45">
      <c r="B8" s="500"/>
      <c r="C8" s="60">
        <v>4</v>
      </c>
      <c r="D8" s="105" t="s">
        <v>63</v>
      </c>
      <c r="E8" s="97" t="s">
        <v>55</v>
      </c>
      <c r="F8" s="97"/>
      <c r="G8" s="97" t="s">
        <v>55</v>
      </c>
      <c r="H8" s="97"/>
      <c r="I8" s="97" t="s">
        <v>55</v>
      </c>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P8" s="97"/>
      <c r="CQ8" s="97"/>
      <c r="CR8" s="412" t="str">
        <f>IF($D8="","",IF(COUNTIFS('Match Day Reports'!$C$85:$C$102,$D8)=0,"",SUMIFS('Match Day Reports'!$I$85:$I$102,'Match Day Reports'!$C$85:$C$102,$D8)))</f>
        <v/>
      </c>
      <c r="CS8" s="411" t="str">
        <f>IF($D8="","",IF($D8='Match Day Reports'!$H$82,"Yes",""))</f>
        <v/>
      </c>
      <c r="CT8" s="97"/>
      <c r="CU8" s="97"/>
      <c r="CV8" s="412" t="str">
        <f>IF($D8="","",IF(COUNTIFS('Match Day Reports'!$C$112:$C$129,$D8)=0,"",SUMIFS('Match Day Reports'!$I$112:$I$129,'Match Day Reports'!$C$112:$C$129,$D8)))</f>
        <v/>
      </c>
      <c r="CW8" s="411" t="str">
        <f>IF($D8="","",IF($D8='Match Day Reports'!$H$109,"Yes",""))</f>
        <v/>
      </c>
      <c r="CX8" s="97"/>
      <c r="CY8" s="97"/>
      <c r="CZ8" s="412" t="str">
        <f>IF($D8="","",IF(COUNTIFS('Match Day Reports'!$C$139:$C$156,$D8)=0,"",SUMIFS('Match Day Reports'!$I$139:$I$156,'Match Day Reports'!$C$139:$C$156,$D8)))</f>
        <v/>
      </c>
      <c r="DA8" s="411" t="str">
        <f>IF($D8="","",IF($D8='Match Day Reports'!$H$136,"Yes",""))</f>
        <v/>
      </c>
      <c r="DB8" s="97"/>
      <c r="DC8" s="97"/>
      <c r="DD8" s="412" t="str">
        <f>IF($D8="","",IF(COUNTIFS('Match Day Reports'!$C$166:$C$183,$D8)=0,"",SUMIFS('Match Day Reports'!$I$166:$I$183,'Match Day Reports'!$C$166:$C$183,$D8)))</f>
        <v/>
      </c>
      <c r="DE8" s="411" t="str">
        <f>IF($D8="","",IF($D8='Match Day Reports'!$H$163,"Yes",""))</f>
        <v/>
      </c>
      <c r="DF8" s="97"/>
      <c r="DG8" s="97"/>
      <c r="DH8" s="412" t="str">
        <f>IF($D8="","",IF(COUNTIFS('Match Day Reports'!$C$193:$C$210,$D8)=0,"",SUMIFS('Match Day Reports'!$I$193:$I$210,'Match Day Reports'!$C$193:$C$210,$D8)))</f>
        <v/>
      </c>
      <c r="DI8" s="411" t="str">
        <f>IF($D8="","",IF($D8='Match Day Reports'!$H$190,"Yes",""))</f>
        <v/>
      </c>
      <c r="DJ8" s="97"/>
      <c r="DK8" s="97"/>
      <c r="DL8" s="412" t="str">
        <f>IF($D8="","",IF(COUNTIFS('Match Day Reports'!$C$220:$C$237,$D8)=0,"",SUMIFS('Match Day Reports'!$I$220:$I$237,'Match Day Reports'!$C$220:$C$237,$D8)))</f>
        <v/>
      </c>
      <c r="DM8" s="411" t="str">
        <f>IF($D8="","",IF($D8='Match Day Reports'!$H$217,"Yes",""))</f>
        <v/>
      </c>
      <c r="DN8" s="97"/>
      <c r="DO8" s="97"/>
      <c r="DP8" s="412" t="str">
        <f>IF($D8="","",IF(COUNTIFS('Match Day Reports'!$C$247:$C$264,$D8)=0,"",SUMIFS('Match Day Reports'!$I$247:$I$264,'Match Day Reports'!$C$247:$C$264,$D8)))</f>
        <v/>
      </c>
      <c r="DQ8" s="411" t="str">
        <f>IF($D8="","",IF($D8='Match Day Reports'!$H$244,"Yes",""))</f>
        <v/>
      </c>
      <c r="DR8" s="97"/>
      <c r="DS8" s="97"/>
      <c r="DT8" s="412" t="str">
        <f>IF($D8="","",IF(COUNTIFS('Match Day Reports'!$C$274:$C$291,$D8)=0,"",SUMIFS('Match Day Reports'!$I$274:$I$291,'Match Day Reports'!$C$274:$C$291,$D8)))</f>
        <v/>
      </c>
      <c r="DU8" s="411" t="str">
        <f>IF($D8="","",IF($D8='Match Day Reports'!$H$271,"Yes",""))</f>
        <v/>
      </c>
      <c r="DV8" s="97"/>
      <c r="DW8" s="97"/>
      <c r="DX8" s="412" t="str">
        <f>IF($D8="","",IF(COUNTIFS('Match Day Reports'!$C$301:$C$318,$D8)=0,"",SUMIFS('Match Day Reports'!$I$301:$I$318,'Match Day Reports'!$C$301:$C$318,$D8)))</f>
        <v/>
      </c>
      <c r="DY8" s="411" t="str">
        <f>IF($D8="","",IF($D8='Match Day Reports'!$H$298,"Yes",""))</f>
        <v/>
      </c>
      <c r="DZ8" s="97"/>
      <c r="EA8" s="97"/>
      <c r="EB8" s="412" t="str">
        <f>IF($D8="","",IF(COUNTIFS('Match Day Reports'!$C$328:$C$345,$D8)=0,"",SUMIFS('Match Day Reports'!$I$328:$I$345,'Match Day Reports'!$C$328:$C$345,$D8)))</f>
        <v/>
      </c>
      <c r="EC8" s="411" t="str">
        <f>IF($D8="","",IF($D8='Match Day Reports'!$H$325,"Yes",""))</f>
        <v/>
      </c>
      <c r="ED8" s="97"/>
      <c r="EE8" s="97"/>
      <c r="EF8" s="412" t="str">
        <f>IF($D8="","",IF(COUNTIFS('Match Day Reports'!$C$355:$C$372,$D8)=0,"",SUMIFS('Match Day Reports'!$I$355:$I$372,'Match Day Reports'!$C$355:$C$372,$D8)))</f>
        <v/>
      </c>
      <c r="EG8" s="411" t="str">
        <f>IF($D8="","",IF($D8='Match Day Reports'!$H$352,"Yes",""))</f>
        <v/>
      </c>
      <c r="EH8" s="97"/>
      <c r="EI8" s="97"/>
      <c r="EJ8" s="412" t="str">
        <f>IF($D8="","",IF(COUNTIFS('Match Day Reports'!$C$382:$C$399,$D8)=0,"",SUMIFS('Match Day Reports'!$I$382:$I$399,'Match Day Reports'!$C$382:$C$399,$D8)))</f>
        <v/>
      </c>
      <c r="EK8" s="411" t="str">
        <f>IF($D8="","",IF($D8='Match Day Reports'!$H$379,"Yes",""))</f>
        <v/>
      </c>
      <c r="EL8" s="97"/>
      <c r="EM8" s="97"/>
      <c r="EN8" s="412" t="str">
        <f>IF($D8="","",IF(COUNTIFS('Match Day Reports'!$C$409:$C$426,$D8)=0,"",SUMIFS('Match Day Reports'!$I$409:$I$426,'Match Day Reports'!$C$409:$C$426,$D8)))</f>
        <v/>
      </c>
      <c r="EO8" s="411" t="str">
        <f>IF($D8="","",IF($D8='Match Day Reports'!$H$406,"Yes",""))</f>
        <v/>
      </c>
      <c r="EP8" s="97"/>
      <c r="EQ8" s="97"/>
      <c r="ER8" s="412" t="str">
        <f>IF($D8="","",IF(COUNTIFS('Match Day Reports'!$C$436:$C$453,$D8)=0,"",SUMIFS('Match Day Reports'!$I$436:$I$453,'Match Day Reports'!$C$436:$C$453,$D8)))</f>
        <v/>
      </c>
      <c r="ES8" s="411" t="str">
        <f>IF($D8="","",IF($D8='Match Day Reports'!$H$433,"Yes",""))</f>
        <v/>
      </c>
      <c r="ET8" s="97"/>
      <c r="EU8" s="97"/>
      <c r="EV8" s="412" t="str">
        <f>IF($D8="","",IF(COUNTIFS('Match Day Reports'!$C$463:$C$480,$D8)=0,"",SUMIFS('Match Day Reports'!$I$463:$I$480,'Match Day Reports'!$C$463:$C$480,$D8)))</f>
        <v/>
      </c>
      <c r="EW8" s="411" t="str">
        <f>IF($D8="","",IF($D8='Match Day Reports'!$H$460,"Yes",""))</f>
        <v/>
      </c>
      <c r="EX8" s="97"/>
      <c r="EY8" s="97"/>
      <c r="EZ8" s="412" t="str">
        <f>IF($D8="","",IF(COUNTIFS('Match Day Reports'!$C$490:$C$507,$D8)=0,"",SUMIFS('Match Day Reports'!$I$490:$I$507,'Match Day Reports'!$C$490:$C$507,$D8)))</f>
        <v/>
      </c>
      <c r="FA8" s="411" t="str">
        <f>IF($D8="","",IF($D8='Match Day Reports'!$H$487,"Yes",""))</f>
        <v/>
      </c>
      <c r="FB8" s="97"/>
      <c r="FC8" s="97"/>
      <c r="FD8" s="412" t="str">
        <f>IF($D8="","",IF(COUNTIFS('Match Day Reports'!$C$517:$C$534,$D8)=0,"",SUMIFS('Match Day Reports'!$I$517:$I$534,'Match Day Reports'!$C$517:$C$534,$D8)))</f>
        <v/>
      </c>
      <c r="FE8" s="411" t="str">
        <f>IF($D8="","",IF($D8='Match Day Reports'!$H$514,"Yes",""))</f>
        <v/>
      </c>
      <c r="FF8" s="97"/>
      <c r="FG8" s="97"/>
      <c r="FH8" s="412" t="str">
        <f>IF($D8="","",IF(COUNTIFS('Match Day Reports'!$C$544:$C$561,$D8)=0,"",SUMIFS('Match Day Reports'!$I$544:$I$561,'Match Day Reports'!$C$544:$C$561,$D8)))</f>
        <v/>
      </c>
      <c r="FI8" s="411" t="str">
        <f>IF($D8="","",IF($D8='Match Day Reports'!$H$541,"Yes",""))</f>
        <v/>
      </c>
      <c r="FJ8" s="97"/>
      <c r="FK8" s="97"/>
      <c r="FL8" s="412" t="str">
        <f>IF($D8="","",IF(COUNTIFS('Match Day Reports'!$C$571:$C$588,$D8)=0,"",SUMIFS('Match Day Reports'!$I$571:$I$588,'Match Day Reports'!$C$571:$C$588,$D8)))</f>
        <v/>
      </c>
      <c r="FM8" s="411" t="str">
        <f>IF($D8="","",IF($D8='Match Day Reports'!$H$568,"Yes",""))</f>
        <v/>
      </c>
      <c r="FN8" s="97"/>
      <c r="FO8" s="97"/>
      <c r="FP8" s="412" t="str">
        <f>IF($D8="","",IF(COUNTIFS('Match Day Reports'!$C$598:$C$615,$D8)=0,"",SUMIFS('Match Day Reports'!$I$598:$I$615,'Match Day Reports'!$C$598:$C$615,$D8)))</f>
        <v/>
      </c>
      <c r="FQ8" s="411" t="str">
        <f>IF($D8="","",IF($D8='Match Day Reports'!$H$595,"Yes",""))</f>
        <v/>
      </c>
      <c r="FR8" s="97"/>
      <c r="FS8" s="97"/>
      <c r="FT8" s="412" t="str">
        <f>IF($D8="","",IF(COUNTIFS('Match Day Reports'!$C$625:$C$642,$D8)=0,"",SUMIFS('Match Day Reports'!$I$625:$I$642,'Match Day Reports'!$C$625:$C$642,$D8)))</f>
        <v/>
      </c>
      <c r="FU8" s="411" t="str">
        <f>IF($D8="","",IF($D8='Match Day Reports'!$H$622,"Yes",""))</f>
        <v/>
      </c>
      <c r="FV8" s="97"/>
      <c r="FW8" s="97"/>
      <c r="FX8" s="412" t="str">
        <f>IF($D8="","",IF(COUNTIFS('Match Day Reports'!$C$652:$C$669,$D8)=0,"",SUMIFS('Match Day Reports'!$I$652:$I$669,'Match Day Reports'!$C$652:$C$669,$D8)))</f>
        <v/>
      </c>
      <c r="FY8" s="411" t="str">
        <f>IF($D8="","",IF($D8='Match Day Reports'!$H$649,"Yes",""))</f>
        <v/>
      </c>
      <c r="GA8" s="106">
        <f t="shared" si="0"/>
        <v>0</v>
      </c>
      <c r="GB8" s="107" cm="1">
        <f t="array" ref="GB8">IF($D8="","",SUMPRODUCT(($E$4:$CN$4="Att")*((($E$3:$CN$3&lt;&gt;"")+($E8:$CN8="Yes")+($E8:$CN8="No"))&gt;0)))</f>
        <v>3</v>
      </c>
      <c r="GC8" s="108">
        <f t="shared" si="9"/>
        <v>0</v>
      </c>
      <c r="GD8" s="109" t="str">
        <f t="shared" si="1"/>
        <v/>
      </c>
      <c r="GE8" s="108" t="str">
        <f t="shared" si="10"/>
        <v/>
      </c>
      <c r="GF8" s="107">
        <f t="array" ref="GF8">IF($D8="","",SUMPRODUCT(($CP$4:$FY$4="Att")*($CP$2:$FY$2&lt;&gt;"")*($CP8:$FY8&lt;&gt;"N-A")*($CP8:$FY8&lt;&gt;"")))</f>
        <v>0</v>
      </c>
      <c r="GG8" s="107">
        <f t="shared" si="2"/>
        <v>0</v>
      </c>
      <c r="GH8" s="108" t="str">
        <f t="shared" si="11"/>
        <v/>
      </c>
      <c r="GI8" s="107">
        <f t="shared" si="3"/>
        <v>0</v>
      </c>
      <c r="GJ8" s="109" t="str">
        <f t="shared" si="4"/>
        <v/>
      </c>
      <c r="GK8" s="109" t="str">
        <f t="shared" si="5"/>
        <v/>
      </c>
      <c r="GL8" s="108" t="str">
        <f t="shared" si="12"/>
        <v/>
      </c>
      <c r="GM8" s="107">
        <f t="shared" si="6"/>
        <v>0</v>
      </c>
      <c r="GN8" s="110">
        <f t="shared" si="7"/>
        <v>0</v>
      </c>
      <c r="GO8" s="111" t="str">
        <f t="shared" si="8"/>
        <v>Heidi Cerubini Dunne</v>
      </c>
      <c r="GP8" s="103"/>
      <c r="GQ8" s="103"/>
      <c r="GR8" s="103"/>
      <c r="GS8" s="104"/>
    </row>
    <row r="9" spans="2:201" x14ac:dyDescent="0.45">
      <c r="B9" s="500"/>
      <c r="C9" s="60">
        <v>5</v>
      </c>
      <c r="D9" s="105" t="s">
        <v>65</v>
      </c>
      <c r="E9" s="97" t="s">
        <v>54</v>
      </c>
      <c r="F9" s="97">
        <v>3</v>
      </c>
      <c r="G9" s="97" t="s">
        <v>54</v>
      </c>
      <c r="H9" s="97">
        <v>3</v>
      </c>
      <c r="I9" s="97" t="s">
        <v>54</v>
      </c>
      <c r="J9" s="97">
        <v>5</v>
      </c>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97"/>
      <c r="CH9" s="97"/>
      <c r="CI9" s="97"/>
      <c r="CJ9" s="97"/>
      <c r="CK9" s="97"/>
      <c r="CL9" s="97"/>
      <c r="CM9" s="97"/>
      <c r="CN9" s="97"/>
      <c r="CP9" s="97"/>
      <c r="CQ9" s="97"/>
      <c r="CR9" s="412">
        <f>IF($D9="","",IF(COUNTIFS('Match Day Reports'!$C$85:$C$102,$D9)=0,"",SUMIFS('Match Day Reports'!$I$85:$I$102,'Match Day Reports'!$C$85:$C$102,$D9)))</f>
        <v>10</v>
      </c>
      <c r="CS9" s="411" t="str">
        <f>IF($D9="","",IF($D9='Match Day Reports'!$H$82,"Yes",""))</f>
        <v>Yes</v>
      </c>
      <c r="CT9" s="97"/>
      <c r="CU9" s="97"/>
      <c r="CV9" s="412" t="str">
        <f>IF($D9="","",IF(COUNTIFS('Match Day Reports'!$C$112:$C$129,$D9)=0,"",SUMIFS('Match Day Reports'!$I$112:$I$129,'Match Day Reports'!$C$112:$C$129,$D9)))</f>
        <v/>
      </c>
      <c r="CW9" s="411" t="str">
        <f>IF($D9="","",IF($D9='Match Day Reports'!$H$109,"Yes",""))</f>
        <v/>
      </c>
      <c r="CX9" s="97"/>
      <c r="CY9" s="97"/>
      <c r="CZ9" s="412" t="str">
        <f>IF($D9="","",IF(COUNTIFS('Match Day Reports'!$C$139:$C$156,$D9)=0,"",SUMIFS('Match Day Reports'!$I$139:$I$156,'Match Day Reports'!$C$139:$C$156,$D9)))</f>
        <v/>
      </c>
      <c r="DA9" s="411" t="str">
        <f>IF($D9="","",IF($D9='Match Day Reports'!$H$136,"Yes",""))</f>
        <v/>
      </c>
      <c r="DB9" s="97"/>
      <c r="DC9" s="97"/>
      <c r="DD9" s="412" t="str">
        <f>IF($D9="","",IF(COUNTIFS('Match Day Reports'!$C$166:$C$183,$D9)=0,"",SUMIFS('Match Day Reports'!$I$166:$I$183,'Match Day Reports'!$C$166:$C$183,$D9)))</f>
        <v/>
      </c>
      <c r="DE9" s="411" t="str">
        <f>IF($D9="","",IF($D9='Match Day Reports'!$H$163,"Yes",""))</f>
        <v/>
      </c>
      <c r="DF9" s="97"/>
      <c r="DG9" s="97"/>
      <c r="DH9" s="412" t="str">
        <f>IF($D9="","",IF(COUNTIFS('Match Day Reports'!$C$193:$C$210,$D9)=0,"",SUMIFS('Match Day Reports'!$I$193:$I$210,'Match Day Reports'!$C$193:$C$210,$D9)))</f>
        <v/>
      </c>
      <c r="DI9" s="411" t="str">
        <f>IF($D9="","",IF($D9='Match Day Reports'!$H$190,"Yes",""))</f>
        <v/>
      </c>
      <c r="DJ9" s="97"/>
      <c r="DK9" s="97"/>
      <c r="DL9" s="412" t="str">
        <f>IF($D9="","",IF(COUNTIFS('Match Day Reports'!$C$220:$C$237,$D9)=0,"",SUMIFS('Match Day Reports'!$I$220:$I$237,'Match Day Reports'!$C$220:$C$237,$D9)))</f>
        <v/>
      </c>
      <c r="DM9" s="411" t="str">
        <f>IF($D9="","",IF($D9='Match Day Reports'!$H$217,"Yes",""))</f>
        <v/>
      </c>
      <c r="DN9" s="97"/>
      <c r="DO9" s="97"/>
      <c r="DP9" s="412" t="str">
        <f>IF($D9="","",IF(COUNTIFS('Match Day Reports'!$C$247:$C$264,$D9)=0,"",SUMIFS('Match Day Reports'!$I$247:$I$264,'Match Day Reports'!$C$247:$C$264,$D9)))</f>
        <v/>
      </c>
      <c r="DQ9" s="411" t="str">
        <f>IF($D9="","",IF($D9='Match Day Reports'!$H$244,"Yes",""))</f>
        <v/>
      </c>
      <c r="DR9" s="97"/>
      <c r="DS9" s="97"/>
      <c r="DT9" s="412" t="str">
        <f>IF($D9="","",IF(COUNTIFS('Match Day Reports'!$C$274:$C$291,$D9)=0,"",SUMIFS('Match Day Reports'!$I$274:$I$291,'Match Day Reports'!$C$274:$C$291,$D9)))</f>
        <v/>
      </c>
      <c r="DU9" s="411" t="str">
        <f>IF($D9="","",IF($D9='Match Day Reports'!$H$271,"Yes",""))</f>
        <v/>
      </c>
      <c r="DV9" s="97"/>
      <c r="DW9" s="97"/>
      <c r="DX9" s="412" t="str">
        <f>IF($D9="","",IF(COUNTIFS('Match Day Reports'!$C$301:$C$318,$D9)=0,"",SUMIFS('Match Day Reports'!$I$301:$I$318,'Match Day Reports'!$C$301:$C$318,$D9)))</f>
        <v/>
      </c>
      <c r="DY9" s="411" t="str">
        <f>IF($D9="","",IF($D9='Match Day Reports'!$H$298,"Yes",""))</f>
        <v/>
      </c>
      <c r="DZ9" s="97"/>
      <c r="EA9" s="97"/>
      <c r="EB9" s="412" t="str">
        <f>IF($D9="","",IF(COUNTIFS('Match Day Reports'!$C$328:$C$345,$D9)=0,"",SUMIFS('Match Day Reports'!$I$328:$I$345,'Match Day Reports'!$C$328:$C$345,$D9)))</f>
        <v/>
      </c>
      <c r="EC9" s="411" t="str">
        <f>IF($D9="","",IF($D9='Match Day Reports'!$H$325,"Yes",""))</f>
        <v/>
      </c>
      <c r="ED9" s="97"/>
      <c r="EE9" s="97"/>
      <c r="EF9" s="412" t="str">
        <f>IF($D9="","",IF(COUNTIFS('Match Day Reports'!$C$355:$C$372,$D9)=0,"",SUMIFS('Match Day Reports'!$I$355:$I$372,'Match Day Reports'!$C$355:$C$372,$D9)))</f>
        <v/>
      </c>
      <c r="EG9" s="411" t="str">
        <f>IF($D9="","",IF($D9='Match Day Reports'!$H$352,"Yes",""))</f>
        <v/>
      </c>
      <c r="EH9" s="97"/>
      <c r="EI9" s="97"/>
      <c r="EJ9" s="412" t="str">
        <f>IF($D9="","",IF(COUNTIFS('Match Day Reports'!$C$382:$C$399,$D9)=0,"",SUMIFS('Match Day Reports'!$I$382:$I$399,'Match Day Reports'!$C$382:$C$399,$D9)))</f>
        <v/>
      </c>
      <c r="EK9" s="411" t="str">
        <f>IF($D9="","",IF($D9='Match Day Reports'!$H$379,"Yes",""))</f>
        <v/>
      </c>
      <c r="EL9" s="97"/>
      <c r="EM9" s="97"/>
      <c r="EN9" s="412" t="str">
        <f>IF($D9="","",IF(COUNTIFS('Match Day Reports'!$C$409:$C$426,$D9)=0,"",SUMIFS('Match Day Reports'!$I$409:$I$426,'Match Day Reports'!$C$409:$C$426,$D9)))</f>
        <v/>
      </c>
      <c r="EO9" s="411" t="str">
        <f>IF($D9="","",IF($D9='Match Day Reports'!$H$406,"Yes",""))</f>
        <v/>
      </c>
      <c r="EP9" s="97"/>
      <c r="EQ9" s="97"/>
      <c r="ER9" s="412" t="str">
        <f>IF($D9="","",IF(COUNTIFS('Match Day Reports'!$C$436:$C$453,$D9)=0,"",SUMIFS('Match Day Reports'!$I$436:$I$453,'Match Day Reports'!$C$436:$C$453,$D9)))</f>
        <v/>
      </c>
      <c r="ES9" s="411" t="str">
        <f>IF($D9="","",IF($D9='Match Day Reports'!$H$433,"Yes",""))</f>
        <v/>
      </c>
      <c r="ET9" s="97"/>
      <c r="EU9" s="97"/>
      <c r="EV9" s="412" t="str">
        <f>IF($D9="","",IF(COUNTIFS('Match Day Reports'!$C$463:$C$480,$D9)=0,"",SUMIFS('Match Day Reports'!$I$463:$I$480,'Match Day Reports'!$C$463:$C$480,$D9)))</f>
        <v/>
      </c>
      <c r="EW9" s="411" t="str">
        <f>IF($D9="","",IF($D9='Match Day Reports'!$H$460,"Yes",""))</f>
        <v/>
      </c>
      <c r="EX9" s="97"/>
      <c r="EY9" s="97"/>
      <c r="EZ9" s="412" t="str">
        <f>IF($D9="","",IF(COUNTIFS('Match Day Reports'!$C$490:$C$507,$D9)=0,"",SUMIFS('Match Day Reports'!$I$490:$I$507,'Match Day Reports'!$C$490:$C$507,$D9)))</f>
        <v/>
      </c>
      <c r="FA9" s="411" t="str">
        <f>IF($D9="","",IF($D9='Match Day Reports'!$H$487,"Yes",""))</f>
        <v/>
      </c>
      <c r="FB9" s="97"/>
      <c r="FC9" s="97"/>
      <c r="FD9" s="412" t="str">
        <f>IF($D9="","",IF(COUNTIFS('Match Day Reports'!$C$517:$C$534,$D9)=0,"",SUMIFS('Match Day Reports'!$I$517:$I$534,'Match Day Reports'!$C$517:$C$534,$D9)))</f>
        <v/>
      </c>
      <c r="FE9" s="411" t="str">
        <f>IF($D9="","",IF($D9='Match Day Reports'!$H$514,"Yes",""))</f>
        <v/>
      </c>
      <c r="FF9" s="97"/>
      <c r="FG9" s="97"/>
      <c r="FH9" s="412" t="str">
        <f>IF($D9="","",IF(COUNTIFS('Match Day Reports'!$C$544:$C$561,$D9)=0,"",SUMIFS('Match Day Reports'!$I$544:$I$561,'Match Day Reports'!$C$544:$C$561,$D9)))</f>
        <v/>
      </c>
      <c r="FI9" s="411" t="str">
        <f>IF($D9="","",IF($D9='Match Day Reports'!$H$541,"Yes",""))</f>
        <v/>
      </c>
      <c r="FJ9" s="97"/>
      <c r="FK9" s="97"/>
      <c r="FL9" s="412" t="str">
        <f>IF($D9="","",IF(COUNTIFS('Match Day Reports'!$C$571:$C$588,$D9)=0,"",SUMIFS('Match Day Reports'!$I$571:$I$588,'Match Day Reports'!$C$571:$C$588,$D9)))</f>
        <v/>
      </c>
      <c r="FM9" s="411" t="str">
        <f>IF($D9="","",IF($D9='Match Day Reports'!$H$568,"Yes",""))</f>
        <v/>
      </c>
      <c r="FN9" s="97"/>
      <c r="FO9" s="97"/>
      <c r="FP9" s="412" t="str">
        <f>IF($D9="","",IF(COUNTIFS('Match Day Reports'!$C$598:$C$615,$D9)=0,"",SUMIFS('Match Day Reports'!$I$598:$I$615,'Match Day Reports'!$C$598:$C$615,$D9)))</f>
        <v/>
      </c>
      <c r="FQ9" s="411" t="str">
        <f>IF($D9="","",IF($D9='Match Day Reports'!$H$595,"Yes",""))</f>
        <v/>
      </c>
      <c r="FR9" s="97"/>
      <c r="FS9" s="97"/>
      <c r="FT9" s="412" t="str">
        <f>IF($D9="","",IF(COUNTIFS('Match Day Reports'!$C$625:$C$642,$D9)=0,"",SUMIFS('Match Day Reports'!$I$625:$I$642,'Match Day Reports'!$C$625:$C$642,$D9)))</f>
        <v/>
      </c>
      <c r="FU9" s="411" t="str">
        <f>IF($D9="","",IF($D9='Match Day Reports'!$H$622,"Yes",""))</f>
        <v/>
      </c>
      <c r="FV9" s="97"/>
      <c r="FW9" s="97"/>
      <c r="FX9" s="412" t="str">
        <f>IF($D9="","",IF(COUNTIFS('Match Day Reports'!$C$652:$C$669,$D9)=0,"",SUMIFS('Match Day Reports'!$I$652:$I$669,'Match Day Reports'!$C$652:$C$669,$D9)))</f>
        <v/>
      </c>
      <c r="FY9" s="411" t="str">
        <f>IF($D9="","",IF($D9='Match Day Reports'!$H$649,"Yes",""))</f>
        <v/>
      </c>
      <c r="GA9" s="98">
        <f t="shared" si="0"/>
        <v>3</v>
      </c>
      <c r="GB9" s="99" cm="1">
        <f t="array" ref="GB9">IF($D9="","",SUMPRODUCT(($E$4:$CN$4="Att")*((($E$3:$CN$3&lt;&gt;"")+($E9:$CN9="Yes")+($E9:$CN9="No"))&gt;0)))</f>
        <v>3</v>
      </c>
      <c r="GC9" s="100">
        <f t="shared" si="9"/>
        <v>1</v>
      </c>
      <c r="GD9" s="35">
        <f t="shared" si="1"/>
        <v>3.6666666666666665</v>
      </c>
      <c r="GE9" s="100">
        <f t="shared" si="10"/>
        <v>0.73333333333333328</v>
      </c>
      <c r="GF9" s="99">
        <f t="array" ref="GF9">IF($D9="","",SUMPRODUCT(($CP$4:$FY$4="Att")*($CP$2:$FY$2&lt;&gt;"")*($CP9:$FY9&lt;&gt;"N-A")*($CP9:$FY9&lt;&gt;"")))</f>
        <v>0</v>
      </c>
      <c r="GG9" s="99">
        <f t="shared" si="2"/>
        <v>0</v>
      </c>
      <c r="GH9" s="100" t="str">
        <f t="shared" si="11"/>
        <v/>
      </c>
      <c r="GI9" s="99">
        <f t="shared" si="3"/>
        <v>0</v>
      </c>
      <c r="GJ9" s="35" t="str">
        <f t="shared" si="4"/>
        <v/>
      </c>
      <c r="GK9" s="35">
        <f t="shared" si="5"/>
        <v>10</v>
      </c>
      <c r="GL9" s="100">
        <f t="shared" si="12"/>
        <v>1</v>
      </c>
      <c r="GM9" s="99">
        <f t="shared" si="6"/>
        <v>1</v>
      </c>
      <c r="GN9" s="101">
        <f t="shared" si="7"/>
        <v>0.84444444444444433</v>
      </c>
      <c r="GO9" s="102" t="str">
        <f t="shared" si="8"/>
        <v>Roisin Offenhausen</v>
      </c>
      <c r="GP9" s="103"/>
      <c r="GQ9" s="103"/>
      <c r="GR9" s="103"/>
      <c r="GS9" s="104"/>
    </row>
    <row r="10" spans="2:201" x14ac:dyDescent="0.45">
      <c r="B10" s="500"/>
      <c r="C10" s="60">
        <v>6</v>
      </c>
      <c r="D10" s="105" t="s">
        <v>68</v>
      </c>
      <c r="E10" s="97" t="s">
        <v>54</v>
      </c>
      <c r="F10" s="97">
        <v>3</v>
      </c>
      <c r="G10" s="97" t="s">
        <v>54</v>
      </c>
      <c r="H10" s="97">
        <v>3</v>
      </c>
      <c r="I10" s="97" t="s">
        <v>54</v>
      </c>
      <c r="J10" s="97">
        <v>3</v>
      </c>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97"/>
      <c r="CH10" s="97"/>
      <c r="CI10" s="97"/>
      <c r="CJ10" s="97"/>
      <c r="CK10" s="97"/>
      <c r="CL10" s="97"/>
      <c r="CM10" s="97"/>
      <c r="CN10" s="97"/>
      <c r="CP10" s="97"/>
      <c r="CQ10" s="97"/>
      <c r="CR10" s="412">
        <f>IF($D10="","",IF(COUNTIFS('Match Day Reports'!$C$85:$C$102,$D10)=0,"",SUMIFS('Match Day Reports'!$I$85:$I$102,'Match Day Reports'!$C$85:$C$102,$D10)))</f>
        <v>7.5</v>
      </c>
      <c r="CS10" s="411" t="str">
        <f>IF($D10="","",IF($D10='Match Day Reports'!$H$82,"Yes",""))</f>
        <v/>
      </c>
      <c r="CT10" s="97"/>
      <c r="CU10" s="97"/>
      <c r="CV10" s="412" t="str">
        <f>IF($D10="","",IF(COUNTIFS('Match Day Reports'!$C$112:$C$129,$D10)=0,"",SUMIFS('Match Day Reports'!$I$112:$I$129,'Match Day Reports'!$C$112:$C$129,$D10)))</f>
        <v/>
      </c>
      <c r="CW10" s="411" t="str">
        <f>IF($D10="","",IF($D10='Match Day Reports'!$H$109,"Yes",""))</f>
        <v/>
      </c>
      <c r="CX10" s="97"/>
      <c r="CY10" s="97"/>
      <c r="CZ10" s="412" t="str">
        <f>IF($D10="","",IF(COUNTIFS('Match Day Reports'!$C$139:$C$156,$D10)=0,"",SUMIFS('Match Day Reports'!$I$139:$I$156,'Match Day Reports'!$C$139:$C$156,$D10)))</f>
        <v/>
      </c>
      <c r="DA10" s="411" t="str">
        <f>IF($D10="","",IF($D10='Match Day Reports'!$H$136,"Yes",""))</f>
        <v/>
      </c>
      <c r="DB10" s="97"/>
      <c r="DC10" s="97"/>
      <c r="DD10" s="412" t="str">
        <f>IF($D10="","",IF(COUNTIFS('Match Day Reports'!$C$166:$C$183,$D10)=0,"",SUMIFS('Match Day Reports'!$I$166:$I$183,'Match Day Reports'!$C$166:$C$183,$D10)))</f>
        <v/>
      </c>
      <c r="DE10" s="411" t="str">
        <f>IF($D10="","",IF($D10='Match Day Reports'!$H$163,"Yes",""))</f>
        <v/>
      </c>
      <c r="DF10" s="97"/>
      <c r="DG10" s="97"/>
      <c r="DH10" s="412" t="str">
        <f>IF($D10="","",IF(COUNTIFS('Match Day Reports'!$C$193:$C$210,$D10)=0,"",SUMIFS('Match Day Reports'!$I$193:$I$210,'Match Day Reports'!$C$193:$C$210,$D10)))</f>
        <v/>
      </c>
      <c r="DI10" s="411" t="str">
        <f>IF($D10="","",IF($D10='Match Day Reports'!$H$190,"Yes",""))</f>
        <v/>
      </c>
      <c r="DJ10" s="97"/>
      <c r="DK10" s="97"/>
      <c r="DL10" s="412" t="str">
        <f>IF($D10="","",IF(COUNTIFS('Match Day Reports'!$C$220:$C$237,$D10)=0,"",SUMIFS('Match Day Reports'!$I$220:$I$237,'Match Day Reports'!$C$220:$C$237,$D10)))</f>
        <v/>
      </c>
      <c r="DM10" s="411" t="str">
        <f>IF($D10="","",IF($D10='Match Day Reports'!$H$217,"Yes",""))</f>
        <v/>
      </c>
      <c r="DN10" s="97"/>
      <c r="DO10" s="97"/>
      <c r="DP10" s="412" t="str">
        <f>IF($D10="","",IF(COUNTIFS('Match Day Reports'!$C$247:$C$264,$D10)=0,"",SUMIFS('Match Day Reports'!$I$247:$I$264,'Match Day Reports'!$C$247:$C$264,$D10)))</f>
        <v/>
      </c>
      <c r="DQ10" s="411" t="str">
        <f>IF($D10="","",IF($D10='Match Day Reports'!$H$244,"Yes",""))</f>
        <v/>
      </c>
      <c r="DR10" s="97"/>
      <c r="DS10" s="97"/>
      <c r="DT10" s="412" t="str">
        <f>IF($D10="","",IF(COUNTIFS('Match Day Reports'!$C$274:$C$291,$D10)=0,"",SUMIFS('Match Day Reports'!$I$274:$I$291,'Match Day Reports'!$C$274:$C$291,$D10)))</f>
        <v/>
      </c>
      <c r="DU10" s="411" t="str">
        <f>IF($D10="","",IF($D10='Match Day Reports'!$H$271,"Yes",""))</f>
        <v/>
      </c>
      <c r="DV10" s="97"/>
      <c r="DW10" s="97"/>
      <c r="DX10" s="412" t="str">
        <f>IF($D10="","",IF(COUNTIFS('Match Day Reports'!$C$301:$C$318,$D10)=0,"",SUMIFS('Match Day Reports'!$I$301:$I$318,'Match Day Reports'!$C$301:$C$318,$D10)))</f>
        <v/>
      </c>
      <c r="DY10" s="411" t="str">
        <f>IF($D10="","",IF($D10='Match Day Reports'!$H$298,"Yes",""))</f>
        <v/>
      </c>
      <c r="DZ10" s="97"/>
      <c r="EA10" s="97"/>
      <c r="EB10" s="412" t="str">
        <f>IF($D10="","",IF(COUNTIFS('Match Day Reports'!$C$328:$C$345,$D10)=0,"",SUMIFS('Match Day Reports'!$I$328:$I$345,'Match Day Reports'!$C$328:$C$345,$D10)))</f>
        <v/>
      </c>
      <c r="EC10" s="411" t="str">
        <f>IF($D10="","",IF($D10='Match Day Reports'!$H$325,"Yes",""))</f>
        <v/>
      </c>
      <c r="ED10" s="97"/>
      <c r="EE10" s="97"/>
      <c r="EF10" s="412" t="str">
        <f>IF($D10="","",IF(COUNTIFS('Match Day Reports'!$C$355:$C$372,$D10)=0,"",SUMIFS('Match Day Reports'!$I$355:$I$372,'Match Day Reports'!$C$355:$C$372,$D10)))</f>
        <v/>
      </c>
      <c r="EG10" s="411" t="str">
        <f>IF($D10="","",IF($D10='Match Day Reports'!$H$352,"Yes",""))</f>
        <v/>
      </c>
      <c r="EH10" s="97"/>
      <c r="EI10" s="97"/>
      <c r="EJ10" s="412" t="str">
        <f>IF($D10="","",IF(COUNTIFS('Match Day Reports'!$C$382:$C$399,$D10)=0,"",SUMIFS('Match Day Reports'!$I$382:$I$399,'Match Day Reports'!$C$382:$C$399,$D10)))</f>
        <v/>
      </c>
      <c r="EK10" s="411" t="str">
        <f>IF($D10="","",IF($D10='Match Day Reports'!$H$379,"Yes",""))</f>
        <v/>
      </c>
      <c r="EL10" s="97"/>
      <c r="EM10" s="97"/>
      <c r="EN10" s="412" t="str">
        <f>IF($D10="","",IF(COUNTIFS('Match Day Reports'!$C$409:$C$426,$D10)=0,"",SUMIFS('Match Day Reports'!$I$409:$I$426,'Match Day Reports'!$C$409:$C$426,$D10)))</f>
        <v/>
      </c>
      <c r="EO10" s="411" t="str">
        <f>IF($D10="","",IF($D10='Match Day Reports'!$H$406,"Yes",""))</f>
        <v/>
      </c>
      <c r="EP10" s="97"/>
      <c r="EQ10" s="97"/>
      <c r="ER10" s="412" t="str">
        <f>IF($D10="","",IF(COUNTIFS('Match Day Reports'!$C$436:$C$453,$D10)=0,"",SUMIFS('Match Day Reports'!$I$436:$I$453,'Match Day Reports'!$C$436:$C$453,$D10)))</f>
        <v/>
      </c>
      <c r="ES10" s="411" t="str">
        <f>IF($D10="","",IF($D10='Match Day Reports'!$H$433,"Yes",""))</f>
        <v/>
      </c>
      <c r="ET10" s="97"/>
      <c r="EU10" s="97"/>
      <c r="EV10" s="412" t="str">
        <f>IF($D10="","",IF(COUNTIFS('Match Day Reports'!$C$463:$C$480,$D10)=0,"",SUMIFS('Match Day Reports'!$I$463:$I$480,'Match Day Reports'!$C$463:$C$480,$D10)))</f>
        <v/>
      </c>
      <c r="EW10" s="411" t="str">
        <f>IF($D10="","",IF($D10='Match Day Reports'!$H$460,"Yes",""))</f>
        <v/>
      </c>
      <c r="EX10" s="97"/>
      <c r="EY10" s="97"/>
      <c r="EZ10" s="412" t="str">
        <f>IF($D10="","",IF(COUNTIFS('Match Day Reports'!$C$490:$C$507,$D10)=0,"",SUMIFS('Match Day Reports'!$I$490:$I$507,'Match Day Reports'!$C$490:$C$507,$D10)))</f>
        <v/>
      </c>
      <c r="FA10" s="411" t="str">
        <f>IF($D10="","",IF($D10='Match Day Reports'!$H$487,"Yes",""))</f>
        <v/>
      </c>
      <c r="FB10" s="97"/>
      <c r="FC10" s="97"/>
      <c r="FD10" s="412" t="str">
        <f>IF($D10="","",IF(COUNTIFS('Match Day Reports'!$C$517:$C$534,$D10)=0,"",SUMIFS('Match Day Reports'!$I$517:$I$534,'Match Day Reports'!$C$517:$C$534,$D10)))</f>
        <v/>
      </c>
      <c r="FE10" s="411" t="str">
        <f>IF($D10="","",IF($D10='Match Day Reports'!$H$514,"Yes",""))</f>
        <v/>
      </c>
      <c r="FF10" s="97"/>
      <c r="FG10" s="97"/>
      <c r="FH10" s="412" t="str">
        <f>IF($D10="","",IF(COUNTIFS('Match Day Reports'!$C$544:$C$561,$D10)=0,"",SUMIFS('Match Day Reports'!$I$544:$I$561,'Match Day Reports'!$C$544:$C$561,$D10)))</f>
        <v/>
      </c>
      <c r="FI10" s="411" t="str">
        <f>IF($D10="","",IF($D10='Match Day Reports'!$H$541,"Yes",""))</f>
        <v/>
      </c>
      <c r="FJ10" s="97"/>
      <c r="FK10" s="97"/>
      <c r="FL10" s="412" t="str">
        <f>IF($D10="","",IF(COUNTIFS('Match Day Reports'!$C$571:$C$588,$D10)=0,"",SUMIFS('Match Day Reports'!$I$571:$I$588,'Match Day Reports'!$C$571:$C$588,$D10)))</f>
        <v/>
      </c>
      <c r="FM10" s="411" t="str">
        <f>IF($D10="","",IF($D10='Match Day Reports'!$H$568,"Yes",""))</f>
        <v/>
      </c>
      <c r="FN10" s="97"/>
      <c r="FO10" s="97"/>
      <c r="FP10" s="412" t="str">
        <f>IF($D10="","",IF(COUNTIFS('Match Day Reports'!$C$598:$C$615,$D10)=0,"",SUMIFS('Match Day Reports'!$I$598:$I$615,'Match Day Reports'!$C$598:$C$615,$D10)))</f>
        <v/>
      </c>
      <c r="FQ10" s="411" t="str">
        <f>IF($D10="","",IF($D10='Match Day Reports'!$H$595,"Yes",""))</f>
        <v/>
      </c>
      <c r="FR10" s="97"/>
      <c r="FS10" s="97"/>
      <c r="FT10" s="412" t="str">
        <f>IF($D10="","",IF(COUNTIFS('Match Day Reports'!$C$625:$C$642,$D10)=0,"",SUMIFS('Match Day Reports'!$I$625:$I$642,'Match Day Reports'!$C$625:$C$642,$D10)))</f>
        <v/>
      </c>
      <c r="FU10" s="411" t="str">
        <f>IF($D10="","",IF($D10='Match Day Reports'!$H$622,"Yes",""))</f>
        <v/>
      </c>
      <c r="FV10" s="97"/>
      <c r="FW10" s="97"/>
      <c r="FX10" s="412" t="str">
        <f>IF($D10="","",IF(COUNTIFS('Match Day Reports'!$C$652:$C$669,$D10)=0,"",SUMIFS('Match Day Reports'!$I$652:$I$669,'Match Day Reports'!$C$652:$C$669,$D10)))</f>
        <v/>
      </c>
      <c r="FY10" s="411" t="str">
        <f>IF($D10="","",IF($D10='Match Day Reports'!$H$649,"Yes",""))</f>
        <v/>
      </c>
      <c r="GA10" s="106">
        <f t="shared" si="0"/>
        <v>3</v>
      </c>
      <c r="GB10" s="107" cm="1">
        <f t="array" ref="GB10">IF($D10="","",SUMPRODUCT(($E$4:$CN$4="Att")*((($E$3:$CN$3&lt;&gt;"")+($E10:$CN10="Yes")+($E10:$CN10="No"))&gt;0)))</f>
        <v>3</v>
      </c>
      <c r="GC10" s="108">
        <f t="shared" si="9"/>
        <v>1</v>
      </c>
      <c r="GD10" s="109">
        <f t="shared" si="1"/>
        <v>3</v>
      </c>
      <c r="GE10" s="108">
        <f t="shared" si="10"/>
        <v>0.6</v>
      </c>
      <c r="GF10" s="107">
        <f t="array" ref="GF10">IF($D10="","",SUMPRODUCT(($CP$4:$FY$4="Att")*($CP$2:$FY$2&lt;&gt;"")*($CP10:$FY10&lt;&gt;"N-A")*($CP10:$FY10&lt;&gt;"")))</f>
        <v>0</v>
      </c>
      <c r="GG10" s="107">
        <f t="shared" si="2"/>
        <v>0</v>
      </c>
      <c r="GH10" s="108" t="str">
        <f t="shared" si="11"/>
        <v/>
      </c>
      <c r="GI10" s="107">
        <f t="shared" si="3"/>
        <v>0</v>
      </c>
      <c r="GJ10" s="109" t="str">
        <f t="shared" si="4"/>
        <v/>
      </c>
      <c r="GK10" s="109">
        <f t="shared" si="5"/>
        <v>7.5</v>
      </c>
      <c r="GL10" s="108">
        <f t="shared" si="12"/>
        <v>0.75</v>
      </c>
      <c r="GM10" s="107">
        <f t="shared" si="6"/>
        <v>0</v>
      </c>
      <c r="GN10" s="110">
        <f t="shared" si="7"/>
        <v>0.76666666666666661</v>
      </c>
      <c r="GO10" s="111" t="str">
        <f t="shared" si="8"/>
        <v>Naomi Adewoyin</v>
      </c>
      <c r="GP10" s="103"/>
      <c r="GQ10" s="103"/>
      <c r="GR10" s="103"/>
      <c r="GS10" s="104"/>
    </row>
    <row r="11" spans="2:201" x14ac:dyDescent="0.45">
      <c r="B11" s="500"/>
      <c r="C11" s="60">
        <v>7</v>
      </c>
      <c r="D11" s="105" t="s">
        <v>70</v>
      </c>
      <c r="E11" s="97" t="s">
        <v>54</v>
      </c>
      <c r="F11" s="97">
        <v>3</v>
      </c>
      <c r="G11" s="97" t="s">
        <v>54</v>
      </c>
      <c r="H11" s="97">
        <v>3</v>
      </c>
      <c r="I11" s="97" t="s">
        <v>54</v>
      </c>
      <c r="J11" s="97">
        <v>3</v>
      </c>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P11" s="97"/>
      <c r="CQ11" s="97"/>
      <c r="CR11" s="412">
        <f>IF($D11="","",IF(COUNTIFS('Match Day Reports'!$C$85:$C$102,$D11)=0,"",SUMIFS('Match Day Reports'!$I$85:$I$102,'Match Day Reports'!$C$85:$C$102,$D11)))</f>
        <v>7.5</v>
      </c>
      <c r="CS11" s="411" t="str">
        <f>IF($D11="","",IF($D11='Match Day Reports'!$H$82,"Yes",""))</f>
        <v/>
      </c>
      <c r="CT11" s="97"/>
      <c r="CU11" s="97"/>
      <c r="CV11" s="412" t="str">
        <f>IF($D11="","",IF(COUNTIFS('Match Day Reports'!$C$112:$C$129,$D11)=0,"",SUMIFS('Match Day Reports'!$I$112:$I$129,'Match Day Reports'!$C$112:$C$129,$D11)))</f>
        <v/>
      </c>
      <c r="CW11" s="411" t="str">
        <f>IF($D11="","",IF($D11='Match Day Reports'!$H$109,"Yes",""))</f>
        <v/>
      </c>
      <c r="CX11" s="97"/>
      <c r="CY11" s="97"/>
      <c r="CZ11" s="412" t="str">
        <f>IF($D11="","",IF(COUNTIFS('Match Day Reports'!$C$139:$C$156,$D11)=0,"",SUMIFS('Match Day Reports'!$I$139:$I$156,'Match Day Reports'!$C$139:$C$156,$D11)))</f>
        <v/>
      </c>
      <c r="DA11" s="411" t="str">
        <f>IF($D11="","",IF($D11='Match Day Reports'!$H$136,"Yes",""))</f>
        <v/>
      </c>
      <c r="DB11" s="97"/>
      <c r="DC11" s="97"/>
      <c r="DD11" s="412" t="str">
        <f>IF($D11="","",IF(COUNTIFS('Match Day Reports'!$C$166:$C$183,$D11)=0,"",SUMIFS('Match Day Reports'!$I$166:$I$183,'Match Day Reports'!$C$166:$C$183,$D11)))</f>
        <v/>
      </c>
      <c r="DE11" s="411" t="str">
        <f>IF($D11="","",IF($D11='Match Day Reports'!$H$163,"Yes",""))</f>
        <v/>
      </c>
      <c r="DF11" s="97"/>
      <c r="DG11" s="97"/>
      <c r="DH11" s="412" t="str">
        <f>IF($D11="","",IF(COUNTIFS('Match Day Reports'!$C$193:$C$210,$D11)=0,"",SUMIFS('Match Day Reports'!$I$193:$I$210,'Match Day Reports'!$C$193:$C$210,$D11)))</f>
        <v/>
      </c>
      <c r="DI11" s="411" t="str">
        <f>IF($D11="","",IF($D11='Match Day Reports'!$H$190,"Yes",""))</f>
        <v/>
      </c>
      <c r="DJ11" s="97"/>
      <c r="DK11" s="97"/>
      <c r="DL11" s="412" t="str">
        <f>IF($D11="","",IF(COUNTIFS('Match Day Reports'!$C$220:$C$237,$D11)=0,"",SUMIFS('Match Day Reports'!$I$220:$I$237,'Match Day Reports'!$C$220:$C$237,$D11)))</f>
        <v/>
      </c>
      <c r="DM11" s="411" t="str">
        <f>IF($D11="","",IF($D11='Match Day Reports'!$H$217,"Yes",""))</f>
        <v/>
      </c>
      <c r="DN11" s="97"/>
      <c r="DO11" s="97"/>
      <c r="DP11" s="412" t="str">
        <f>IF($D11="","",IF(COUNTIFS('Match Day Reports'!$C$247:$C$264,$D11)=0,"",SUMIFS('Match Day Reports'!$I$247:$I$264,'Match Day Reports'!$C$247:$C$264,$D11)))</f>
        <v/>
      </c>
      <c r="DQ11" s="411" t="str">
        <f>IF($D11="","",IF($D11='Match Day Reports'!$H$244,"Yes",""))</f>
        <v/>
      </c>
      <c r="DR11" s="97"/>
      <c r="DS11" s="97"/>
      <c r="DT11" s="412" t="str">
        <f>IF($D11="","",IF(COUNTIFS('Match Day Reports'!$C$274:$C$291,$D11)=0,"",SUMIFS('Match Day Reports'!$I$274:$I$291,'Match Day Reports'!$C$274:$C$291,$D11)))</f>
        <v/>
      </c>
      <c r="DU11" s="411" t="str">
        <f>IF($D11="","",IF($D11='Match Day Reports'!$H$271,"Yes",""))</f>
        <v/>
      </c>
      <c r="DV11" s="97"/>
      <c r="DW11" s="97"/>
      <c r="DX11" s="412" t="str">
        <f>IF($D11="","",IF(COUNTIFS('Match Day Reports'!$C$301:$C$318,$D11)=0,"",SUMIFS('Match Day Reports'!$I$301:$I$318,'Match Day Reports'!$C$301:$C$318,$D11)))</f>
        <v/>
      </c>
      <c r="DY11" s="411" t="str">
        <f>IF($D11="","",IF($D11='Match Day Reports'!$H$298,"Yes",""))</f>
        <v/>
      </c>
      <c r="DZ11" s="97"/>
      <c r="EA11" s="97"/>
      <c r="EB11" s="412" t="str">
        <f>IF($D11="","",IF(COUNTIFS('Match Day Reports'!$C$328:$C$345,$D11)=0,"",SUMIFS('Match Day Reports'!$I$328:$I$345,'Match Day Reports'!$C$328:$C$345,$D11)))</f>
        <v/>
      </c>
      <c r="EC11" s="411" t="str">
        <f>IF($D11="","",IF($D11='Match Day Reports'!$H$325,"Yes",""))</f>
        <v/>
      </c>
      <c r="ED11" s="97"/>
      <c r="EE11" s="97"/>
      <c r="EF11" s="412" t="str">
        <f>IF($D11="","",IF(COUNTIFS('Match Day Reports'!$C$355:$C$372,$D11)=0,"",SUMIFS('Match Day Reports'!$I$355:$I$372,'Match Day Reports'!$C$355:$C$372,$D11)))</f>
        <v/>
      </c>
      <c r="EG11" s="411" t="str">
        <f>IF($D11="","",IF($D11='Match Day Reports'!$H$352,"Yes",""))</f>
        <v/>
      </c>
      <c r="EH11" s="97"/>
      <c r="EI11" s="97"/>
      <c r="EJ11" s="412" t="str">
        <f>IF($D11="","",IF(COUNTIFS('Match Day Reports'!$C$382:$C$399,$D11)=0,"",SUMIFS('Match Day Reports'!$I$382:$I$399,'Match Day Reports'!$C$382:$C$399,$D11)))</f>
        <v/>
      </c>
      <c r="EK11" s="411" t="str">
        <f>IF($D11="","",IF($D11='Match Day Reports'!$H$379,"Yes",""))</f>
        <v/>
      </c>
      <c r="EL11" s="97"/>
      <c r="EM11" s="97"/>
      <c r="EN11" s="412" t="str">
        <f>IF($D11="","",IF(COUNTIFS('Match Day Reports'!$C$409:$C$426,$D11)=0,"",SUMIFS('Match Day Reports'!$I$409:$I$426,'Match Day Reports'!$C$409:$C$426,$D11)))</f>
        <v/>
      </c>
      <c r="EO11" s="411" t="str">
        <f>IF($D11="","",IF($D11='Match Day Reports'!$H$406,"Yes",""))</f>
        <v/>
      </c>
      <c r="EP11" s="97"/>
      <c r="EQ11" s="97"/>
      <c r="ER11" s="412" t="str">
        <f>IF($D11="","",IF(COUNTIFS('Match Day Reports'!$C$436:$C$453,$D11)=0,"",SUMIFS('Match Day Reports'!$I$436:$I$453,'Match Day Reports'!$C$436:$C$453,$D11)))</f>
        <v/>
      </c>
      <c r="ES11" s="411" t="str">
        <f>IF($D11="","",IF($D11='Match Day Reports'!$H$433,"Yes",""))</f>
        <v/>
      </c>
      <c r="ET11" s="97"/>
      <c r="EU11" s="97"/>
      <c r="EV11" s="412" t="str">
        <f>IF($D11="","",IF(COUNTIFS('Match Day Reports'!$C$463:$C$480,$D11)=0,"",SUMIFS('Match Day Reports'!$I$463:$I$480,'Match Day Reports'!$C$463:$C$480,$D11)))</f>
        <v/>
      </c>
      <c r="EW11" s="411" t="str">
        <f>IF($D11="","",IF($D11='Match Day Reports'!$H$460,"Yes",""))</f>
        <v/>
      </c>
      <c r="EX11" s="97"/>
      <c r="EY11" s="97"/>
      <c r="EZ11" s="412" t="str">
        <f>IF($D11="","",IF(COUNTIFS('Match Day Reports'!$C$490:$C$507,$D11)=0,"",SUMIFS('Match Day Reports'!$I$490:$I$507,'Match Day Reports'!$C$490:$C$507,$D11)))</f>
        <v/>
      </c>
      <c r="FA11" s="411" t="str">
        <f>IF($D11="","",IF($D11='Match Day Reports'!$H$487,"Yes",""))</f>
        <v/>
      </c>
      <c r="FB11" s="97"/>
      <c r="FC11" s="97"/>
      <c r="FD11" s="412" t="str">
        <f>IF($D11="","",IF(COUNTIFS('Match Day Reports'!$C$517:$C$534,$D11)=0,"",SUMIFS('Match Day Reports'!$I$517:$I$534,'Match Day Reports'!$C$517:$C$534,$D11)))</f>
        <v/>
      </c>
      <c r="FE11" s="411" t="str">
        <f>IF($D11="","",IF($D11='Match Day Reports'!$H$514,"Yes",""))</f>
        <v/>
      </c>
      <c r="FF11" s="97"/>
      <c r="FG11" s="97"/>
      <c r="FH11" s="412" t="str">
        <f>IF($D11="","",IF(COUNTIFS('Match Day Reports'!$C$544:$C$561,$D11)=0,"",SUMIFS('Match Day Reports'!$I$544:$I$561,'Match Day Reports'!$C$544:$C$561,$D11)))</f>
        <v/>
      </c>
      <c r="FI11" s="411" t="str">
        <f>IF($D11="","",IF($D11='Match Day Reports'!$H$541,"Yes",""))</f>
        <v/>
      </c>
      <c r="FJ11" s="97"/>
      <c r="FK11" s="97"/>
      <c r="FL11" s="412" t="str">
        <f>IF($D11="","",IF(COUNTIFS('Match Day Reports'!$C$571:$C$588,$D11)=0,"",SUMIFS('Match Day Reports'!$I$571:$I$588,'Match Day Reports'!$C$571:$C$588,$D11)))</f>
        <v/>
      </c>
      <c r="FM11" s="411" t="str">
        <f>IF($D11="","",IF($D11='Match Day Reports'!$H$568,"Yes",""))</f>
        <v/>
      </c>
      <c r="FN11" s="97"/>
      <c r="FO11" s="97"/>
      <c r="FP11" s="412" t="str">
        <f>IF($D11="","",IF(COUNTIFS('Match Day Reports'!$C$598:$C$615,$D11)=0,"",SUMIFS('Match Day Reports'!$I$598:$I$615,'Match Day Reports'!$C$598:$C$615,$D11)))</f>
        <v/>
      </c>
      <c r="FQ11" s="411" t="str">
        <f>IF($D11="","",IF($D11='Match Day Reports'!$H$595,"Yes",""))</f>
        <v/>
      </c>
      <c r="FR11" s="97"/>
      <c r="FS11" s="97"/>
      <c r="FT11" s="412" t="str">
        <f>IF($D11="","",IF(COUNTIFS('Match Day Reports'!$C$625:$C$642,$D11)=0,"",SUMIFS('Match Day Reports'!$I$625:$I$642,'Match Day Reports'!$C$625:$C$642,$D11)))</f>
        <v/>
      </c>
      <c r="FU11" s="411" t="str">
        <f>IF($D11="","",IF($D11='Match Day Reports'!$H$622,"Yes",""))</f>
        <v/>
      </c>
      <c r="FV11" s="97"/>
      <c r="FW11" s="97"/>
      <c r="FX11" s="412" t="str">
        <f>IF($D11="","",IF(COUNTIFS('Match Day Reports'!$C$652:$C$669,$D11)=0,"",SUMIFS('Match Day Reports'!$I$652:$I$669,'Match Day Reports'!$C$652:$C$669,$D11)))</f>
        <v/>
      </c>
      <c r="FY11" s="411" t="str">
        <f>IF($D11="","",IF($D11='Match Day Reports'!$H$649,"Yes",""))</f>
        <v/>
      </c>
      <c r="GA11" s="98">
        <f t="shared" si="0"/>
        <v>3</v>
      </c>
      <c r="GB11" s="99" cm="1">
        <f t="array" ref="GB11">IF($D11="","",SUMPRODUCT(($E$4:$CN$4="Att")*((($E$3:$CN$3&lt;&gt;"")+($E11:$CN11="Yes")+($E11:$CN11="No"))&gt;0)))</f>
        <v>3</v>
      </c>
      <c r="GC11" s="100">
        <f t="shared" si="9"/>
        <v>1</v>
      </c>
      <c r="GD11" s="35">
        <f t="shared" si="1"/>
        <v>3</v>
      </c>
      <c r="GE11" s="100">
        <f t="shared" si="10"/>
        <v>0.6</v>
      </c>
      <c r="GF11" s="99">
        <f t="array" ref="GF11">IF($D11="","",SUMPRODUCT(($CP$4:$FY$4="Att")*($CP$2:$FY$2&lt;&gt;"")*($CP11:$FY11&lt;&gt;"N-A")*($CP11:$FY11&lt;&gt;"")))</f>
        <v>0</v>
      </c>
      <c r="GG11" s="99">
        <f t="shared" si="2"/>
        <v>0</v>
      </c>
      <c r="GH11" s="100" t="str">
        <f t="shared" si="11"/>
        <v/>
      </c>
      <c r="GI11" s="99">
        <f t="shared" si="3"/>
        <v>0</v>
      </c>
      <c r="GJ11" s="35" t="str">
        <f t="shared" si="4"/>
        <v/>
      </c>
      <c r="GK11" s="35">
        <f t="shared" si="5"/>
        <v>7.5</v>
      </c>
      <c r="GL11" s="100">
        <f t="shared" si="12"/>
        <v>0.75</v>
      </c>
      <c r="GM11" s="99">
        <f t="shared" si="6"/>
        <v>0</v>
      </c>
      <c r="GN11" s="101">
        <f t="shared" si="7"/>
        <v>0.76666666666666661</v>
      </c>
      <c r="GO11" s="102" t="str">
        <f t="shared" si="8"/>
        <v>Amber Kilalee</v>
      </c>
      <c r="GP11" s="103"/>
      <c r="GQ11" s="103"/>
      <c r="GR11" s="103"/>
      <c r="GS11" s="104"/>
    </row>
    <row r="12" spans="2:201" x14ac:dyDescent="0.45">
      <c r="B12" s="500"/>
      <c r="C12" s="60">
        <v>8</v>
      </c>
      <c r="D12" s="105" t="s">
        <v>72</v>
      </c>
      <c r="E12" s="97" t="s">
        <v>54</v>
      </c>
      <c r="F12" s="97">
        <v>2</v>
      </c>
      <c r="G12" s="97" t="s">
        <v>54</v>
      </c>
      <c r="H12" s="97">
        <v>3</v>
      </c>
      <c r="I12" s="97" t="s">
        <v>54</v>
      </c>
      <c r="J12" s="97">
        <v>3</v>
      </c>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P12" s="97"/>
      <c r="CQ12" s="97"/>
      <c r="CR12" s="412">
        <f>IF($D12="","",IF(COUNTIFS('Match Day Reports'!$C$85:$C$102,$D12)=0,"",SUMIFS('Match Day Reports'!$I$85:$I$102,'Match Day Reports'!$C$85:$C$102,$D12)))</f>
        <v>7.5</v>
      </c>
      <c r="CS12" s="411" t="str">
        <f>IF($D12="","",IF($D12='Match Day Reports'!$H$82,"Yes",""))</f>
        <v/>
      </c>
      <c r="CT12" s="97"/>
      <c r="CU12" s="97"/>
      <c r="CV12" s="412" t="str">
        <f>IF($D12="","",IF(COUNTIFS('Match Day Reports'!$C$112:$C$129,$D12)=0,"",SUMIFS('Match Day Reports'!$I$112:$I$129,'Match Day Reports'!$C$112:$C$129,$D12)))</f>
        <v/>
      </c>
      <c r="CW12" s="411" t="str">
        <f>IF($D12="","",IF($D12='Match Day Reports'!$H$109,"Yes",""))</f>
        <v/>
      </c>
      <c r="CX12" s="97"/>
      <c r="CY12" s="97"/>
      <c r="CZ12" s="412" t="str">
        <f>IF($D12="","",IF(COUNTIFS('Match Day Reports'!$C$139:$C$156,$D12)=0,"",SUMIFS('Match Day Reports'!$I$139:$I$156,'Match Day Reports'!$C$139:$C$156,$D12)))</f>
        <v/>
      </c>
      <c r="DA12" s="411" t="str">
        <f>IF($D12="","",IF($D12='Match Day Reports'!$H$136,"Yes",""))</f>
        <v/>
      </c>
      <c r="DB12" s="97"/>
      <c r="DC12" s="97"/>
      <c r="DD12" s="412" t="str">
        <f>IF($D12="","",IF(COUNTIFS('Match Day Reports'!$C$166:$C$183,$D12)=0,"",SUMIFS('Match Day Reports'!$I$166:$I$183,'Match Day Reports'!$C$166:$C$183,$D12)))</f>
        <v/>
      </c>
      <c r="DE12" s="411" t="str">
        <f>IF($D12="","",IF($D12='Match Day Reports'!$H$163,"Yes",""))</f>
        <v/>
      </c>
      <c r="DF12" s="97"/>
      <c r="DG12" s="97"/>
      <c r="DH12" s="412" t="str">
        <f>IF($D12="","",IF(COUNTIFS('Match Day Reports'!$C$193:$C$210,$D12)=0,"",SUMIFS('Match Day Reports'!$I$193:$I$210,'Match Day Reports'!$C$193:$C$210,$D12)))</f>
        <v/>
      </c>
      <c r="DI12" s="411" t="str">
        <f>IF($D12="","",IF($D12='Match Day Reports'!$H$190,"Yes",""))</f>
        <v/>
      </c>
      <c r="DJ12" s="97"/>
      <c r="DK12" s="97"/>
      <c r="DL12" s="412" t="str">
        <f>IF($D12="","",IF(COUNTIFS('Match Day Reports'!$C$220:$C$237,$D12)=0,"",SUMIFS('Match Day Reports'!$I$220:$I$237,'Match Day Reports'!$C$220:$C$237,$D12)))</f>
        <v/>
      </c>
      <c r="DM12" s="411" t="str">
        <f>IF($D12="","",IF($D12='Match Day Reports'!$H$217,"Yes",""))</f>
        <v/>
      </c>
      <c r="DN12" s="97"/>
      <c r="DO12" s="97"/>
      <c r="DP12" s="412" t="str">
        <f>IF($D12="","",IF(COUNTIFS('Match Day Reports'!$C$247:$C$264,$D12)=0,"",SUMIFS('Match Day Reports'!$I$247:$I$264,'Match Day Reports'!$C$247:$C$264,$D12)))</f>
        <v/>
      </c>
      <c r="DQ12" s="411" t="str">
        <f>IF($D12="","",IF($D12='Match Day Reports'!$H$244,"Yes",""))</f>
        <v/>
      </c>
      <c r="DR12" s="97"/>
      <c r="DS12" s="97"/>
      <c r="DT12" s="412" t="str">
        <f>IF($D12="","",IF(COUNTIFS('Match Day Reports'!$C$274:$C$291,$D12)=0,"",SUMIFS('Match Day Reports'!$I$274:$I$291,'Match Day Reports'!$C$274:$C$291,$D12)))</f>
        <v/>
      </c>
      <c r="DU12" s="411" t="str">
        <f>IF($D12="","",IF($D12='Match Day Reports'!$H$271,"Yes",""))</f>
        <v/>
      </c>
      <c r="DV12" s="97"/>
      <c r="DW12" s="97"/>
      <c r="DX12" s="412" t="str">
        <f>IF($D12="","",IF(COUNTIFS('Match Day Reports'!$C$301:$C$318,$D12)=0,"",SUMIFS('Match Day Reports'!$I$301:$I$318,'Match Day Reports'!$C$301:$C$318,$D12)))</f>
        <v/>
      </c>
      <c r="DY12" s="411" t="str">
        <f>IF($D12="","",IF($D12='Match Day Reports'!$H$298,"Yes",""))</f>
        <v/>
      </c>
      <c r="DZ12" s="97"/>
      <c r="EA12" s="97"/>
      <c r="EB12" s="412" t="str">
        <f>IF($D12="","",IF(COUNTIFS('Match Day Reports'!$C$328:$C$345,$D12)=0,"",SUMIFS('Match Day Reports'!$I$328:$I$345,'Match Day Reports'!$C$328:$C$345,$D12)))</f>
        <v/>
      </c>
      <c r="EC12" s="411" t="str">
        <f>IF($D12="","",IF($D12='Match Day Reports'!$H$325,"Yes",""))</f>
        <v/>
      </c>
      <c r="ED12" s="97"/>
      <c r="EE12" s="97"/>
      <c r="EF12" s="412" t="str">
        <f>IF($D12="","",IF(COUNTIFS('Match Day Reports'!$C$355:$C$372,$D12)=0,"",SUMIFS('Match Day Reports'!$I$355:$I$372,'Match Day Reports'!$C$355:$C$372,$D12)))</f>
        <v/>
      </c>
      <c r="EG12" s="411" t="str">
        <f>IF($D12="","",IF($D12='Match Day Reports'!$H$352,"Yes",""))</f>
        <v/>
      </c>
      <c r="EH12" s="97"/>
      <c r="EI12" s="97"/>
      <c r="EJ12" s="412" t="str">
        <f>IF($D12="","",IF(COUNTIFS('Match Day Reports'!$C$382:$C$399,$D12)=0,"",SUMIFS('Match Day Reports'!$I$382:$I$399,'Match Day Reports'!$C$382:$C$399,$D12)))</f>
        <v/>
      </c>
      <c r="EK12" s="411" t="str">
        <f>IF($D12="","",IF($D12='Match Day Reports'!$H$379,"Yes",""))</f>
        <v/>
      </c>
      <c r="EL12" s="97"/>
      <c r="EM12" s="97"/>
      <c r="EN12" s="412" t="str">
        <f>IF($D12="","",IF(COUNTIFS('Match Day Reports'!$C$409:$C$426,$D12)=0,"",SUMIFS('Match Day Reports'!$I$409:$I$426,'Match Day Reports'!$C$409:$C$426,$D12)))</f>
        <v/>
      </c>
      <c r="EO12" s="411" t="str">
        <f>IF($D12="","",IF($D12='Match Day Reports'!$H$406,"Yes",""))</f>
        <v/>
      </c>
      <c r="EP12" s="97"/>
      <c r="EQ12" s="97"/>
      <c r="ER12" s="412" t="str">
        <f>IF($D12="","",IF(COUNTIFS('Match Day Reports'!$C$436:$C$453,$D12)=0,"",SUMIFS('Match Day Reports'!$I$436:$I$453,'Match Day Reports'!$C$436:$C$453,$D12)))</f>
        <v/>
      </c>
      <c r="ES12" s="411" t="str">
        <f>IF($D12="","",IF($D12='Match Day Reports'!$H$433,"Yes",""))</f>
        <v/>
      </c>
      <c r="ET12" s="97"/>
      <c r="EU12" s="97"/>
      <c r="EV12" s="412" t="str">
        <f>IF($D12="","",IF(COUNTIFS('Match Day Reports'!$C$463:$C$480,$D12)=0,"",SUMIFS('Match Day Reports'!$I$463:$I$480,'Match Day Reports'!$C$463:$C$480,$D12)))</f>
        <v/>
      </c>
      <c r="EW12" s="411" t="str">
        <f>IF($D12="","",IF($D12='Match Day Reports'!$H$460,"Yes",""))</f>
        <v/>
      </c>
      <c r="EX12" s="97"/>
      <c r="EY12" s="97"/>
      <c r="EZ12" s="412" t="str">
        <f>IF($D12="","",IF(COUNTIFS('Match Day Reports'!$C$490:$C$507,$D12)=0,"",SUMIFS('Match Day Reports'!$I$490:$I$507,'Match Day Reports'!$C$490:$C$507,$D12)))</f>
        <v/>
      </c>
      <c r="FA12" s="411" t="str">
        <f>IF($D12="","",IF($D12='Match Day Reports'!$H$487,"Yes",""))</f>
        <v/>
      </c>
      <c r="FB12" s="97"/>
      <c r="FC12" s="97"/>
      <c r="FD12" s="412" t="str">
        <f>IF($D12="","",IF(COUNTIFS('Match Day Reports'!$C$517:$C$534,$D12)=0,"",SUMIFS('Match Day Reports'!$I$517:$I$534,'Match Day Reports'!$C$517:$C$534,$D12)))</f>
        <v/>
      </c>
      <c r="FE12" s="411" t="str">
        <f>IF($D12="","",IF($D12='Match Day Reports'!$H$514,"Yes",""))</f>
        <v/>
      </c>
      <c r="FF12" s="97"/>
      <c r="FG12" s="97"/>
      <c r="FH12" s="412" t="str">
        <f>IF($D12="","",IF(COUNTIFS('Match Day Reports'!$C$544:$C$561,$D12)=0,"",SUMIFS('Match Day Reports'!$I$544:$I$561,'Match Day Reports'!$C$544:$C$561,$D12)))</f>
        <v/>
      </c>
      <c r="FI12" s="411" t="str">
        <f>IF($D12="","",IF($D12='Match Day Reports'!$H$541,"Yes",""))</f>
        <v/>
      </c>
      <c r="FJ12" s="97"/>
      <c r="FK12" s="97"/>
      <c r="FL12" s="412" t="str">
        <f>IF($D12="","",IF(COUNTIFS('Match Day Reports'!$C$571:$C$588,$D12)=0,"",SUMIFS('Match Day Reports'!$I$571:$I$588,'Match Day Reports'!$C$571:$C$588,$D12)))</f>
        <v/>
      </c>
      <c r="FM12" s="411" t="str">
        <f>IF($D12="","",IF($D12='Match Day Reports'!$H$568,"Yes",""))</f>
        <v/>
      </c>
      <c r="FN12" s="97"/>
      <c r="FO12" s="97"/>
      <c r="FP12" s="412" t="str">
        <f>IF($D12="","",IF(COUNTIFS('Match Day Reports'!$C$598:$C$615,$D12)=0,"",SUMIFS('Match Day Reports'!$I$598:$I$615,'Match Day Reports'!$C$598:$C$615,$D12)))</f>
        <v/>
      </c>
      <c r="FQ12" s="411" t="str">
        <f>IF($D12="","",IF($D12='Match Day Reports'!$H$595,"Yes",""))</f>
        <v/>
      </c>
      <c r="FR12" s="97"/>
      <c r="FS12" s="97"/>
      <c r="FT12" s="412" t="str">
        <f>IF($D12="","",IF(COUNTIFS('Match Day Reports'!$C$625:$C$642,$D12)=0,"",SUMIFS('Match Day Reports'!$I$625:$I$642,'Match Day Reports'!$C$625:$C$642,$D12)))</f>
        <v/>
      </c>
      <c r="FU12" s="411" t="str">
        <f>IF($D12="","",IF($D12='Match Day Reports'!$H$622,"Yes",""))</f>
        <v/>
      </c>
      <c r="FV12" s="97"/>
      <c r="FW12" s="97"/>
      <c r="FX12" s="412" t="str">
        <f>IF($D12="","",IF(COUNTIFS('Match Day Reports'!$C$652:$C$669,$D12)=0,"",SUMIFS('Match Day Reports'!$I$652:$I$669,'Match Day Reports'!$C$652:$C$669,$D12)))</f>
        <v/>
      </c>
      <c r="FY12" s="411" t="str">
        <f>IF($D12="","",IF($D12='Match Day Reports'!$H$649,"Yes",""))</f>
        <v/>
      </c>
      <c r="GA12" s="106">
        <f t="shared" si="0"/>
        <v>3</v>
      </c>
      <c r="GB12" s="107" cm="1">
        <f t="array" ref="GB12">IF($D12="","",SUMPRODUCT(($E$4:$CN$4="Att")*((($E$3:$CN$3&lt;&gt;"")+($E12:$CN12="Yes")+($E12:$CN12="No"))&gt;0)))</f>
        <v>3</v>
      </c>
      <c r="GC12" s="108">
        <f t="shared" si="9"/>
        <v>1</v>
      </c>
      <c r="GD12" s="109">
        <f t="shared" si="1"/>
        <v>2.6666666666666665</v>
      </c>
      <c r="GE12" s="108">
        <f t="shared" si="10"/>
        <v>0.53333333333333333</v>
      </c>
      <c r="GF12" s="107">
        <f t="array" ref="GF12">IF($D12="","",SUMPRODUCT(($CP$4:$FY$4="Att")*($CP$2:$FY$2&lt;&gt;"")*($CP12:$FY12&lt;&gt;"N-A")*($CP12:$FY12&lt;&gt;"")))</f>
        <v>0</v>
      </c>
      <c r="GG12" s="107">
        <f t="shared" si="2"/>
        <v>0</v>
      </c>
      <c r="GH12" s="108" t="str">
        <f t="shared" si="11"/>
        <v/>
      </c>
      <c r="GI12" s="107">
        <f t="shared" si="3"/>
        <v>0</v>
      </c>
      <c r="GJ12" s="109" t="str">
        <f t="shared" si="4"/>
        <v/>
      </c>
      <c r="GK12" s="109">
        <f t="shared" si="5"/>
        <v>7.5</v>
      </c>
      <c r="GL12" s="108">
        <f t="shared" si="12"/>
        <v>0.75</v>
      </c>
      <c r="GM12" s="107">
        <f t="shared" si="6"/>
        <v>0</v>
      </c>
      <c r="GN12" s="110">
        <f t="shared" si="7"/>
        <v>0.72777777777777775</v>
      </c>
      <c r="GO12" s="111" t="str">
        <f t="shared" si="8"/>
        <v>Shauna Kavanagh</v>
      </c>
      <c r="GP12" s="103"/>
      <c r="GQ12" s="103"/>
      <c r="GR12" s="103"/>
      <c r="GS12" s="104"/>
    </row>
    <row r="13" spans="2:201" x14ac:dyDescent="0.45">
      <c r="B13" s="500"/>
      <c r="C13" s="60">
        <v>9</v>
      </c>
      <c r="D13" s="105" t="s">
        <v>74</v>
      </c>
      <c r="E13" s="97" t="s">
        <v>54</v>
      </c>
      <c r="F13" s="97">
        <v>3</v>
      </c>
      <c r="G13" s="97" t="s">
        <v>54</v>
      </c>
      <c r="H13" s="97">
        <v>3</v>
      </c>
      <c r="I13" s="97" t="s">
        <v>54</v>
      </c>
      <c r="J13" s="97">
        <v>3</v>
      </c>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P13" s="97"/>
      <c r="CQ13" s="97"/>
      <c r="CR13" s="412">
        <f>IF($D13="","",IF(COUNTIFS('Match Day Reports'!$C$85:$C$102,$D13)=0,"",SUMIFS('Match Day Reports'!$I$85:$I$102,'Match Day Reports'!$C$85:$C$102,$D13)))</f>
        <v>8</v>
      </c>
      <c r="CS13" s="411" t="str">
        <f>IF($D13="","",IF($D13='Match Day Reports'!$H$82,"Yes",""))</f>
        <v/>
      </c>
      <c r="CT13" s="97"/>
      <c r="CU13" s="97"/>
      <c r="CV13" s="412" t="str">
        <f>IF($D13="","",IF(COUNTIFS('Match Day Reports'!$C$112:$C$129,$D13)=0,"",SUMIFS('Match Day Reports'!$I$112:$I$129,'Match Day Reports'!$C$112:$C$129,$D13)))</f>
        <v/>
      </c>
      <c r="CW13" s="411" t="str">
        <f>IF($D13="","",IF($D13='Match Day Reports'!$H$109,"Yes",""))</f>
        <v/>
      </c>
      <c r="CX13" s="97"/>
      <c r="CY13" s="97"/>
      <c r="CZ13" s="412" t="str">
        <f>IF($D13="","",IF(COUNTIFS('Match Day Reports'!$C$139:$C$156,$D13)=0,"",SUMIFS('Match Day Reports'!$I$139:$I$156,'Match Day Reports'!$C$139:$C$156,$D13)))</f>
        <v/>
      </c>
      <c r="DA13" s="411" t="str">
        <f>IF($D13="","",IF($D13='Match Day Reports'!$H$136,"Yes",""))</f>
        <v/>
      </c>
      <c r="DB13" s="97"/>
      <c r="DC13" s="97"/>
      <c r="DD13" s="412" t="str">
        <f>IF($D13="","",IF(COUNTIFS('Match Day Reports'!$C$166:$C$183,$D13)=0,"",SUMIFS('Match Day Reports'!$I$166:$I$183,'Match Day Reports'!$C$166:$C$183,$D13)))</f>
        <v/>
      </c>
      <c r="DE13" s="411" t="str">
        <f>IF($D13="","",IF($D13='Match Day Reports'!$H$163,"Yes",""))</f>
        <v/>
      </c>
      <c r="DF13" s="97"/>
      <c r="DG13" s="97"/>
      <c r="DH13" s="412" t="str">
        <f>IF($D13="","",IF(COUNTIFS('Match Day Reports'!$C$193:$C$210,$D13)=0,"",SUMIFS('Match Day Reports'!$I$193:$I$210,'Match Day Reports'!$C$193:$C$210,$D13)))</f>
        <v/>
      </c>
      <c r="DI13" s="411" t="str">
        <f>IF($D13="","",IF($D13='Match Day Reports'!$H$190,"Yes",""))</f>
        <v/>
      </c>
      <c r="DJ13" s="97"/>
      <c r="DK13" s="97"/>
      <c r="DL13" s="412" t="str">
        <f>IF($D13="","",IF(COUNTIFS('Match Day Reports'!$C$220:$C$237,$D13)=0,"",SUMIFS('Match Day Reports'!$I$220:$I$237,'Match Day Reports'!$C$220:$C$237,$D13)))</f>
        <v/>
      </c>
      <c r="DM13" s="411" t="str">
        <f>IF($D13="","",IF($D13='Match Day Reports'!$H$217,"Yes",""))</f>
        <v/>
      </c>
      <c r="DN13" s="97"/>
      <c r="DO13" s="97"/>
      <c r="DP13" s="412" t="str">
        <f>IF($D13="","",IF(COUNTIFS('Match Day Reports'!$C$247:$C$264,$D13)=0,"",SUMIFS('Match Day Reports'!$I$247:$I$264,'Match Day Reports'!$C$247:$C$264,$D13)))</f>
        <v/>
      </c>
      <c r="DQ13" s="411" t="str">
        <f>IF($D13="","",IF($D13='Match Day Reports'!$H$244,"Yes",""))</f>
        <v/>
      </c>
      <c r="DR13" s="97"/>
      <c r="DS13" s="97"/>
      <c r="DT13" s="412" t="str">
        <f>IF($D13="","",IF(COUNTIFS('Match Day Reports'!$C$274:$C$291,$D13)=0,"",SUMIFS('Match Day Reports'!$I$274:$I$291,'Match Day Reports'!$C$274:$C$291,$D13)))</f>
        <v/>
      </c>
      <c r="DU13" s="411" t="str">
        <f>IF($D13="","",IF($D13='Match Day Reports'!$H$271,"Yes",""))</f>
        <v/>
      </c>
      <c r="DV13" s="97"/>
      <c r="DW13" s="97"/>
      <c r="DX13" s="412" t="str">
        <f>IF($D13="","",IF(COUNTIFS('Match Day Reports'!$C$301:$C$318,$D13)=0,"",SUMIFS('Match Day Reports'!$I$301:$I$318,'Match Day Reports'!$C$301:$C$318,$D13)))</f>
        <v/>
      </c>
      <c r="DY13" s="411" t="str">
        <f>IF($D13="","",IF($D13='Match Day Reports'!$H$298,"Yes",""))</f>
        <v/>
      </c>
      <c r="DZ13" s="97"/>
      <c r="EA13" s="97"/>
      <c r="EB13" s="412" t="str">
        <f>IF($D13="","",IF(COUNTIFS('Match Day Reports'!$C$328:$C$345,$D13)=0,"",SUMIFS('Match Day Reports'!$I$328:$I$345,'Match Day Reports'!$C$328:$C$345,$D13)))</f>
        <v/>
      </c>
      <c r="EC13" s="411" t="str">
        <f>IF($D13="","",IF($D13='Match Day Reports'!$H$325,"Yes",""))</f>
        <v/>
      </c>
      <c r="ED13" s="97"/>
      <c r="EE13" s="97"/>
      <c r="EF13" s="412" t="str">
        <f>IF($D13="","",IF(COUNTIFS('Match Day Reports'!$C$355:$C$372,$D13)=0,"",SUMIFS('Match Day Reports'!$I$355:$I$372,'Match Day Reports'!$C$355:$C$372,$D13)))</f>
        <v/>
      </c>
      <c r="EG13" s="411" t="str">
        <f>IF($D13="","",IF($D13='Match Day Reports'!$H$352,"Yes",""))</f>
        <v/>
      </c>
      <c r="EH13" s="97"/>
      <c r="EI13" s="97"/>
      <c r="EJ13" s="412" t="str">
        <f>IF($D13="","",IF(COUNTIFS('Match Day Reports'!$C$382:$C$399,$D13)=0,"",SUMIFS('Match Day Reports'!$I$382:$I$399,'Match Day Reports'!$C$382:$C$399,$D13)))</f>
        <v/>
      </c>
      <c r="EK13" s="411" t="str">
        <f>IF($D13="","",IF($D13='Match Day Reports'!$H$379,"Yes",""))</f>
        <v/>
      </c>
      <c r="EL13" s="97"/>
      <c r="EM13" s="97"/>
      <c r="EN13" s="412" t="str">
        <f>IF($D13="","",IF(COUNTIFS('Match Day Reports'!$C$409:$C$426,$D13)=0,"",SUMIFS('Match Day Reports'!$I$409:$I$426,'Match Day Reports'!$C$409:$C$426,$D13)))</f>
        <v/>
      </c>
      <c r="EO13" s="411" t="str">
        <f>IF($D13="","",IF($D13='Match Day Reports'!$H$406,"Yes",""))</f>
        <v/>
      </c>
      <c r="EP13" s="97"/>
      <c r="EQ13" s="97"/>
      <c r="ER13" s="412" t="str">
        <f>IF($D13="","",IF(COUNTIFS('Match Day Reports'!$C$436:$C$453,$D13)=0,"",SUMIFS('Match Day Reports'!$I$436:$I$453,'Match Day Reports'!$C$436:$C$453,$D13)))</f>
        <v/>
      </c>
      <c r="ES13" s="411" t="str">
        <f>IF($D13="","",IF($D13='Match Day Reports'!$H$433,"Yes",""))</f>
        <v/>
      </c>
      <c r="ET13" s="97"/>
      <c r="EU13" s="97"/>
      <c r="EV13" s="412" t="str">
        <f>IF($D13="","",IF(COUNTIFS('Match Day Reports'!$C$463:$C$480,$D13)=0,"",SUMIFS('Match Day Reports'!$I$463:$I$480,'Match Day Reports'!$C$463:$C$480,$D13)))</f>
        <v/>
      </c>
      <c r="EW13" s="411" t="str">
        <f>IF($D13="","",IF($D13='Match Day Reports'!$H$460,"Yes",""))</f>
        <v/>
      </c>
      <c r="EX13" s="97"/>
      <c r="EY13" s="97"/>
      <c r="EZ13" s="412" t="str">
        <f>IF($D13="","",IF(COUNTIFS('Match Day Reports'!$C$490:$C$507,$D13)=0,"",SUMIFS('Match Day Reports'!$I$490:$I$507,'Match Day Reports'!$C$490:$C$507,$D13)))</f>
        <v/>
      </c>
      <c r="FA13" s="411" t="str">
        <f>IF($D13="","",IF($D13='Match Day Reports'!$H$487,"Yes",""))</f>
        <v/>
      </c>
      <c r="FB13" s="97"/>
      <c r="FC13" s="97"/>
      <c r="FD13" s="412" t="str">
        <f>IF($D13="","",IF(COUNTIFS('Match Day Reports'!$C$517:$C$534,$D13)=0,"",SUMIFS('Match Day Reports'!$I$517:$I$534,'Match Day Reports'!$C$517:$C$534,$D13)))</f>
        <v/>
      </c>
      <c r="FE13" s="411" t="str">
        <f>IF($D13="","",IF($D13='Match Day Reports'!$H$514,"Yes",""))</f>
        <v/>
      </c>
      <c r="FF13" s="97"/>
      <c r="FG13" s="97"/>
      <c r="FH13" s="412" t="str">
        <f>IF($D13="","",IF(COUNTIFS('Match Day Reports'!$C$544:$C$561,$D13)=0,"",SUMIFS('Match Day Reports'!$I$544:$I$561,'Match Day Reports'!$C$544:$C$561,$D13)))</f>
        <v/>
      </c>
      <c r="FI13" s="411" t="str">
        <f>IF($D13="","",IF($D13='Match Day Reports'!$H$541,"Yes",""))</f>
        <v/>
      </c>
      <c r="FJ13" s="97"/>
      <c r="FK13" s="97"/>
      <c r="FL13" s="412" t="str">
        <f>IF($D13="","",IF(COUNTIFS('Match Day Reports'!$C$571:$C$588,$D13)=0,"",SUMIFS('Match Day Reports'!$I$571:$I$588,'Match Day Reports'!$C$571:$C$588,$D13)))</f>
        <v/>
      </c>
      <c r="FM13" s="411" t="str">
        <f>IF($D13="","",IF($D13='Match Day Reports'!$H$568,"Yes",""))</f>
        <v/>
      </c>
      <c r="FN13" s="97"/>
      <c r="FO13" s="97"/>
      <c r="FP13" s="412" t="str">
        <f>IF($D13="","",IF(COUNTIFS('Match Day Reports'!$C$598:$C$615,$D13)=0,"",SUMIFS('Match Day Reports'!$I$598:$I$615,'Match Day Reports'!$C$598:$C$615,$D13)))</f>
        <v/>
      </c>
      <c r="FQ13" s="411" t="str">
        <f>IF($D13="","",IF($D13='Match Day Reports'!$H$595,"Yes",""))</f>
        <v/>
      </c>
      <c r="FR13" s="97"/>
      <c r="FS13" s="97"/>
      <c r="FT13" s="412" t="str">
        <f>IF($D13="","",IF(COUNTIFS('Match Day Reports'!$C$625:$C$642,$D13)=0,"",SUMIFS('Match Day Reports'!$I$625:$I$642,'Match Day Reports'!$C$625:$C$642,$D13)))</f>
        <v/>
      </c>
      <c r="FU13" s="411" t="str">
        <f>IF($D13="","",IF($D13='Match Day Reports'!$H$622,"Yes",""))</f>
        <v/>
      </c>
      <c r="FV13" s="97"/>
      <c r="FW13" s="97"/>
      <c r="FX13" s="412" t="str">
        <f>IF($D13="","",IF(COUNTIFS('Match Day Reports'!$C$652:$C$669,$D13)=0,"",SUMIFS('Match Day Reports'!$I$652:$I$669,'Match Day Reports'!$C$652:$C$669,$D13)))</f>
        <v/>
      </c>
      <c r="FY13" s="411" t="str">
        <f>IF($D13="","",IF($D13='Match Day Reports'!$H$649,"Yes",""))</f>
        <v/>
      </c>
      <c r="GA13" s="98">
        <f t="shared" si="0"/>
        <v>3</v>
      </c>
      <c r="GB13" s="99" cm="1">
        <f t="array" ref="GB13">IF($D13="","",SUMPRODUCT(($E$4:$CN$4="Att")*((($E$3:$CN$3&lt;&gt;"")+($E13:$CN13="Yes")+($E13:$CN13="No"))&gt;0)))</f>
        <v>3</v>
      </c>
      <c r="GC13" s="100">
        <f t="shared" si="9"/>
        <v>1</v>
      </c>
      <c r="GD13" s="35">
        <f t="shared" si="1"/>
        <v>3</v>
      </c>
      <c r="GE13" s="100">
        <f t="shared" si="10"/>
        <v>0.6</v>
      </c>
      <c r="GF13" s="99">
        <f t="array" ref="GF13">IF($D13="","",SUMPRODUCT(($CP$4:$FY$4="Att")*($CP$2:$FY$2&lt;&gt;"")*($CP13:$FY13&lt;&gt;"N-A")*($CP13:$FY13&lt;&gt;"")))</f>
        <v>0</v>
      </c>
      <c r="GG13" s="99">
        <f t="shared" si="2"/>
        <v>0</v>
      </c>
      <c r="GH13" s="100" t="str">
        <f t="shared" si="11"/>
        <v/>
      </c>
      <c r="GI13" s="99">
        <f t="shared" si="3"/>
        <v>0</v>
      </c>
      <c r="GJ13" s="35" t="str">
        <f t="shared" si="4"/>
        <v/>
      </c>
      <c r="GK13" s="35">
        <f t="shared" si="5"/>
        <v>8</v>
      </c>
      <c r="GL13" s="100">
        <f t="shared" si="12"/>
        <v>0.8</v>
      </c>
      <c r="GM13" s="99">
        <f t="shared" si="6"/>
        <v>0</v>
      </c>
      <c r="GN13" s="101">
        <f t="shared" si="7"/>
        <v>0.76666666666666661</v>
      </c>
      <c r="GO13" s="102" t="str">
        <f t="shared" si="8"/>
        <v>Tara Brannigan</v>
      </c>
      <c r="GP13" s="103"/>
      <c r="GQ13" s="103"/>
      <c r="GR13" s="103"/>
      <c r="GS13" s="104"/>
    </row>
    <row r="14" spans="2:201" x14ac:dyDescent="0.45">
      <c r="B14" s="500"/>
      <c r="C14" s="60">
        <v>10</v>
      </c>
      <c r="D14" s="105" t="s">
        <v>76</v>
      </c>
      <c r="E14" s="97" t="s">
        <v>54</v>
      </c>
      <c r="F14" s="97">
        <v>3</v>
      </c>
      <c r="G14" s="97" t="s">
        <v>55</v>
      </c>
      <c r="H14" s="97"/>
      <c r="I14" s="97" t="s">
        <v>54</v>
      </c>
      <c r="J14" s="97">
        <v>4</v>
      </c>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P14" s="97"/>
      <c r="CQ14" s="97"/>
      <c r="CR14" s="412">
        <f>IF($D14="","",IF(COUNTIFS('Match Day Reports'!$C$85:$C$102,$D14)=0,"",SUMIFS('Match Day Reports'!$I$85:$I$102,'Match Day Reports'!$C$85:$C$102,$D14)))</f>
        <v>8.5</v>
      </c>
      <c r="CS14" s="411" t="str">
        <f>IF($D14="","",IF($D14='Match Day Reports'!$H$82,"Yes",""))</f>
        <v/>
      </c>
      <c r="CT14" s="97"/>
      <c r="CU14" s="97"/>
      <c r="CV14" s="412" t="str">
        <f>IF($D14="","",IF(COUNTIFS('Match Day Reports'!$C$112:$C$129,$D14)=0,"",SUMIFS('Match Day Reports'!$I$112:$I$129,'Match Day Reports'!$C$112:$C$129,$D14)))</f>
        <v/>
      </c>
      <c r="CW14" s="411" t="str">
        <f>IF($D14="","",IF($D14='Match Day Reports'!$H$109,"Yes",""))</f>
        <v/>
      </c>
      <c r="CX14" s="97"/>
      <c r="CY14" s="97"/>
      <c r="CZ14" s="412" t="str">
        <f>IF($D14="","",IF(COUNTIFS('Match Day Reports'!$C$139:$C$156,$D14)=0,"",SUMIFS('Match Day Reports'!$I$139:$I$156,'Match Day Reports'!$C$139:$C$156,$D14)))</f>
        <v/>
      </c>
      <c r="DA14" s="411" t="str">
        <f>IF($D14="","",IF($D14='Match Day Reports'!$H$136,"Yes",""))</f>
        <v/>
      </c>
      <c r="DB14" s="97"/>
      <c r="DC14" s="97"/>
      <c r="DD14" s="412" t="str">
        <f>IF($D14="","",IF(COUNTIFS('Match Day Reports'!$C$166:$C$183,$D14)=0,"",SUMIFS('Match Day Reports'!$I$166:$I$183,'Match Day Reports'!$C$166:$C$183,$D14)))</f>
        <v/>
      </c>
      <c r="DE14" s="411" t="str">
        <f>IF($D14="","",IF($D14='Match Day Reports'!$H$163,"Yes",""))</f>
        <v/>
      </c>
      <c r="DF14" s="97"/>
      <c r="DG14" s="97"/>
      <c r="DH14" s="412" t="str">
        <f>IF($D14="","",IF(COUNTIFS('Match Day Reports'!$C$193:$C$210,$D14)=0,"",SUMIFS('Match Day Reports'!$I$193:$I$210,'Match Day Reports'!$C$193:$C$210,$D14)))</f>
        <v/>
      </c>
      <c r="DI14" s="411" t="str">
        <f>IF($D14="","",IF($D14='Match Day Reports'!$H$190,"Yes",""))</f>
        <v/>
      </c>
      <c r="DJ14" s="97"/>
      <c r="DK14" s="97"/>
      <c r="DL14" s="412" t="str">
        <f>IF($D14="","",IF(COUNTIFS('Match Day Reports'!$C$220:$C$237,$D14)=0,"",SUMIFS('Match Day Reports'!$I$220:$I$237,'Match Day Reports'!$C$220:$C$237,$D14)))</f>
        <v/>
      </c>
      <c r="DM14" s="411" t="str">
        <f>IF($D14="","",IF($D14='Match Day Reports'!$H$217,"Yes",""))</f>
        <v/>
      </c>
      <c r="DN14" s="97"/>
      <c r="DO14" s="97"/>
      <c r="DP14" s="412" t="str">
        <f>IF($D14="","",IF(COUNTIFS('Match Day Reports'!$C$247:$C$264,$D14)=0,"",SUMIFS('Match Day Reports'!$I$247:$I$264,'Match Day Reports'!$C$247:$C$264,$D14)))</f>
        <v/>
      </c>
      <c r="DQ14" s="411" t="str">
        <f>IF($D14="","",IF($D14='Match Day Reports'!$H$244,"Yes",""))</f>
        <v/>
      </c>
      <c r="DR14" s="97"/>
      <c r="DS14" s="97"/>
      <c r="DT14" s="412" t="str">
        <f>IF($D14="","",IF(COUNTIFS('Match Day Reports'!$C$274:$C$291,$D14)=0,"",SUMIFS('Match Day Reports'!$I$274:$I$291,'Match Day Reports'!$C$274:$C$291,$D14)))</f>
        <v/>
      </c>
      <c r="DU14" s="411" t="str">
        <f>IF($D14="","",IF($D14='Match Day Reports'!$H$271,"Yes",""))</f>
        <v/>
      </c>
      <c r="DV14" s="97"/>
      <c r="DW14" s="97"/>
      <c r="DX14" s="412" t="str">
        <f>IF($D14="","",IF(COUNTIFS('Match Day Reports'!$C$301:$C$318,$D14)=0,"",SUMIFS('Match Day Reports'!$I$301:$I$318,'Match Day Reports'!$C$301:$C$318,$D14)))</f>
        <v/>
      </c>
      <c r="DY14" s="411" t="str">
        <f>IF($D14="","",IF($D14='Match Day Reports'!$H$298,"Yes",""))</f>
        <v/>
      </c>
      <c r="DZ14" s="97"/>
      <c r="EA14" s="97"/>
      <c r="EB14" s="412" t="str">
        <f>IF($D14="","",IF(COUNTIFS('Match Day Reports'!$C$328:$C$345,$D14)=0,"",SUMIFS('Match Day Reports'!$I$328:$I$345,'Match Day Reports'!$C$328:$C$345,$D14)))</f>
        <v/>
      </c>
      <c r="EC14" s="411" t="str">
        <f>IF($D14="","",IF($D14='Match Day Reports'!$H$325,"Yes",""))</f>
        <v/>
      </c>
      <c r="ED14" s="97"/>
      <c r="EE14" s="97"/>
      <c r="EF14" s="412" t="str">
        <f>IF($D14="","",IF(COUNTIFS('Match Day Reports'!$C$355:$C$372,$D14)=0,"",SUMIFS('Match Day Reports'!$I$355:$I$372,'Match Day Reports'!$C$355:$C$372,$D14)))</f>
        <v/>
      </c>
      <c r="EG14" s="411" t="str">
        <f>IF($D14="","",IF($D14='Match Day Reports'!$H$352,"Yes",""))</f>
        <v/>
      </c>
      <c r="EH14" s="97"/>
      <c r="EI14" s="97"/>
      <c r="EJ14" s="412" t="str">
        <f>IF($D14="","",IF(COUNTIFS('Match Day Reports'!$C$382:$C$399,$D14)=0,"",SUMIFS('Match Day Reports'!$I$382:$I$399,'Match Day Reports'!$C$382:$C$399,$D14)))</f>
        <v/>
      </c>
      <c r="EK14" s="411" t="str">
        <f>IF($D14="","",IF($D14='Match Day Reports'!$H$379,"Yes",""))</f>
        <v/>
      </c>
      <c r="EL14" s="97"/>
      <c r="EM14" s="97"/>
      <c r="EN14" s="412" t="str">
        <f>IF($D14="","",IF(COUNTIFS('Match Day Reports'!$C$409:$C$426,$D14)=0,"",SUMIFS('Match Day Reports'!$I$409:$I$426,'Match Day Reports'!$C$409:$C$426,$D14)))</f>
        <v/>
      </c>
      <c r="EO14" s="411" t="str">
        <f>IF($D14="","",IF($D14='Match Day Reports'!$H$406,"Yes",""))</f>
        <v/>
      </c>
      <c r="EP14" s="97"/>
      <c r="EQ14" s="97"/>
      <c r="ER14" s="412" t="str">
        <f>IF($D14="","",IF(COUNTIFS('Match Day Reports'!$C$436:$C$453,$D14)=0,"",SUMIFS('Match Day Reports'!$I$436:$I$453,'Match Day Reports'!$C$436:$C$453,$D14)))</f>
        <v/>
      </c>
      <c r="ES14" s="411" t="str">
        <f>IF($D14="","",IF($D14='Match Day Reports'!$H$433,"Yes",""))</f>
        <v/>
      </c>
      <c r="ET14" s="97"/>
      <c r="EU14" s="97"/>
      <c r="EV14" s="412" t="str">
        <f>IF($D14="","",IF(COUNTIFS('Match Day Reports'!$C$463:$C$480,$D14)=0,"",SUMIFS('Match Day Reports'!$I$463:$I$480,'Match Day Reports'!$C$463:$C$480,$D14)))</f>
        <v/>
      </c>
      <c r="EW14" s="411" t="str">
        <f>IF($D14="","",IF($D14='Match Day Reports'!$H$460,"Yes",""))</f>
        <v/>
      </c>
      <c r="EX14" s="97"/>
      <c r="EY14" s="97"/>
      <c r="EZ14" s="412" t="str">
        <f>IF($D14="","",IF(COUNTIFS('Match Day Reports'!$C$490:$C$507,$D14)=0,"",SUMIFS('Match Day Reports'!$I$490:$I$507,'Match Day Reports'!$C$490:$C$507,$D14)))</f>
        <v/>
      </c>
      <c r="FA14" s="411" t="str">
        <f>IF($D14="","",IF($D14='Match Day Reports'!$H$487,"Yes",""))</f>
        <v/>
      </c>
      <c r="FB14" s="97"/>
      <c r="FC14" s="97"/>
      <c r="FD14" s="412" t="str">
        <f>IF($D14="","",IF(COUNTIFS('Match Day Reports'!$C$517:$C$534,$D14)=0,"",SUMIFS('Match Day Reports'!$I$517:$I$534,'Match Day Reports'!$C$517:$C$534,$D14)))</f>
        <v/>
      </c>
      <c r="FE14" s="411" t="str">
        <f>IF($D14="","",IF($D14='Match Day Reports'!$H$514,"Yes",""))</f>
        <v/>
      </c>
      <c r="FF14" s="97"/>
      <c r="FG14" s="97"/>
      <c r="FH14" s="412" t="str">
        <f>IF($D14="","",IF(COUNTIFS('Match Day Reports'!$C$544:$C$561,$D14)=0,"",SUMIFS('Match Day Reports'!$I$544:$I$561,'Match Day Reports'!$C$544:$C$561,$D14)))</f>
        <v/>
      </c>
      <c r="FI14" s="411" t="str">
        <f>IF($D14="","",IF($D14='Match Day Reports'!$H$541,"Yes",""))</f>
        <v/>
      </c>
      <c r="FJ14" s="97"/>
      <c r="FK14" s="97"/>
      <c r="FL14" s="412" t="str">
        <f>IF($D14="","",IF(COUNTIFS('Match Day Reports'!$C$571:$C$588,$D14)=0,"",SUMIFS('Match Day Reports'!$I$571:$I$588,'Match Day Reports'!$C$571:$C$588,$D14)))</f>
        <v/>
      </c>
      <c r="FM14" s="411" t="str">
        <f>IF($D14="","",IF($D14='Match Day Reports'!$H$568,"Yes",""))</f>
        <v/>
      </c>
      <c r="FN14" s="97"/>
      <c r="FO14" s="97"/>
      <c r="FP14" s="412" t="str">
        <f>IF($D14="","",IF(COUNTIFS('Match Day Reports'!$C$598:$C$615,$D14)=0,"",SUMIFS('Match Day Reports'!$I$598:$I$615,'Match Day Reports'!$C$598:$C$615,$D14)))</f>
        <v/>
      </c>
      <c r="FQ14" s="411" t="str">
        <f>IF($D14="","",IF($D14='Match Day Reports'!$H$595,"Yes",""))</f>
        <v/>
      </c>
      <c r="FR14" s="97"/>
      <c r="FS14" s="97"/>
      <c r="FT14" s="412" t="str">
        <f>IF($D14="","",IF(COUNTIFS('Match Day Reports'!$C$625:$C$642,$D14)=0,"",SUMIFS('Match Day Reports'!$I$625:$I$642,'Match Day Reports'!$C$625:$C$642,$D14)))</f>
        <v/>
      </c>
      <c r="FU14" s="411" t="str">
        <f>IF($D14="","",IF($D14='Match Day Reports'!$H$622,"Yes",""))</f>
        <v/>
      </c>
      <c r="FV14" s="97"/>
      <c r="FW14" s="97"/>
      <c r="FX14" s="412" t="str">
        <f>IF($D14="","",IF(COUNTIFS('Match Day Reports'!$C$652:$C$669,$D14)=0,"",SUMIFS('Match Day Reports'!$I$652:$I$669,'Match Day Reports'!$C$652:$C$669,$D14)))</f>
        <v/>
      </c>
      <c r="FY14" s="411" t="str">
        <f>IF($D14="","",IF($D14='Match Day Reports'!$H$649,"Yes",""))</f>
        <v/>
      </c>
      <c r="GA14" s="106">
        <f t="shared" si="0"/>
        <v>2</v>
      </c>
      <c r="GB14" s="107" cm="1">
        <f t="array" ref="GB14">IF($D14="","",SUMPRODUCT(($E$4:$CN$4="Att")*((($E$3:$CN$3&lt;&gt;"")+($E14:$CN14="Yes")+($E14:$CN14="No"))&gt;0)))</f>
        <v>3</v>
      </c>
      <c r="GC14" s="108">
        <f t="shared" si="9"/>
        <v>0.66666666666666663</v>
      </c>
      <c r="GD14" s="109">
        <f t="shared" si="1"/>
        <v>3.5</v>
      </c>
      <c r="GE14" s="108">
        <f t="shared" si="10"/>
        <v>0.7</v>
      </c>
      <c r="GF14" s="107">
        <f t="array" ref="GF14">IF($D14="","",SUMPRODUCT(($CP$4:$FY$4="Att")*($CP$2:$FY$2&lt;&gt;"")*($CP14:$FY14&lt;&gt;"N-A")*($CP14:$FY14&lt;&gt;"")))</f>
        <v>0</v>
      </c>
      <c r="GG14" s="107">
        <f t="shared" si="2"/>
        <v>0</v>
      </c>
      <c r="GH14" s="108" t="str">
        <f t="shared" si="11"/>
        <v/>
      </c>
      <c r="GI14" s="107">
        <f t="shared" si="3"/>
        <v>0</v>
      </c>
      <c r="GJ14" s="109" t="str">
        <f t="shared" si="4"/>
        <v/>
      </c>
      <c r="GK14" s="109">
        <f t="shared" si="5"/>
        <v>8.5</v>
      </c>
      <c r="GL14" s="108">
        <f t="shared" si="12"/>
        <v>0.85</v>
      </c>
      <c r="GM14" s="107">
        <f t="shared" si="6"/>
        <v>0</v>
      </c>
      <c r="GN14" s="110">
        <f t="shared" si="7"/>
        <v>0.68611111111111112</v>
      </c>
      <c r="GO14" s="111" t="str">
        <f t="shared" si="8"/>
        <v>Semilore Adesanya</v>
      </c>
      <c r="GP14" s="103"/>
      <c r="GQ14" s="103"/>
      <c r="GR14" s="103"/>
      <c r="GS14" s="104"/>
    </row>
    <row r="15" spans="2:201" x14ac:dyDescent="0.45">
      <c r="B15" s="500"/>
      <c r="C15" s="60">
        <v>11</v>
      </c>
      <c r="D15" s="105" t="s">
        <v>79</v>
      </c>
      <c r="E15" s="97" t="s">
        <v>54</v>
      </c>
      <c r="F15" s="97">
        <v>3</v>
      </c>
      <c r="G15" s="97" t="s">
        <v>54</v>
      </c>
      <c r="H15" s="97">
        <v>3</v>
      </c>
      <c r="I15" s="97" t="s">
        <v>54</v>
      </c>
      <c r="J15" s="97">
        <v>3</v>
      </c>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P15" s="97"/>
      <c r="CQ15" s="97"/>
      <c r="CR15" s="412">
        <f>IF($D15="","",IF(COUNTIFS('Match Day Reports'!$C$85:$C$102,$D15)=0,"",SUMIFS('Match Day Reports'!$I$85:$I$102,'Match Day Reports'!$C$85:$C$102,$D15)))</f>
        <v>8</v>
      </c>
      <c r="CS15" s="411" t="str">
        <f>IF($D15="","",IF($D15='Match Day Reports'!$H$82,"Yes",""))</f>
        <v/>
      </c>
      <c r="CT15" s="97"/>
      <c r="CU15" s="97"/>
      <c r="CV15" s="412" t="str">
        <f>IF($D15="","",IF(COUNTIFS('Match Day Reports'!$C$112:$C$129,$D15)=0,"",SUMIFS('Match Day Reports'!$I$112:$I$129,'Match Day Reports'!$C$112:$C$129,$D15)))</f>
        <v/>
      </c>
      <c r="CW15" s="411" t="str">
        <f>IF($D15="","",IF($D15='Match Day Reports'!$H$109,"Yes",""))</f>
        <v/>
      </c>
      <c r="CX15" s="97"/>
      <c r="CY15" s="97"/>
      <c r="CZ15" s="412" t="str">
        <f>IF($D15="","",IF(COUNTIFS('Match Day Reports'!$C$139:$C$156,$D15)=0,"",SUMIFS('Match Day Reports'!$I$139:$I$156,'Match Day Reports'!$C$139:$C$156,$D15)))</f>
        <v/>
      </c>
      <c r="DA15" s="411" t="str">
        <f>IF($D15="","",IF($D15='Match Day Reports'!$H$136,"Yes",""))</f>
        <v/>
      </c>
      <c r="DB15" s="97"/>
      <c r="DC15" s="97"/>
      <c r="DD15" s="412" t="str">
        <f>IF($D15="","",IF(COUNTIFS('Match Day Reports'!$C$166:$C$183,$D15)=0,"",SUMIFS('Match Day Reports'!$I$166:$I$183,'Match Day Reports'!$C$166:$C$183,$D15)))</f>
        <v/>
      </c>
      <c r="DE15" s="411" t="str">
        <f>IF($D15="","",IF($D15='Match Day Reports'!$H$163,"Yes",""))</f>
        <v/>
      </c>
      <c r="DF15" s="97"/>
      <c r="DG15" s="97"/>
      <c r="DH15" s="412" t="str">
        <f>IF($D15="","",IF(COUNTIFS('Match Day Reports'!$C$193:$C$210,$D15)=0,"",SUMIFS('Match Day Reports'!$I$193:$I$210,'Match Day Reports'!$C$193:$C$210,$D15)))</f>
        <v/>
      </c>
      <c r="DI15" s="411" t="str">
        <f>IF($D15="","",IF($D15='Match Day Reports'!$H$190,"Yes",""))</f>
        <v/>
      </c>
      <c r="DJ15" s="97"/>
      <c r="DK15" s="97"/>
      <c r="DL15" s="412" t="str">
        <f>IF($D15="","",IF(COUNTIFS('Match Day Reports'!$C$220:$C$237,$D15)=0,"",SUMIFS('Match Day Reports'!$I$220:$I$237,'Match Day Reports'!$C$220:$C$237,$D15)))</f>
        <v/>
      </c>
      <c r="DM15" s="411" t="str">
        <f>IF($D15="","",IF($D15='Match Day Reports'!$H$217,"Yes",""))</f>
        <v/>
      </c>
      <c r="DN15" s="97"/>
      <c r="DO15" s="97"/>
      <c r="DP15" s="412" t="str">
        <f>IF($D15="","",IF(COUNTIFS('Match Day Reports'!$C$247:$C$264,$D15)=0,"",SUMIFS('Match Day Reports'!$I$247:$I$264,'Match Day Reports'!$C$247:$C$264,$D15)))</f>
        <v/>
      </c>
      <c r="DQ15" s="411" t="str">
        <f>IF($D15="","",IF($D15='Match Day Reports'!$H$244,"Yes",""))</f>
        <v/>
      </c>
      <c r="DR15" s="97"/>
      <c r="DS15" s="97"/>
      <c r="DT15" s="412" t="str">
        <f>IF($D15="","",IF(COUNTIFS('Match Day Reports'!$C$274:$C$291,$D15)=0,"",SUMIFS('Match Day Reports'!$I$274:$I$291,'Match Day Reports'!$C$274:$C$291,$D15)))</f>
        <v/>
      </c>
      <c r="DU15" s="411" t="str">
        <f>IF($D15="","",IF($D15='Match Day Reports'!$H$271,"Yes",""))</f>
        <v/>
      </c>
      <c r="DV15" s="97"/>
      <c r="DW15" s="97"/>
      <c r="DX15" s="412" t="str">
        <f>IF($D15="","",IF(COUNTIFS('Match Day Reports'!$C$301:$C$318,$D15)=0,"",SUMIFS('Match Day Reports'!$I$301:$I$318,'Match Day Reports'!$C$301:$C$318,$D15)))</f>
        <v/>
      </c>
      <c r="DY15" s="411" t="str">
        <f>IF($D15="","",IF($D15='Match Day Reports'!$H$298,"Yes",""))</f>
        <v/>
      </c>
      <c r="DZ15" s="97"/>
      <c r="EA15" s="97"/>
      <c r="EB15" s="412" t="str">
        <f>IF($D15="","",IF(COUNTIFS('Match Day Reports'!$C$328:$C$345,$D15)=0,"",SUMIFS('Match Day Reports'!$I$328:$I$345,'Match Day Reports'!$C$328:$C$345,$D15)))</f>
        <v/>
      </c>
      <c r="EC15" s="411" t="str">
        <f>IF($D15="","",IF($D15='Match Day Reports'!$H$325,"Yes",""))</f>
        <v/>
      </c>
      <c r="ED15" s="97"/>
      <c r="EE15" s="97"/>
      <c r="EF15" s="412" t="str">
        <f>IF($D15="","",IF(COUNTIFS('Match Day Reports'!$C$355:$C$372,$D15)=0,"",SUMIFS('Match Day Reports'!$I$355:$I$372,'Match Day Reports'!$C$355:$C$372,$D15)))</f>
        <v/>
      </c>
      <c r="EG15" s="411" t="str">
        <f>IF($D15="","",IF($D15='Match Day Reports'!$H$352,"Yes",""))</f>
        <v/>
      </c>
      <c r="EH15" s="97"/>
      <c r="EI15" s="97"/>
      <c r="EJ15" s="412" t="str">
        <f>IF($D15="","",IF(COUNTIFS('Match Day Reports'!$C$382:$C$399,$D15)=0,"",SUMIFS('Match Day Reports'!$I$382:$I$399,'Match Day Reports'!$C$382:$C$399,$D15)))</f>
        <v/>
      </c>
      <c r="EK15" s="411" t="str">
        <f>IF($D15="","",IF($D15='Match Day Reports'!$H$379,"Yes",""))</f>
        <v/>
      </c>
      <c r="EL15" s="97"/>
      <c r="EM15" s="97"/>
      <c r="EN15" s="412" t="str">
        <f>IF($D15="","",IF(COUNTIFS('Match Day Reports'!$C$409:$C$426,$D15)=0,"",SUMIFS('Match Day Reports'!$I$409:$I$426,'Match Day Reports'!$C$409:$C$426,$D15)))</f>
        <v/>
      </c>
      <c r="EO15" s="411" t="str">
        <f>IF($D15="","",IF($D15='Match Day Reports'!$H$406,"Yes",""))</f>
        <v/>
      </c>
      <c r="EP15" s="97"/>
      <c r="EQ15" s="97"/>
      <c r="ER15" s="412" t="str">
        <f>IF($D15="","",IF(COUNTIFS('Match Day Reports'!$C$436:$C$453,$D15)=0,"",SUMIFS('Match Day Reports'!$I$436:$I$453,'Match Day Reports'!$C$436:$C$453,$D15)))</f>
        <v/>
      </c>
      <c r="ES15" s="411" t="str">
        <f>IF($D15="","",IF($D15='Match Day Reports'!$H$433,"Yes",""))</f>
        <v/>
      </c>
      <c r="ET15" s="97"/>
      <c r="EU15" s="97"/>
      <c r="EV15" s="412" t="str">
        <f>IF($D15="","",IF(COUNTIFS('Match Day Reports'!$C$463:$C$480,$D15)=0,"",SUMIFS('Match Day Reports'!$I$463:$I$480,'Match Day Reports'!$C$463:$C$480,$D15)))</f>
        <v/>
      </c>
      <c r="EW15" s="411" t="str">
        <f>IF($D15="","",IF($D15='Match Day Reports'!$H$460,"Yes",""))</f>
        <v/>
      </c>
      <c r="EX15" s="97"/>
      <c r="EY15" s="97"/>
      <c r="EZ15" s="412" t="str">
        <f>IF($D15="","",IF(COUNTIFS('Match Day Reports'!$C$490:$C$507,$D15)=0,"",SUMIFS('Match Day Reports'!$I$490:$I$507,'Match Day Reports'!$C$490:$C$507,$D15)))</f>
        <v/>
      </c>
      <c r="FA15" s="411" t="str">
        <f>IF($D15="","",IF($D15='Match Day Reports'!$H$487,"Yes",""))</f>
        <v/>
      </c>
      <c r="FB15" s="97"/>
      <c r="FC15" s="97"/>
      <c r="FD15" s="412" t="str">
        <f>IF($D15="","",IF(COUNTIFS('Match Day Reports'!$C$517:$C$534,$D15)=0,"",SUMIFS('Match Day Reports'!$I$517:$I$534,'Match Day Reports'!$C$517:$C$534,$D15)))</f>
        <v/>
      </c>
      <c r="FE15" s="411" t="str">
        <f>IF($D15="","",IF($D15='Match Day Reports'!$H$514,"Yes",""))</f>
        <v/>
      </c>
      <c r="FF15" s="97"/>
      <c r="FG15" s="97"/>
      <c r="FH15" s="412" t="str">
        <f>IF($D15="","",IF(COUNTIFS('Match Day Reports'!$C$544:$C$561,$D15)=0,"",SUMIFS('Match Day Reports'!$I$544:$I$561,'Match Day Reports'!$C$544:$C$561,$D15)))</f>
        <v/>
      </c>
      <c r="FI15" s="411" t="str">
        <f>IF($D15="","",IF($D15='Match Day Reports'!$H$541,"Yes",""))</f>
        <v/>
      </c>
      <c r="FJ15" s="97"/>
      <c r="FK15" s="97"/>
      <c r="FL15" s="412" t="str">
        <f>IF($D15="","",IF(COUNTIFS('Match Day Reports'!$C$571:$C$588,$D15)=0,"",SUMIFS('Match Day Reports'!$I$571:$I$588,'Match Day Reports'!$C$571:$C$588,$D15)))</f>
        <v/>
      </c>
      <c r="FM15" s="411" t="str">
        <f>IF($D15="","",IF($D15='Match Day Reports'!$H$568,"Yes",""))</f>
        <v/>
      </c>
      <c r="FN15" s="97"/>
      <c r="FO15" s="97"/>
      <c r="FP15" s="412" t="str">
        <f>IF($D15="","",IF(COUNTIFS('Match Day Reports'!$C$598:$C$615,$D15)=0,"",SUMIFS('Match Day Reports'!$I$598:$I$615,'Match Day Reports'!$C$598:$C$615,$D15)))</f>
        <v/>
      </c>
      <c r="FQ15" s="411" t="str">
        <f>IF($D15="","",IF($D15='Match Day Reports'!$H$595,"Yes",""))</f>
        <v/>
      </c>
      <c r="FR15" s="97"/>
      <c r="FS15" s="97"/>
      <c r="FT15" s="412" t="str">
        <f>IF($D15="","",IF(COUNTIFS('Match Day Reports'!$C$625:$C$642,$D15)=0,"",SUMIFS('Match Day Reports'!$I$625:$I$642,'Match Day Reports'!$C$625:$C$642,$D15)))</f>
        <v/>
      </c>
      <c r="FU15" s="411" t="str">
        <f>IF($D15="","",IF($D15='Match Day Reports'!$H$622,"Yes",""))</f>
        <v/>
      </c>
      <c r="FV15" s="97"/>
      <c r="FW15" s="97"/>
      <c r="FX15" s="412" t="str">
        <f>IF($D15="","",IF(COUNTIFS('Match Day Reports'!$C$652:$C$669,$D15)=0,"",SUMIFS('Match Day Reports'!$I$652:$I$669,'Match Day Reports'!$C$652:$C$669,$D15)))</f>
        <v/>
      </c>
      <c r="FY15" s="411" t="str">
        <f>IF($D15="","",IF($D15='Match Day Reports'!$H$649,"Yes",""))</f>
        <v/>
      </c>
      <c r="GA15" s="98">
        <f t="shared" si="0"/>
        <v>3</v>
      </c>
      <c r="GB15" s="99" cm="1">
        <f t="array" ref="GB15">IF($D15="","",SUMPRODUCT(($E$4:$CN$4="Att")*((($E$3:$CN$3&lt;&gt;"")+($E15:$CN15="Yes")+($E15:$CN15="No"))&gt;0)))</f>
        <v>3</v>
      </c>
      <c r="GC15" s="100">
        <f t="shared" si="9"/>
        <v>1</v>
      </c>
      <c r="GD15" s="35">
        <f t="shared" si="1"/>
        <v>3</v>
      </c>
      <c r="GE15" s="100">
        <f t="shared" si="10"/>
        <v>0.6</v>
      </c>
      <c r="GF15" s="99">
        <f t="array" ref="GF15">IF($D15="","",SUMPRODUCT(($CP$4:$FY$4="Att")*($CP$2:$FY$2&lt;&gt;"")*($CP15:$FY15&lt;&gt;"N-A")*($CP15:$FY15&lt;&gt;"")))</f>
        <v>0</v>
      </c>
      <c r="GG15" s="99">
        <f t="shared" si="2"/>
        <v>0</v>
      </c>
      <c r="GH15" s="100" t="str">
        <f t="shared" si="11"/>
        <v/>
      </c>
      <c r="GI15" s="99">
        <f t="shared" si="3"/>
        <v>0</v>
      </c>
      <c r="GJ15" s="35" t="str">
        <f t="shared" si="4"/>
        <v/>
      </c>
      <c r="GK15" s="35">
        <f t="shared" si="5"/>
        <v>8</v>
      </c>
      <c r="GL15" s="100">
        <f t="shared" si="12"/>
        <v>0.8</v>
      </c>
      <c r="GM15" s="99">
        <f t="shared" si="6"/>
        <v>0</v>
      </c>
      <c r="GN15" s="101">
        <f t="shared" si="7"/>
        <v>0.76666666666666661</v>
      </c>
      <c r="GO15" s="102" t="str">
        <f t="shared" si="8"/>
        <v>Hannah Fleming</v>
      </c>
      <c r="GP15" s="103"/>
      <c r="GQ15" s="103"/>
      <c r="GR15" s="103"/>
      <c r="GS15" s="104"/>
    </row>
    <row r="16" spans="2:201" x14ac:dyDescent="0.45">
      <c r="B16" s="500"/>
      <c r="C16" s="60">
        <v>12</v>
      </c>
      <c r="D16" s="105" t="s">
        <v>81</v>
      </c>
      <c r="E16" s="97" t="s">
        <v>55</v>
      </c>
      <c r="F16" s="97"/>
      <c r="G16" s="97" t="s">
        <v>55</v>
      </c>
      <c r="H16" s="97"/>
      <c r="I16" s="97" t="s">
        <v>54</v>
      </c>
      <c r="J16" s="97">
        <v>4</v>
      </c>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P16" s="97"/>
      <c r="CQ16" s="97"/>
      <c r="CR16" s="412">
        <f>IF($D16="","",IF(COUNTIFS('Match Day Reports'!$C$85:$C$102,$D16)=0,"",SUMIFS('Match Day Reports'!$I$85:$I$102,'Match Day Reports'!$C$85:$C$102,$D16)))</f>
        <v>8</v>
      </c>
      <c r="CS16" s="411" t="str">
        <f>IF($D16="","",IF($D16='Match Day Reports'!$H$82,"Yes",""))</f>
        <v/>
      </c>
      <c r="CT16" s="97"/>
      <c r="CU16" s="97"/>
      <c r="CV16" s="412" t="str">
        <f>IF($D16="","",IF(COUNTIFS('Match Day Reports'!$C$112:$C$129,$D16)=0,"",SUMIFS('Match Day Reports'!$I$112:$I$129,'Match Day Reports'!$C$112:$C$129,$D16)))</f>
        <v/>
      </c>
      <c r="CW16" s="411" t="str">
        <f>IF($D16="","",IF($D16='Match Day Reports'!$H$109,"Yes",""))</f>
        <v/>
      </c>
      <c r="CX16" s="97"/>
      <c r="CY16" s="97"/>
      <c r="CZ16" s="412" t="str">
        <f>IF($D16="","",IF(COUNTIFS('Match Day Reports'!$C$139:$C$156,$D16)=0,"",SUMIFS('Match Day Reports'!$I$139:$I$156,'Match Day Reports'!$C$139:$C$156,$D16)))</f>
        <v/>
      </c>
      <c r="DA16" s="411" t="str">
        <f>IF($D16="","",IF($D16='Match Day Reports'!$H$136,"Yes",""))</f>
        <v/>
      </c>
      <c r="DB16" s="97"/>
      <c r="DC16" s="97"/>
      <c r="DD16" s="412" t="str">
        <f>IF($D16="","",IF(COUNTIFS('Match Day Reports'!$C$166:$C$183,$D16)=0,"",SUMIFS('Match Day Reports'!$I$166:$I$183,'Match Day Reports'!$C$166:$C$183,$D16)))</f>
        <v/>
      </c>
      <c r="DE16" s="411" t="str">
        <f>IF($D16="","",IF($D16='Match Day Reports'!$H$163,"Yes",""))</f>
        <v/>
      </c>
      <c r="DF16" s="97"/>
      <c r="DG16" s="97"/>
      <c r="DH16" s="412" t="str">
        <f>IF($D16="","",IF(COUNTIFS('Match Day Reports'!$C$193:$C$210,$D16)=0,"",SUMIFS('Match Day Reports'!$I$193:$I$210,'Match Day Reports'!$C$193:$C$210,$D16)))</f>
        <v/>
      </c>
      <c r="DI16" s="411" t="str">
        <f>IF($D16="","",IF($D16='Match Day Reports'!$H$190,"Yes",""))</f>
        <v/>
      </c>
      <c r="DJ16" s="97"/>
      <c r="DK16" s="97"/>
      <c r="DL16" s="412" t="str">
        <f>IF($D16="","",IF(COUNTIFS('Match Day Reports'!$C$220:$C$237,$D16)=0,"",SUMIFS('Match Day Reports'!$I$220:$I$237,'Match Day Reports'!$C$220:$C$237,$D16)))</f>
        <v/>
      </c>
      <c r="DM16" s="411" t="str">
        <f>IF($D16="","",IF($D16='Match Day Reports'!$H$217,"Yes",""))</f>
        <v/>
      </c>
      <c r="DN16" s="97"/>
      <c r="DO16" s="97"/>
      <c r="DP16" s="412" t="str">
        <f>IF($D16="","",IF(COUNTIFS('Match Day Reports'!$C$247:$C$264,$D16)=0,"",SUMIFS('Match Day Reports'!$I$247:$I$264,'Match Day Reports'!$C$247:$C$264,$D16)))</f>
        <v/>
      </c>
      <c r="DQ16" s="411" t="str">
        <f>IF($D16="","",IF($D16='Match Day Reports'!$H$244,"Yes",""))</f>
        <v/>
      </c>
      <c r="DR16" s="97"/>
      <c r="DS16" s="97"/>
      <c r="DT16" s="412" t="str">
        <f>IF($D16="","",IF(COUNTIFS('Match Day Reports'!$C$274:$C$291,$D16)=0,"",SUMIFS('Match Day Reports'!$I$274:$I$291,'Match Day Reports'!$C$274:$C$291,$D16)))</f>
        <v/>
      </c>
      <c r="DU16" s="411" t="str">
        <f>IF($D16="","",IF($D16='Match Day Reports'!$H$271,"Yes",""))</f>
        <v/>
      </c>
      <c r="DV16" s="97"/>
      <c r="DW16" s="97"/>
      <c r="DX16" s="412" t="str">
        <f>IF($D16="","",IF(COUNTIFS('Match Day Reports'!$C$301:$C$318,$D16)=0,"",SUMIFS('Match Day Reports'!$I$301:$I$318,'Match Day Reports'!$C$301:$C$318,$D16)))</f>
        <v/>
      </c>
      <c r="DY16" s="411" t="str">
        <f>IF($D16="","",IF($D16='Match Day Reports'!$H$298,"Yes",""))</f>
        <v/>
      </c>
      <c r="DZ16" s="97"/>
      <c r="EA16" s="97"/>
      <c r="EB16" s="412" t="str">
        <f>IF($D16="","",IF(COUNTIFS('Match Day Reports'!$C$328:$C$345,$D16)=0,"",SUMIFS('Match Day Reports'!$I$328:$I$345,'Match Day Reports'!$C$328:$C$345,$D16)))</f>
        <v/>
      </c>
      <c r="EC16" s="411" t="str">
        <f>IF($D16="","",IF($D16='Match Day Reports'!$H$325,"Yes",""))</f>
        <v/>
      </c>
      <c r="ED16" s="97"/>
      <c r="EE16" s="97"/>
      <c r="EF16" s="412" t="str">
        <f>IF($D16="","",IF(COUNTIFS('Match Day Reports'!$C$355:$C$372,$D16)=0,"",SUMIFS('Match Day Reports'!$I$355:$I$372,'Match Day Reports'!$C$355:$C$372,$D16)))</f>
        <v/>
      </c>
      <c r="EG16" s="411" t="str">
        <f>IF($D16="","",IF($D16='Match Day Reports'!$H$352,"Yes",""))</f>
        <v/>
      </c>
      <c r="EH16" s="97"/>
      <c r="EI16" s="97"/>
      <c r="EJ16" s="412" t="str">
        <f>IF($D16="","",IF(COUNTIFS('Match Day Reports'!$C$382:$C$399,$D16)=0,"",SUMIFS('Match Day Reports'!$I$382:$I$399,'Match Day Reports'!$C$382:$C$399,$D16)))</f>
        <v/>
      </c>
      <c r="EK16" s="411" t="str">
        <f>IF($D16="","",IF($D16='Match Day Reports'!$H$379,"Yes",""))</f>
        <v/>
      </c>
      <c r="EL16" s="97"/>
      <c r="EM16" s="97"/>
      <c r="EN16" s="412" t="str">
        <f>IF($D16="","",IF(COUNTIFS('Match Day Reports'!$C$409:$C$426,$D16)=0,"",SUMIFS('Match Day Reports'!$I$409:$I$426,'Match Day Reports'!$C$409:$C$426,$D16)))</f>
        <v/>
      </c>
      <c r="EO16" s="411" t="str">
        <f>IF($D16="","",IF($D16='Match Day Reports'!$H$406,"Yes",""))</f>
        <v/>
      </c>
      <c r="EP16" s="97"/>
      <c r="EQ16" s="97"/>
      <c r="ER16" s="412" t="str">
        <f>IF($D16="","",IF(COUNTIFS('Match Day Reports'!$C$436:$C$453,$D16)=0,"",SUMIFS('Match Day Reports'!$I$436:$I$453,'Match Day Reports'!$C$436:$C$453,$D16)))</f>
        <v/>
      </c>
      <c r="ES16" s="411" t="str">
        <f>IF($D16="","",IF($D16='Match Day Reports'!$H$433,"Yes",""))</f>
        <v/>
      </c>
      <c r="ET16" s="97"/>
      <c r="EU16" s="97"/>
      <c r="EV16" s="412" t="str">
        <f>IF($D16="","",IF(COUNTIFS('Match Day Reports'!$C$463:$C$480,$D16)=0,"",SUMIFS('Match Day Reports'!$I$463:$I$480,'Match Day Reports'!$C$463:$C$480,$D16)))</f>
        <v/>
      </c>
      <c r="EW16" s="411" t="str">
        <f>IF($D16="","",IF($D16='Match Day Reports'!$H$460,"Yes",""))</f>
        <v/>
      </c>
      <c r="EX16" s="97"/>
      <c r="EY16" s="97"/>
      <c r="EZ16" s="412" t="str">
        <f>IF($D16="","",IF(COUNTIFS('Match Day Reports'!$C$490:$C$507,$D16)=0,"",SUMIFS('Match Day Reports'!$I$490:$I$507,'Match Day Reports'!$C$490:$C$507,$D16)))</f>
        <v/>
      </c>
      <c r="FA16" s="411" t="str">
        <f>IF($D16="","",IF($D16='Match Day Reports'!$H$487,"Yes",""))</f>
        <v/>
      </c>
      <c r="FB16" s="97"/>
      <c r="FC16" s="97"/>
      <c r="FD16" s="412" t="str">
        <f>IF($D16="","",IF(COUNTIFS('Match Day Reports'!$C$517:$C$534,$D16)=0,"",SUMIFS('Match Day Reports'!$I$517:$I$534,'Match Day Reports'!$C$517:$C$534,$D16)))</f>
        <v/>
      </c>
      <c r="FE16" s="411" t="str">
        <f>IF($D16="","",IF($D16='Match Day Reports'!$H$514,"Yes",""))</f>
        <v/>
      </c>
      <c r="FF16" s="97"/>
      <c r="FG16" s="97"/>
      <c r="FH16" s="412" t="str">
        <f>IF($D16="","",IF(COUNTIFS('Match Day Reports'!$C$544:$C$561,$D16)=0,"",SUMIFS('Match Day Reports'!$I$544:$I$561,'Match Day Reports'!$C$544:$C$561,$D16)))</f>
        <v/>
      </c>
      <c r="FI16" s="411" t="str">
        <f>IF($D16="","",IF($D16='Match Day Reports'!$H$541,"Yes",""))</f>
        <v/>
      </c>
      <c r="FJ16" s="97"/>
      <c r="FK16" s="97"/>
      <c r="FL16" s="412" t="str">
        <f>IF($D16="","",IF(COUNTIFS('Match Day Reports'!$C$571:$C$588,$D16)=0,"",SUMIFS('Match Day Reports'!$I$571:$I$588,'Match Day Reports'!$C$571:$C$588,$D16)))</f>
        <v/>
      </c>
      <c r="FM16" s="411" t="str">
        <f>IF($D16="","",IF($D16='Match Day Reports'!$H$568,"Yes",""))</f>
        <v/>
      </c>
      <c r="FN16" s="97"/>
      <c r="FO16" s="97"/>
      <c r="FP16" s="412" t="str">
        <f>IF($D16="","",IF(COUNTIFS('Match Day Reports'!$C$598:$C$615,$D16)=0,"",SUMIFS('Match Day Reports'!$I$598:$I$615,'Match Day Reports'!$C$598:$C$615,$D16)))</f>
        <v/>
      </c>
      <c r="FQ16" s="411" t="str">
        <f>IF($D16="","",IF($D16='Match Day Reports'!$H$595,"Yes",""))</f>
        <v/>
      </c>
      <c r="FR16" s="97"/>
      <c r="FS16" s="97"/>
      <c r="FT16" s="412" t="str">
        <f>IF($D16="","",IF(COUNTIFS('Match Day Reports'!$C$625:$C$642,$D16)=0,"",SUMIFS('Match Day Reports'!$I$625:$I$642,'Match Day Reports'!$C$625:$C$642,$D16)))</f>
        <v/>
      </c>
      <c r="FU16" s="411" t="str">
        <f>IF($D16="","",IF($D16='Match Day Reports'!$H$622,"Yes",""))</f>
        <v/>
      </c>
      <c r="FV16" s="97"/>
      <c r="FW16" s="97"/>
      <c r="FX16" s="412" t="str">
        <f>IF($D16="","",IF(COUNTIFS('Match Day Reports'!$C$652:$C$669,$D16)=0,"",SUMIFS('Match Day Reports'!$I$652:$I$669,'Match Day Reports'!$C$652:$C$669,$D16)))</f>
        <v/>
      </c>
      <c r="FY16" s="411" t="str">
        <f>IF($D16="","",IF($D16='Match Day Reports'!$H$649,"Yes",""))</f>
        <v/>
      </c>
      <c r="GA16" s="106">
        <f t="shared" si="0"/>
        <v>1</v>
      </c>
      <c r="GB16" s="107" cm="1">
        <f t="array" ref="GB16">IF($D16="","",SUMPRODUCT(($E$4:$CN$4="Att")*((($E$3:$CN$3&lt;&gt;"")+($E16:$CN16="Yes")+($E16:$CN16="No"))&gt;0)))</f>
        <v>3</v>
      </c>
      <c r="GC16" s="108">
        <f t="shared" si="9"/>
        <v>0.33333333333333331</v>
      </c>
      <c r="GD16" s="109">
        <f t="shared" si="1"/>
        <v>4</v>
      </c>
      <c r="GE16" s="108">
        <f t="shared" si="10"/>
        <v>0.8</v>
      </c>
      <c r="GF16" s="107">
        <f t="array" ref="GF16">IF($D16="","",SUMPRODUCT(($CP$4:$FY$4="Att")*($CP$2:$FY$2&lt;&gt;"")*($CP16:$FY16&lt;&gt;"N-A")*($CP16:$FY16&lt;&gt;"")))</f>
        <v>0</v>
      </c>
      <c r="GG16" s="107">
        <f t="shared" si="2"/>
        <v>0</v>
      </c>
      <c r="GH16" s="108" t="str">
        <f t="shared" si="11"/>
        <v/>
      </c>
      <c r="GI16" s="107">
        <f t="shared" si="3"/>
        <v>0</v>
      </c>
      <c r="GJ16" s="109" t="str">
        <f t="shared" si="4"/>
        <v/>
      </c>
      <c r="GK16" s="109">
        <f t="shared" si="5"/>
        <v>8</v>
      </c>
      <c r="GL16" s="108">
        <f t="shared" si="12"/>
        <v>0.8</v>
      </c>
      <c r="GM16" s="107">
        <f t="shared" si="6"/>
        <v>0</v>
      </c>
      <c r="GN16" s="110">
        <f t="shared" si="7"/>
        <v>0.60555555555555551</v>
      </c>
      <c r="GO16" s="111" t="str">
        <f t="shared" si="8"/>
        <v>Emma Kelly</v>
      </c>
      <c r="GP16" s="103"/>
      <c r="GQ16" s="103"/>
      <c r="GR16" s="103"/>
      <c r="GS16" s="104"/>
    </row>
    <row r="17" spans="2:201" x14ac:dyDescent="0.45">
      <c r="B17" s="500"/>
      <c r="C17" s="60">
        <v>13</v>
      </c>
      <c r="D17" s="105" t="s">
        <v>84</v>
      </c>
      <c r="E17" s="97" t="s">
        <v>54</v>
      </c>
      <c r="F17" s="97">
        <v>3</v>
      </c>
      <c r="G17" s="97" t="s">
        <v>55</v>
      </c>
      <c r="H17" s="97"/>
      <c r="I17" s="97" t="s">
        <v>54</v>
      </c>
      <c r="J17" s="97">
        <v>3</v>
      </c>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P17" s="97"/>
      <c r="CQ17" s="97"/>
      <c r="CR17" s="412">
        <f>IF($D17="","",IF(COUNTIFS('Match Day Reports'!$C$85:$C$102,$D17)=0,"",SUMIFS('Match Day Reports'!$I$85:$I$102,'Match Day Reports'!$C$85:$C$102,$D17)))</f>
        <v>6.5</v>
      </c>
      <c r="CS17" s="411" t="str">
        <f>IF($D17="","",IF($D17='Match Day Reports'!$H$82,"Yes",""))</f>
        <v/>
      </c>
      <c r="CT17" s="97"/>
      <c r="CU17" s="97"/>
      <c r="CV17" s="412" t="str">
        <f>IF($D17="","",IF(COUNTIFS('Match Day Reports'!$C$112:$C$129,$D17)=0,"",SUMIFS('Match Day Reports'!$I$112:$I$129,'Match Day Reports'!$C$112:$C$129,$D17)))</f>
        <v/>
      </c>
      <c r="CW17" s="411" t="str">
        <f>IF($D17="","",IF($D17='Match Day Reports'!$H$109,"Yes",""))</f>
        <v/>
      </c>
      <c r="CX17" s="97"/>
      <c r="CY17" s="97"/>
      <c r="CZ17" s="412" t="str">
        <f>IF($D17="","",IF(COUNTIFS('Match Day Reports'!$C$139:$C$156,$D17)=0,"",SUMIFS('Match Day Reports'!$I$139:$I$156,'Match Day Reports'!$C$139:$C$156,$D17)))</f>
        <v/>
      </c>
      <c r="DA17" s="411" t="str">
        <f>IF($D17="","",IF($D17='Match Day Reports'!$H$136,"Yes",""))</f>
        <v/>
      </c>
      <c r="DB17" s="97"/>
      <c r="DC17" s="97"/>
      <c r="DD17" s="412" t="str">
        <f>IF($D17="","",IF(COUNTIFS('Match Day Reports'!$C$166:$C$183,$D17)=0,"",SUMIFS('Match Day Reports'!$I$166:$I$183,'Match Day Reports'!$C$166:$C$183,$D17)))</f>
        <v/>
      </c>
      <c r="DE17" s="411" t="str">
        <f>IF($D17="","",IF($D17='Match Day Reports'!$H$163,"Yes",""))</f>
        <v/>
      </c>
      <c r="DF17" s="97"/>
      <c r="DG17" s="97"/>
      <c r="DH17" s="412" t="str">
        <f>IF($D17="","",IF(COUNTIFS('Match Day Reports'!$C$193:$C$210,$D17)=0,"",SUMIFS('Match Day Reports'!$I$193:$I$210,'Match Day Reports'!$C$193:$C$210,$D17)))</f>
        <v/>
      </c>
      <c r="DI17" s="411" t="str">
        <f>IF($D17="","",IF($D17='Match Day Reports'!$H$190,"Yes",""))</f>
        <v/>
      </c>
      <c r="DJ17" s="97"/>
      <c r="DK17" s="97"/>
      <c r="DL17" s="412" t="str">
        <f>IF($D17="","",IF(COUNTIFS('Match Day Reports'!$C$220:$C$237,$D17)=0,"",SUMIFS('Match Day Reports'!$I$220:$I$237,'Match Day Reports'!$C$220:$C$237,$D17)))</f>
        <v/>
      </c>
      <c r="DM17" s="411" t="str">
        <f>IF($D17="","",IF($D17='Match Day Reports'!$H$217,"Yes",""))</f>
        <v/>
      </c>
      <c r="DN17" s="97"/>
      <c r="DO17" s="97"/>
      <c r="DP17" s="412" t="str">
        <f>IF($D17="","",IF(COUNTIFS('Match Day Reports'!$C$247:$C$264,$D17)=0,"",SUMIFS('Match Day Reports'!$I$247:$I$264,'Match Day Reports'!$C$247:$C$264,$D17)))</f>
        <v/>
      </c>
      <c r="DQ17" s="411" t="str">
        <f>IF($D17="","",IF($D17='Match Day Reports'!$H$244,"Yes",""))</f>
        <v/>
      </c>
      <c r="DR17" s="97"/>
      <c r="DS17" s="97"/>
      <c r="DT17" s="412" t="str">
        <f>IF($D17="","",IF(COUNTIFS('Match Day Reports'!$C$274:$C$291,$D17)=0,"",SUMIFS('Match Day Reports'!$I$274:$I$291,'Match Day Reports'!$C$274:$C$291,$D17)))</f>
        <v/>
      </c>
      <c r="DU17" s="411" t="str">
        <f>IF($D17="","",IF($D17='Match Day Reports'!$H$271,"Yes",""))</f>
        <v/>
      </c>
      <c r="DV17" s="97"/>
      <c r="DW17" s="97"/>
      <c r="DX17" s="412" t="str">
        <f>IF($D17="","",IF(COUNTIFS('Match Day Reports'!$C$301:$C$318,$D17)=0,"",SUMIFS('Match Day Reports'!$I$301:$I$318,'Match Day Reports'!$C$301:$C$318,$D17)))</f>
        <v/>
      </c>
      <c r="DY17" s="411" t="str">
        <f>IF($D17="","",IF($D17='Match Day Reports'!$H$298,"Yes",""))</f>
        <v/>
      </c>
      <c r="DZ17" s="97"/>
      <c r="EA17" s="97"/>
      <c r="EB17" s="412" t="str">
        <f>IF($D17="","",IF(COUNTIFS('Match Day Reports'!$C$328:$C$345,$D17)=0,"",SUMIFS('Match Day Reports'!$I$328:$I$345,'Match Day Reports'!$C$328:$C$345,$D17)))</f>
        <v/>
      </c>
      <c r="EC17" s="411" t="str">
        <f>IF($D17="","",IF($D17='Match Day Reports'!$H$325,"Yes",""))</f>
        <v/>
      </c>
      <c r="ED17" s="97"/>
      <c r="EE17" s="97"/>
      <c r="EF17" s="412" t="str">
        <f>IF($D17="","",IF(COUNTIFS('Match Day Reports'!$C$355:$C$372,$D17)=0,"",SUMIFS('Match Day Reports'!$I$355:$I$372,'Match Day Reports'!$C$355:$C$372,$D17)))</f>
        <v/>
      </c>
      <c r="EG17" s="411" t="str">
        <f>IF($D17="","",IF($D17='Match Day Reports'!$H$352,"Yes",""))</f>
        <v/>
      </c>
      <c r="EH17" s="97"/>
      <c r="EI17" s="97"/>
      <c r="EJ17" s="412" t="str">
        <f>IF($D17="","",IF(COUNTIFS('Match Day Reports'!$C$382:$C$399,$D17)=0,"",SUMIFS('Match Day Reports'!$I$382:$I$399,'Match Day Reports'!$C$382:$C$399,$D17)))</f>
        <v/>
      </c>
      <c r="EK17" s="411" t="str">
        <f>IF($D17="","",IF($D17='Match Day Reports'!$H$379,"Yes",""))</f>
        <v/>
      </c>
      <c r="EL17" s="97"/>
      <c r="EM17" s="97"/>
      <c r="EN17" s="412" t="str">
        <f>IF($D17="","",IF(COUNTIFS('Match Day Reports'!$C$409:$C$426,$D17)=0,"",SUMIFS('Match Day Reports'!$I$409:$I$426,'Match Day Reports'!$C$409:$C$426,$D17)))</f>
        <v/>
      </c>
      <c r="EO17" s="411" t="str">
        <f>IF($D17="","",IF($D17='Match Day Reports'!$H$406,"Yes",""))</f>
        <v/>
      </c>
      <c r="EP17" s="97"/>
      <c r="EQ17" s="97"/>
      <c r="ER17" s="412" t="str">
        <f>IF($D17="","",IF(COUNTIFS('Match Day Reports'!$C$436:$C$453,$D17)=0,"",SUMIFS('Match Day Reports'!$I$436:$I$453,'Match Day Reports'!$C$436:$C$453,$D17)))</f>
        <v/>
      </c>
      <c r="ES17" s="411" t="str">
        <f>IF($D17="","",IF($D17='Match Day Reports'!$H$433,"Yes",""))</f>
        <v/>
      </c>
      <c r="ET17" s="97"/>
      <c r="EU17" s="97"/>
      <c r="EV17" s="412" t="str">
        <f>IF($D17="","",IF(COUNTIFS('Match Day Reports'!$C$463:$C$480,$D17)=0,"",SUMIFS('Match Day Reports'!$I$463:$I$480,'Match Day Reports'!$C$463:$C$480,$D17)))</f>
        <v/>
      </c>
      <c r="EW17" s="411" t="str">
        <f>IF($D17="","",IF($D17='Match Day Reports'!$H$460,"Yes",""))</f>
        <v/>
      </c>
      <c r="EX17" s="97"/>
      <c r="EY17" s="97"/>
      <c r="EZ17" s="412" t="str">
        <f>IF($D17="","",IF(COUNTIFS('Match Day Reports'!$C$490:$C$507,$D17)=0,"",SUMIFS('Match Day Reports'!$I$490:$I$507,'Match Day Reports'!$C$490:$C$507,$D17)))</f>
        <v/>
      </c>
      <c r="FA17" s="411" t="str">
        <f>IF($D17="","",IF($D17='Match Day Reports'!$H$487,"Yes",""))</f>
        <v/>
      </c>
      <c r="FB17" s="97"/>
      <c r="FC17" s="97"/>
      <c r="FD17" s="412" t="str">
        <f>IF($D17="","",IF(COUNTIFS('Match Day Reports'!$C$517:$C$534,$D17)=0,"",SUMIFS('Match Day Reports'!$I$517:$I$534,'Match Day Reports'!$C$517:$C$534,$D17)))</f>
        <v/>
      </c>
      <c r="FE17" s="411" t="str">
        <f>IF($D17="","",IF($D17='Match Day Reports'!$H$514,"Yes",""))</f>
        <v/>
      </c>
      <c r="FF17" s="97"/>
      <c r="FG17" s="97"/>
      <c r="FH17" s="412" t="str">
        <f>IF($D17="","",IF(COUNTIFS('Match Day Reports'!$C$544:$C$561,$D17)=0,"",SUMIFS('Match Day Reports'!$I$544:$I$561,'Match Day Reports'!$C$544:$C$561,$D17)))</f>
        <v/>
      </c>
      <c r="FI17" s="411" t="str">
        <f>IF($D17="","",IF($D17='Match Day Reports'!$H$541,"Yes",""))</f>
        <v/>
      </c>
      <c r="FJ17" s="97"/>
      <c r="FK17" s="97"/>
      <c r="FL17" s="412" t="str">
        <f>IF($D17="","",IF(COUNTIFS('Match Day Reports'!$C$571:$C$588,$D17)=0,"",SUMIFS('Match Day Reports'!$I$571:$I$588,'Match Day Reports'!$C$571:$C$588,$D17)))</f>
        <v/>
      </c>
      <c r="FM17" s="411" t="str">
        <f>IF($D17="","",IF($D17='Match Day Reports'!$H$568,"Yes",""))</f>
        <v/>
      </c>
      <c r="FN17" s="97"/>
      <c r="FO17" s="97"/>
      <c r="FP17" s="412" t="str">
        <f>IF($D17="","",IF(COUNTIFS('Match Day Reports'!$C$598:$C$615,$D17)=0,"",SUMIFS('Match Day Reports'!$I$598:$I$615,'Match Day Reports'!$C$598:$C$615,$D17)))</f>
        <v/>
      </c>
      <c r="FQ17" s="411" t="str">
        <f>IF($D17="","",IF($D17='Match Day Reports'!$H$595,"Yes",""))</f>
        <v/>
      </c>
      <c r="FR17" s="97"/>
      <c r="FS17" s="97"/>
      <c r="FT17" s="412" t="str">
        <f>IF($D17="","",IF(COUNTIFS('Match Day Reports'!$C$625:$C$642,$D17)=0,"",SUMIFS('Match Day Reports'!$I$625:$I$642,'Match Day Reports'!$C$625:$C$642,$D17)))</f>
        <v/>
      </c>
      <c r="FU17" s="411" t="str">
        <f>IF($D17="","",IF($D17='Match Day Reports'!$H$622,"Yes",""))</f>
        <v/>
      </c>
      <c r="FV17" s="97"/>
      <c r="FW17" s="97"/>
      <c r="FX17" s="412" t="str">
        <f>IF($D17="","",IF(COUNTIFS('Match Day Reports'!$C$652:$C$669,$D17)=0,"",SUMIFS('Match Day Reports'!$I$652:$I$669,'Match Day Reports'!$C$652:$C$669,$D17)))</f>
        <v/>
      </c>
      <c r="FY17" s="411" t="str">
        <f>IF($D17="","",IF($D17='Match Day Reports'!$H$649,"Yes",""))</f>
        <v/>
      </c>
      <c r="GA17" s="98">
        <f t="shared" si="0"/>
        <v>2</v>
      </c>
      <c r="GB17" s="99" cm="1">
        <f t="array" ref="GB17">IF($D17="","",SUMPRODUCT(($E$4:$CN$4="Att")*((($E$3:$CN$3&lt;&gt;"")+($E17:$CN17="Yes")+($E17:$CN17="No"))&gt;0)))</f>
        <v>3</v>
      </c>
      <c r="GC17" s="100">
        <f t="shared" si="9"/>
        <v>0.66666666666666663</v>
      </c>
      <c r="GD17" s="35">
        <f t="shared" si="1"/>
        <v>3</v>
      </c>
      <c r="GE17" s="100">
        <f t="shared" si="10"/>
        <v>0.6</v>
      </c>
      <c r="GF17" s="99">
        <f t="array" ref="GF17">IF($D17="","",SUMPRODUCT(($CP$4:$FY$4="Att")*($CP$2:$FY$2&lt;&gt;"")*($CP17:$FY17&lt;&gt;"N-A")*($CP17:$FY17&lt;&gt;"")))</f>
        <v>0</v>
      </c>
      <c r="GG17" s="99">
        <f t="shared" si="2"/>
        <v>0</v>
      </c>
      <c r="GH17" s="100" t="str">
        <f t="shared" si="11"/>
        <v/>
      </c>
      <c r="GI17" s="99">
        <f t="shared" si="3"/>
        <v>0</v>
      </c>
      <c r="GJ17" s="35" t="str">
        <f t="shared" si="4"/>
        <v/>
      </c>
      <c r="GK17" s="35">
        <f t="shared" si="5"/>
        <v>6.5</v>
      </c>
      <c r="GL17" s="100">
        <f t="shared" si="12"/>
        <v>0.65</v>
      </c>
      <c r="GM17" s="99">
        <f t="shared" si="6"/>
        <v>0</v>
      </c>
      <c r="GN17" s="101">
        <f t="shared" si="7"/>
        <v>0.62777777777777777</v>
      </c>
      <c r="GO17" s="102" t="str">
        <f t="shared" si="8"/>
        <v>Roma Memon</v>
      </c>
      <c r="GP17" s="103"/>
      <c r="GQ17" s="103"/>
      <c r="GR17" s="103"/>
      <c r="GS17" s="104"/>
    </row>
    <row r="18" spans="2:201" x14ac:dyDescent="0.45">
      <c r="B18" s="500"/>
      <c r="C18" s="60">
        <v>14</v>
      </c>
      <c r="D18" s="105" t="s">
        <v>87</v>
      </c>
      <c r="E18" s="97" t="s">
        <v>54</v>
      </c>
      <c r="F18" s="97">
        <v>3</v>
      </c>
      <c r="G18" s="97" t="s">
        <v>54</v>
      </c>
      <c r="H18" s="97">
        <v>3</v>
      </c>
      <c r="I18" s="97" t="s">
        <v>54</v>
      </c>
      <c r="J18" s="97">
        <v>3</v>
      </c>
      <c r="K18" s="97"/>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P18" s="97"/>
      <c r="CQ18" s="97"/>
      <c r="CR18" s="412">
        <f>IF($D18="","",IF(COUNTIFS('Match Day Reports'!$C$85:$C$102,$D18)=0,"",SUMIFS('Match Day Reports'!$I$85:$I$102,'Match Day Reports'!$C$85:$C$102,$D18)))</f>
        <v>6.5</v>
      </c>
      <c r="CS18" s="411" t="str">
        <f>IF($D18="","",IF($D18='Match Day Reports'!$H$82,"Yes",""))</f>
        <v/>
      </c>
      <c r="CT18" s="97"/>
      <c r="CU18" s="97"/>
      <c r="CV18" s="412" t="str">
        <f>IF($D18="","",IF(COUNTIFS('Match Day Reports'!$C$112:$C$129,$D18)=0,"",SUMIFS('Match Day Reports'!$I$112:$I$129,'Match Day Reports'!$C$112:$C$129,$D18)))</f>
        <v/>
      </c>
      <c r="CW18" s="411" t="str">
        <f>IF($D18="","",IF($D18='Match Day Reports'!$H$109,"Yes",""))</f>
        <v/>
      </c>
      <c r="CX18" s="97"/>
      <c r="CY18" s="97"/>
      <c r="CZ18" s="412" t="str">
        <f>IF($D18="","",IF(COUNTIFS('Match Day Reports'!$C$139:$C$156,$D18)=0,"",SUMIFS('Match Day Reports'!$I$139:$I$156,'Match Day Reports'!$C$139:$C$156,$D18)))</f>
        <v/>
      </c>
      <c r="DA18" s="411" t="str">
        <f>IF($D18="","",IF($D18='Match Day Reports'!$H$136,"Yes",""))</f>
        <v/>
      </c>
      <c r="DB18" s="97"/>
      <c r="DC18" s="97"/>
      <c r="DD18" s="412" t="str">
        <f>IF($D18="","",IF(COUNTIFS('Match Day Reports'!$C$166:$C$183,$D18)=0,"",SUMIFS('Match Day Reports'!$I$166:$I$183,'Match Day Reports'!$C$166:$C$183,$D18)))</f>
        <v/>
      </c>
      <c r="DE18" s="411" t="str">
        <f>IF($D18="","",IF($D18='Match Day Reports'!$H$163,"Yes",""))</f>
        <v/>
      </c>
      <c r="DF18" s="97"/>
      <c r="DG18" s="97"/>
      <c r="DH18" s="412" t="str">
        <f>IF($D18="","",IF(COUNTIFS('Match Day Reports'!$C$193:$C$210,$D18)=0,"",SUMIFS('Match Day Reports'!$I$193:$I$210,'Match Day Reports'!$C$193:$C$210,$D18)))</f>
        <v/>
      </c>
      <c r="DI18" s="411" t="str">
        <f>IF($D18="","",IF($D18='Match Day Reports'!$H$190,"Yes",""))</f>
        <v/>
      </c>
      <c r="DJ18" s="97"/>
      <c r="DK18" s="97"/>
      <c r="DL18" s="412" t="str">
        <f>IF($D18="","",IF(COUNTIFS('Match Day Reports'!$C$220:$C$237,$D18)=0,"",SUMIFS('Match Day Reports'!$I$220:$I$237,'Match Day Reports'!$C$220:$C$237,$D18)))</f>
        <v/>
      </c>
      <c r="DM18" s="411" t="str">
        <f>IF($D18="","",IF($D18='Match Day Reports'!$H$217,"Yes",""))</f>
        <v/>
      </c>
      <c r="DN18" s="97"/>
      <c r="DO18" s="97"/>
      <c r="DP18" s="412" t="str">
        <f>IF($D18="","",IF(COUNTIFS('Match Day Reports'!$C$247:$C$264,$D18)=0,"",SUMIFS('Match Day Reports'!$I$247:$I$264,'Match Day Reports'!$C$247:$C$264,$D18)))</f>
        <v/>
      </c>
      <c r="DQ18" s="411" t="str">
        <f>IF($D18="","",IF($D18='Match Day Reports'!$H$244,"Yes",""))</f>
        <v/>
      </c>
      <c r="DR18" s="97"/>
      <c r="DS18" s="97"/>
      <c r="DT18" s="412" t="str">
        <f>IF($D18="","",IF(COUNTIFS('Match Day Reports'!$C$274:$C$291,$D18)=0,"",SUMIFS('Match Day Reports'!$I$274:$I$291,'Match Day Reports'!$C$274:$C$291,$D18)))</f>
        <v/>
      </c>
      <c r="DU18" s="411" t="str">
        <f>IF($D18="","",IF($D18='Match Day Reports'!$H$271,"Yes",""))</f>
        <v/>
      </c>
      <c r="DV18" s="97"/>
      <c r="DW18" s="97"/>
      <c r="DX18" s="412" t="str">
        <f>IF($D18="","",IF(COUNTIFS('Match Day Reports'!$C$301:$C$318,$D18)=0,"",SUMIFS('Match Day Reports'!$I$301:$I$318,'Match Day Reports'!$C$301:$C$318,$D18)))</f>
        <v/>
      </c>
      <c r="DY18" s="411" t="str">
        <f>IF($D18="","",IF($D18='Match Day Reports'!$H$298,"Yes",""))</f>
        <v/>
      </c>
      <c r="DZ18" s="97"/>
      <c r="EA18" s="97"/>
      <c r="EB18" s="412" t="str">
        <f>IF($D18="","",IF(COUNTIFS('Match Day Reports'!$C$328:$C$345,$D18)=0,"",SUMIFS('Match Day Reports'!$I$328:$I$345,'Match Day Reports'!$C$328:$C$345,$D18)))</f>
        <v/>
      </c>
      <c r="EC18" s="411" t="str">
        <f>IF($D18="","",IF($D18='Match Day Reports'!$H$325,"Yes",""))</f>
        <v/>
      </c>
      <c r="ED18" s="97"/>
      <c r="EE18" s="97"/>
      <c r="EF18" s="412" t="str">
        <f>IF($D18="","",IF(COUNTIFS('Match Day Reports'!$C$355:$C$372,$D18)=0,"",SUMIFS('Match Day Reports'!$I$355:$I$372,'Match Day Reports'!$C$355:$C$372,$D18)))</f>
        <v/>
      </c>
      <c r="EG18" s="411" t="str">
        <f>IF($D18="","",IF($D18='Match Day Reports'!$H$352,"Yes",""))</f>
        <v/>
      </c>
      <c r="EH18" s="97"/>
      <c r="EI18" s="97"/>
      <c r="EJ18" s="412" t="str">
        <f>IF($D18="","",IF(COUNTIFS('Match Day Reports'!$C$382:$C$399,$D18)=0,"",SUMIFS('Match Day Reports'!$I$382:$I$399,'Match Day Reports'!$C$382:$C$399,$D18)))</f>
        <v/>
      </c>
      <c r="EK18" s="411" t="str">
        <f>IF($D18="","",IF($D18='Match Day Reports'!$H$379,"Yes",""))</f>
        <v/>
      </c>
      <c r="EL18" s="97"/>
      <c r="EM18" s="97"/>
      <c r="EN18" s="412" t="str">
        <f>IF($D18="","",IF(COUNTIFS('Match Day Reports'!$C$409:$C$426,$D18)=0,"",SUMIFS('Match Day Reports'!$I$409:$I$426,'Match Day Reports'!$C$409:$C$426,$D18)))</f>
        <v/>
      </c>
      <c r="EO18" s="411" t="str">
        <f>IF($D18="","",IF($D18='Match Day Reports'!$H$406,"Yes",""))</f>
        <v/>
      </c>
      <c r="EP18" s="97"/>
      <c r="EQ18" s="97"/>
      <c r="ER18" s="412" t="str">
        <f>IF($D18="","",IF(COUNTIFS('Match Day Reports'!$C$436:$C$453,$D18)=0,"",SUMIFS('Match Day Reports'!$I$436:$I$453,'Match Day Reports'!$C$436:$C$453,$D18)))</f>
        <v/>
      </c>
      <c r="ES18" s="411" t="str">
        <f>IF($D18="","",IF($D18='Match Day Reports'!$H$433,"Yes",""))</f>
        <v/>
      </c>
      <c r="ET18" s="97"/>
      <c r="EU18" s="97"/>
      <c r="EV18" s="412" t="str">
        <f>IF($D18="","",IF(COUNTIFS('Match Day Reports'!$C$463:$C$480,$D18)=0,"",SUMIFS('Match Day Reports'!$I$463:$I$480,'Match Day Reports'!$C$463:$C$480,$D18)))</f>
        <v/>
      </c>
      <c r="EW18" s="411" t="str">
        <f>IF($D18="","",IF($D18='Match Day Reports'!$H$460,"Yes",""))</f>
        <v/>
      </c>
      <c r="EX18" s="97"/>
      <c r="EY18" s="97"/>
      <c r="EZ18" s="412" t="str">
        <f>IF($D18="","",IF(COUNTIFS('Match Day Reports'!$C$490:$C$507,$D18)=0,"",SUMIFS('Match Day Reports'!$I$490:$I$507,'Match Day Reports'!$C$490:$C$507,$D18)))</f>
        <v/>
      </c>
      <c r="FA18" s="411" t="str">
        <f>IF($D18="","",IF($D18='Match Day Reports'!$H$487,"Yes",""))</f>
        <v/>
      </c>
      <c r="FB18" s="97"/>
      <c r="FC18" s="97"/>
      <c r="FD18" s="412" t="str">
        <f>IF($D18="","",IF(COUNTIFS('Match Day Reports'!$C$517:$C$534,$D18)=0,"",SUMIFS('Match Day Reports'!$I$517:$I$534,'Match Day Reports'!$C$517:$C$534,$D18)))</f>
        <v/>
      </c>
      <c r="FE18" s="411" t="str">
        <f>IF($D18="","",IF($D18='Match Day Reports'!$H$514,"Yes",""))</f>
        <v/>
      </c>
      <c r="FF18" s="97"/>
      <c r="FG18" s="97"/>
      <c r="FH18" s="412" t="str">
        <f>IF($D18="","",IF(COUNTIFS('Match Day Reports'!$C$544:$C$561,$D18)=0,"",SUMIFS('Match Day Reports'!$I$544:$I$561,'Match Day Reports'!$C$544:$C$561,$D18)))</f>
        <v/>
      </c>
      <c r="FI18" s="411" t="str">
        <f>IF($D18="","",IF($D18='Match Day Reports'!$H$541,"Yes",""))</f>
        <v/>
      </c>
      <c r="FJ18" s="97"/>
      <c r="FK18" s="97"/>
      <c r="FL18" s="412" t="str">
        <f>IF($D18="","",IF(COUNTIFS('Match Day Reports'!$C$571:$C$588,$D18)=0,"",SUMIFS('Match Day Reports'!$I$571:$I$588,'Match Day Reports'!$C$571:$C$588,$D18)))</f>
        <v/>
      </c>
      <c r="FM18" s="411" t="str">
        <f>IF($D18="","",IF($D18='Match Day Reports'!$H$568,"Yes",""))</f>
        <v/>
      </c>
      <c r="FN18" s="97"/>
      <c r="FO18" s="97"/>
      <c r="FP18" s="412" t="str">
        <f>IF($D18="","",IF(COUNTIFS('Match Day Reports'!$C$598:$C$615,$D18)=0,"",SUMIFS('Match Day Reports'!$I$598:$I$615,'Match Day Reports'!$C$598:$C$615,$D18)))</f>
        <v/>
      </c>
      <c r="FQ18" s="411" t="str">
        <f>IF($D18="","",IF($D18='Match Day Reports'!$H$595,"Yes",""))</f>
        <v/>
      </c>
      <c r="FR18" s="97"/>
      <c r="FS18" s="97"/>
      <c r="FT18" s="412" t="str">
        <f>IF($D18="","",IF(COUNTIFS('Match Day Reports'!$C$625:$C$642,$D18)=0,"",SUMIFS('Match Day Reports'!$I$625:$I$642,'Match Day Reports'!$C$625:$C$642,$D18)))</f>
        <v/>
      </c>
      <c r="FU18" s="411" t="str">
        <f>IF($D18="","",IF($D18='Match Day Reports'!$H$622,"Yes",""))</f>
        <v/>
      </c>
      <c r="FV18" s="97"/>
      <c r="FW18" s="97"/>
      <c r="FX18" s="412" t="str">
        <f>IF($D18="","",IF(COUNTIFS('Match Day Reports'!$C$652:$C$669,$D18)=0,"",SUMIFS('Match Day Reports'!$I$652:$I$669,'Match Day Reports'!$C$652:$C$669,$D18)))</f>
        <v/>
      </c>
      <c r="FY18" s="411" t="str">
        <f>IF($D18="","",IF($D18='Match Day Reports'!$H$649,"Yes",""))</f>
        <v/>
      </c>
      <c r="GA18" s="106">
        <f t="shared" si="0"/>
        <v>3</v>
      </c>
      <c r="GB18" s="107" cm="1">
        <f t="array" ref="GB18">IF($D18="","",SUMPRODUCT(($E$4:$CN$4="Att")*((($E$3:$CN$3&lt;&gt;"")+($E18:$CN18="Yes")+($E18:$CN18="No"))&gt;0)))</f>
        <v>3</v>
      </c>
      <c r="GC18" s="108">
        <f t="shared" si="9"/>
        <v>1</v>
      </c>
      <c r="GD18" s="109">
        <f t="shared" si="1"/>
        <v>3</v>
      </c>
      <c r="GE18" s="108">
        <f t="shared" si="10"/>
        <v>0.6</v>
      </c>
      <c r="GF18" s="107">
        <f t="array" ref="GF18">IF($D18="","",SUMPRODUCT(($CP$4:$FY$4="Att")*($CP$2:$FY$2&lt;&gt;"")*($CP18:$FY18&lt;&gt;"N-A")*($CP18:$FY18&lt;&gt;"")))</f>
        <v>0</v>
      </c>
      <c r="GG18" s="107">
        <f t="shared" si="2"/>
        <v>0</v>
      </c>
      <c r="GH18" s="108" t="str">
        <f t="shared" si="11"/>
        <v/>
      </c>
      <c r="GI18" s="107">
        <f t="shared" si="3"/>
        <v>0</v>
      </c>
      <c r="GJ18" s="109" t="str">
        <f t="shared" si="4"/>
        <v/>
      </c>
      <c r="GK18" s="109">
        <f t="shared" si="5"/>
        <v>6.5</v>
      </c>
      <c r="GL18" s="108">
        <f t="shared" si="12"/>
        <v>0.65</v>
      </c>
      <c r="GM18" s="107">
        <f t="shared" si="6"/>
        <v>0</v>
      </c>
      <c r="GN18" s="110">
        <f t="shared" si="7"/>
        <v>0.76666666666666661</v>
      </c>
      <c r="GO18" s="111" t="str">
        <f t="shared" si="8"/>
        <v>Emma Dromgoole</v>
      </c>
      <c r="GP18" s="103"/>
      <c r="GQ18" s="103"/>
      <c r="GR18" s="103"/>
      <c r="GS18" s="104"/>
    </row>
    <row r="19" spans="2:201" x14ac:dyDescent="0.45">
      <c r="B19" s="500"/>
      <c r="C19" s="60">
        <v>15</v>
      </c>
      <c r="D19" s="105" t="s">
        <v>90</v>
      </c>
      <c r="E19" s="97" t="s">
        <v>54</v>
      </c>
      <c r="F19" s="97">
        <v>2</v>
      </c>
      <c r="G19" s="97" t="s">
        <v>54</v>
      </c>
      <c r="H19" s="97">
        <v>3</v>
      </c>
      <c r="I19" s="97" t="s">
        <v>54</v>
      </c>
      <c r="J19" s="97">
        <v>4</v>
      </c>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P19" s="97"/>
      <c r="CQ19" s="97"/>
      <c r="CR19" s="412">
        <f>IF($D19="","",IF(COUNTIFS('Match Day Reports'!$C$85:$C$102,$D19)=0,"",SUMIFS('Match Day Reports'!$I$85:$I$102,'Match Day Reports'!$C$85:$C$102,$D19)))</f>
        <v>8</v>
      </c>
      <c r="CS19" s="411" t="str">
        <f>IF($D19="","",IF($D19='Match Day Reports'!$H$82,"Yes",""))</f>
        <v/>
      </c>
      <c r="CT19" s="97"/>
      <c r="CU19" s="97"/>
      <c r="CV19" s="412" t="str">
        <f>IF($D19="","",IF(COUNTIFS('Match Day Reports'!$C$112:$C$129,$D19)=0,"",SUMIFS('Match Day Reports'!$I$112:$I$129,'Match Day Reports'!$C$112:$C$129,$D19)))</f>
        <v/>
      </c>
      <c r="CW19" s="411" t="str">
        <f>IF($D19="","",IF($D19='Match Day Reports'!$H$109,"Yes",""))</f>
        <v/>
      </c>
      <c r="CX19" s="97"/>
      <c r="CY19" s="97"/>
      <c r="CZ19" s="412" t="str">
        <f>IF($D19="","",IF(COUNTIFS('Match Day Reports'!$C$139:$C$156,$D19)=0,"",SUMIFS('Match Day Reports'!$I$139:$I$156,'Match Day Reports'!$C$139:$C$156,$D19)))</f>
        <v/>
      </c>
      <c r="DA19" s="411" t="str">
        <f>IF($D19="","",IF($D19='Match Day Reports'!$H$136,"Yes",""))</f>
        <v/>
      </c>
      <c r="DB19" s="97"/>
      <c r="DC19" s="97"/>
      <c r="DD19" s="412" t="str">
        <f>IF($D19="","",IF(COUNTIFS('Match Day Reports'!$C$166:$C$183,$D19)=0,"",SUMIFS('Match Day Reports'!$I$166:$I$183,'Match Day Reports'!$C$166:$C$183,$D19)))</f>
        <v/>
      </c>
      <c r="DE19" s="411" t="str">
        <f>IF($D19="","",IF($D19='Match Day Reports'!$H$163,"Yes",""))</f>
        <v/>
      </c>
      <c r="DF19" s="97"/>
      <c r="DG19" s="97"/>
      <c r="DH19" s="412" t="str">
        <f>IF($D19="","",IF(COUNTIFS('Match Day Reports'!$C$193:$C$210,$D19)=0,"",SUMIFS('Match Day Reports'!$I$193:$I$210,'Match Day Reports'!$C$193:$C$210,$D19)))</f>
        <v/>
      </c>
      <c r="DI19" s="411" t="str">
        <f>IF($D19="","",IF($D19='Match Day Reports'!$H$190,"Yes",""))</f>
        <v/>
      </c>
      <c r="DJ19" s="97"/>
      <c r="DK19" s="97"/>
      <c r="DL19" s="412" t="str">
        <f>IF($D19="","",IF(COUNTIFS('Match Day Reports'!$C$220:$C$237,$D19)=0,"",SUMIFS('Match Day Reports'!$I$220:$I$237,'Match Day Reports'!$C$220:$C$237,$D19)))</f>
        <v/>
      </c>
      <c r="DM19" s="411" t="str">
        <f>IF($D19="","",IF($D19='Match Day Reports'!$H$217,"Yes",""))</f>
        <v/>
      </c>
      <c r="DN19" s="97"/>
      <c r="DO19" s="97"/>
      <c r="DP19" s="412" t="str">
        <f>IF($D19="","",IF(COUNTIFS('Match Day Reports'!$C$247:$C$264,$D19)=0,"",SUMIFS('Match Day Reports'!$I$247:$I$264,'Match Day Reports'!$C$247:$C$264,$D19)))</f>
        <v/>
      </c>
      <c r="DQ19" s="411" t="str">
        <f>IF($D19="","",IF($D19='Match Day Reports'!$H$244,"Yes",""))</f>
        <v/>
      </c>
      <c r="DR19" s="97"/>
      <c r="DS19" s="97"/>
      <c r="DT19" s="412" t="str">
        <f>IF($D19="","",IF(COUNTIFS('Match Day Reports'!$C$274:$C$291,$D19)=0,"",SUMIFS('Match Day Reports'!$I$274:$I$291,'Match Day Reports'!$C$274:$C$291,$D19)))</f>
        <v/>
      </c>
      <c r="DU19" s="411" t="str">
        <f>IF($D19="","",IF($D19='Match Day Reports'!$H$271,"Yes",""))</f>
        <v/>
      </c>
      <c r="DV19" s="97"/>
      <c r="DW19" s="97"/>
      <c r="DX19" s="412" t="str">
        <f>IF($D19="","",IF(COUNTIFS('Match Day Reports'!$C$301:$C$318,$D19)=0,"",SUMIFS('Match Day Reports'!$I$301:$I$318,'Match Day Reports'!$C$301:$C$318,$D19)))</f>
        <v/>
      </c>
      <c r="DY19" s="411" t="str">
        <f>IF($D19="","",IF($D19='Match Day Reports'!$H$298,"Yes",""))</f>
        <v/>
      </c>
      <c r="DZ19" s="97"/>
      <c r="EA19" s="97"/>
      <c r="EB19" s="412" t="str">
        <f>IF($D19="","",IF(COUNTIFS('Match Day Reports'!$C$328:$C$345,$D19)=0,"",SUMIFS('Match Day Reports'!$I$328:$I$345,'Match Day Reports'!$C$328:$C$345,$D19)))</f>
        <v/>
      </c>
      <c r="EC19" s="411" t="str">
        <f>IF($D19="","",IF($D19='Match Day Reports'!$H$325,"Yes",""))</f>
        <v/>
      </c>
      <c r="ED19" s="97"/>
      <c r="EE19" s="97"/>
      <c r="EF19" s="412" t="str">
        <f>IF($D19="","",IF(COUNTIFS('Match Day Reports'!$C$355:$C$372,$D19)=0,"",SUMIFS('Match Day Reports'!$I$355:$I$372,'Match Day Reports'!$C$355:$C$372,$D19)))</f>
        <v/>
      </c>
      <c r="EG19" s="411" t="str">
        <f>IF($D19="","",IF($D19='Match Day Reports'!$H$352,"Yes",""))</f>
        <v/>
      </c>
      <c r="EH19" s="97"/>
      <c r="EI19" s="97"/>
      <c r="EJ19" s="412" t="str">
        <f>IF($D19="","",IF(COUNTIFS('Match Day Reports'!$C$382:$C$399,$D19)=0,"",SUMIFS('Match Day Reports'!$I$382:$I$399,'Match Day Reports'!$C$382:$C$399,$D19)))</f>
        <v/>
      </c>
      <c r="EK19" s="411" t="str">
        <f>IF($D19="","",IF($D19='Match Day Reports'!$H$379,"Yes",""))</f>
        <v/>
      </c>
      <c r="EL19" s="97"/>
      <c r="EM19" s="97"/>
      <c r="EN19" s="412" t="str">
        <f>IF($D19="","",IF(COUNTIFS('Match Day Reports'!$C$409:$C$426,$D19)=0,"",SUMIFS('Match Day Reports'!$I$409:$I$426,'Match Day Reports'!$C$409:$C$426,$D19)))</f>
        <v/>
      </c>
      <c r="EO19" s="411" t="str">
        <f>IF($D19="","",IF($D19='Match Day Reports'!$H$406,"Yes",""))</f>
        <v/>
      </c>
      <c r="EP19" s="97"/>
      <c r="EQ19" s="97"/>
      <c r="ER19" s="412" t="str">
        <f>IF($D19="","",IF(COUNTIFS('Match Day Reports'!$C$436:$C$453,$D19)=0,"",SUMIFS('Match Day Reports'!$I$436:$I$453,'Match Day Reports'!$C$436:$C$453,$D19)))</f>
        <v/>
      </c>
      <c r="ES19" s="411" t="str">
        <f>IF($D19="","",IF($D19='Match Day Reports'!$H$433,"Yes",""))</f>
        <v/>
      </c>
      <c r="ET19" s="97"/>
      <c r="EU19" s="97"/>
      <c r="EV19" s="412" t="str">
        <f>IF($D19="","",IF(COUNTIFS('Match Day Reports'!$C$463:$C$480,$D19)=0,"",SUMIFS('Match Day Reports'!$I$463:$I$480,'Match Day Reports'!$C$463:$C$480,$D19)))</f>
        <v/>
      </c>
      <c r="EW19" s="411" t="str">
        <f>IF($D19="","",IF($D19='Match Day Reports'!$H$460,"Yes",""))</f>
        <v/>
      </c>
      <c r="EX19" s="97"/>
      <c r="EY19" s="97"/>
      <c r="EZ19" s="412" t="str">
        <f>IF($D19="","",IF(COUNTIFS('Match Day Reports'!$C$490:$C$507,$D19)=0,"",SUMIFS('Match Day Reports'!$I$490:$I$507,'Match Day Reports'!$C$490:$C$507,$D19)))</f>
        <v/>
      </c>
      <c r="FA19" s="411" t="str">
        <f>IF($D19="","",IF($D19='Match Day Reports'!$H$487,"Yes",""))</f>
        <v/>
      </c>
      <c r="FB19" s="97"/>
      <c r="FC19" s="97"/>
      <c r="FD19" s="412" t="str">
        <f>IF($D19="","",IF(COUNTIFS('Match Day Reports'!$C$517:$C$534,$D19)=0,"",SUMIFS('Match Day Reports'!$I$517:$I$534,'Match Day Reports'!$C$517:$C$534,$D19)))</f>
        <v/>
      </c>
      <c r="FE19" s="411" t="str">
        <f>IF($D19="","",IF($D19='Match Day Reports'!$H$514,"Yes",""))</f>
        <v/>
      </c>
      <c r="FF19" s="97"/>
      <c r="FG19" s="97"/>
      <c r="FH19" s="412" t="str">
        <f>IF($D19="","",IF(COUNTIFS('Match Day Reports'!$C$544:$C$561,$D19)=0,"",SUMIFS('Match Day Reports'!$I$544:$I$561,'Match Day Reports'!$C$544:$C$561,$D19)))</f>
        <v/>
      </c>
      <c r="FI19" s="411" t="str">
        <f>IF($D19="","",IF($D19='Match Day Reports'!$H$541,"Yes",""))</f>
        <v/>
      </c>
      <c r="FJ19" s="97"/>
      <c r="FK19" s="97"/>
      <c r="FL19" s="412" t="str">
        <f>IF($D19="","",IF(COUNTIFS('Match Day Reports'!$C$571:$C$588,$D19)=0,"",SUMIFS('Match Day Reports'!$I$571:$I$588,'Match Day Reports'!$C$571:$C$588,$D19)))</f>
        <v/>
      </c>
      <c r="FM19" s="411" t="str">
        <f>IF($D19="","",IF($D19='Match Day Reports'!$H$568,"Yes",""))</f>
        <v/>
      </c>
      <c r="FN19" s="97"/>
      <c r="FO19" s="97"/>
      <c r="FP19" s="412" t="str">
        <f>IF($D19="","",IF(COUNTIFS('Match Day Reports'!$C$598:$C$615,$D19)=0,"",SUMIFS('Match Day Reports'!$I$598:$I$615,'Match Day Reports'!$C$598:$C$615,$D19)))</f>
        <v/>
      </c>
      <c r="FQ19" s="411" t="str">
        <f>IF($D19="","",IF($D19='Match Day Reports'!$H$595,"Yes",""))</f>
        <v/>
      </c>
      <c r="FR19" s="97"/>
      <c r="FS19" s="97"/>
      <c r="FT19" s="412" t="str">
        <f>IF($D19="","",IF(COUNTIFS('Match Day Reports'!$C$625:$C$642,$D19)=0,"",SUMIFS('Match Day Reports'!$I$625:$I$642,'Match Day Reports'!$C$625:$C$642,$D19)))</f>
        <v/>
      </c>
      <c r="FU19" s="411" t="str">
        <f>IF($D19="","",IF($D19='Match Day Reports'!$H$622,"Yes",""))</f>
        <v/>
      </c>
      <c r="FV19" s="97"/>
      <c r="FW19" s="97"/>
      <c r="FX19" s="412" t="str">
        <f>IF($D19="","",IF(COUNTIFS('Match Day Reports'!$C$652:$C$669,$D19)=0,"",SUMIFS('Match Day Reports'!$I$652:$I$669,'Match Day Reports'!$C$652:$C$669,$D19)))</f>
        <v/>
      </c>
      <c r="FY19" s="411" t="str">
        <f>IF($D19="","",IF($D19='Match Day Reports'!$H$649,"Yes",""))</f>
        <v/>
      </c>
      <c r="GA19" s="98">
        <f t="shared" si="0"/>
        <v>3</v>
      </c>
      <c r="GB19" s="99" cm="1">
        <f t="array" ref="GB19">IF($D19="","",SUMPRODUCT(($E$4:$CN$4="Att")*((($E$3:$CN$3&lt;&gt;"")+($E19:$CN19="Yes")+($E19:$CN19="No"))&gt;0)))</f>
        <v>3</v>
      </c>
      <c r="GC19" s="100">
        <f t="shared" si="9"/>
        <v>1</v>
      </c>
      <c r="GD19" s="35">
        <f t="shared" si="1"/>
        <v>3</v>
      </c>
      <c r="GE19" s="100">
        <f t="shared" si="10"/>
        <v>0.6</v>
      </c>
      <c r="GF19" s="99">
        <f t="array" ref="GF19">IF($D19="","",SUMPRODUCT(($CP$4:$FY$4="Att")*($CP$2:$FY$2&lt;&gt;"")*($CP19:$FY19&lt;&gt;"N-A")*($CP19:$FY19&lt;&gt;"")))</f>
        <v>0</v>
      </c>
      <c r="GG19" s="99">
        <f t="shared" si="2"/>
        <v>0</v>
      </c>
      <c r="GH19" s="100" t="str">
        <f t="shared" si="11"/>
        <v/>
      </c>
      <c r="GI19" s="99">
        <f t="shared" si="3"/>
        <v>0</v>
      </c>
      <c r="GJ19" s="35" t="str">
        <f t="shared" si="4"/>
        <v/>
      </c>
      <c r="GK19" s="35">
        <f t="shared" si="5"/>
        <v>8</v>
      </c>
      <c r="GL19" s="100">
        <f t="shared" si="12"/>
        <v>0.8</v>
      </c>
      <c r="GM19" s="99">
        <f t="shared" si="6"/>
        <v>0</v>
      </c>
      <c r="GN19" s="101">
        <f t="shared" si="7"/>
        <v>0.76666666666666661</v>
      </c>
      <c r="GO19" s="102" t="str">
        <f t="shared" si="8"/>
        <v>Elsie Morrison</v>
      </c>
      <c r="GP19" s="103"/>
      <c r="GQ19" s="103"/>
      <c r="GR19" s="103"/>
      <c r="GS19" s="104"/>
    </row>
    <row r="20" spans="2:201" x14ac:dyDescent="0.45">
      <c r="B20" s="500"/>
      <c r="C20" s="60">
        <v>16</v>
      </c>
      <c r="D20" s="105" t="s">
        <v>94</v>
      </c>
      <c r="E20" s="97" t="s">
        <v>55</v>
      </c>
      <c r="F20" s="97"/>
      <c r="G20" s="97" t="s">
        <v>54</v>
      </c>
      <c r="H20" s="97">
        <v>3</v>
      </c>
      <c r="I20" s="97" t="s">
        <v>54</v>
      </c>
      <c r="J20" s="97">
        <v>3</v>
      </c>
      <c r="K20" s="97"/>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P20" s="97"/>
      <c r="CQ20" s="97"/>
      <c r="CR20" s="412">
        <f>IF($D20="","",IF(COUNTIFS('Match Day Reports'!$C$85:$C$102,$D20)=0,"",SUMIFS('Match Day Reports'!$I$85:$I$102,'Match Day Reports'!$C$85:$C$102,$D20)))</f>
        <v>8.5</v>
      </c>
      <c r="CS20" s="411" t="str">
        <f>IF($D20="","",IF($D20='Match Day Reports'!$H$82,"Yes",""))</f>
        <v/>
      </c>
      <c r="CT20" s="97"/>
      <c r="CU20" s="97"/>
      <c r="CV20" s="412" t="str">
        <f>IF($D20="","",IF(COUNTIFS('Match Day Reports'!$C$112:$C$129,$D20)=0,"",SUMIFS('Match Day Reports'!$I$112:$I$129,'Match Day Reports'!$C$112:$C$129,$D20)))</f>
        <v/>
      </c>
      <c r="CW20" s="411" t="str">
        <f>IF($D20="","",IF($D20='Match Day Reports'!$H$109,"Yes",""))</f>
        <v/>
      </c>
      <c r="CX20" s="97"/>
      <c r="CY20" s="97"/>
      <c r="CZ20" s="412" t="str">
        <f>IF($D20="","",IF(COUNTIFS('Match Day Reports'!$C$139:$C$156,$D20)=0,"",SUMIFS('Match Day Reports'!$I$139:$I$156,'Match Day Reports'!$C$139:$C$156,$D20)))</f>
        <v/>
      </c>
      <c r="DA20" s="411" t="str">
        <f>IF($D20="","",IF($D20='Match Day Reports'!$H$136,"Yes",""))</f>
        <v/>
      </c>
      <c r="DB20" s="97"/>
      <c r="DC20" s="97"/>
      <c r="DD20" s="412" t="str">
        <f>IF($D20="","",IF(COUNTIFS('Match Day Reports'!$C$166:$C$183,$D20)=0,"",SUMIFS('Match Day Reports'!$I$166:$I$183,'Match Day Reports'!$C$166:$C$183,$D20)))</f>
        <v/>
      </c>
      <c r="DE20" s="411" t="str">
        <f>IF($D20="","",IF($D20='Match Day Reports'!$H$163,"Yes",""))</f>
        <v/>
      </c>
      <c r="DF20" s="97"/>
      <c r="DG20" s="97"/>
      <c r="DH20" s="412" t="str">
        <f>IF($D20="","",IF(COUNTIFS('Match Day Reports'!$C$193:$C$210,$D20)=0,"",SUMIFS('Match Day Reports'!$I$193:$I$210,'Match Day Reports'!$C$193:$C$210,$D20)))</f>
        <v/>
      </c>
      <c r="DI20" s="411" t="str">
        <f>IF($D20="","",IF($D20='Match Day Reports'!$H$190,"Yes",""))</f>
        <v/>
      </c>
      <c r="DJ20" s="97"/>
      <c r="DK20" s="97"/>
      <c r="DL20" s="412" t="str">
        <f>IF($D20="","",IF(COUNTIFS('Match Day Reports'!$C$220:$C$237,$D20)=0,"",SUMIFS('Match Day Reports'!$I$220:$I$237,'Match Day Reports'!$C$220:$C$237,$D20)))</f>
        <v/>
      </c>
      <c r="DM20" s="411" t="str">
        <f>IF($D20="","",IF($D20='Match Day Reports'!$H$217,"Yes",""))</f>
        <v/>
      </c>
      <c r="DN20" s="97"/>
      <c r="DO20" s="97"/>
      <c r="DP20" s="412" t="str">
        <f>IF($D20="","",IF(COUNTIFS('Match Day Reports'!$C$247:$C$264,$D20)=0,"",SUMIFS('Match Day Reports'!$I$247:$I$264,'Match Day Reports'!$C$247:$C$264,$D20)))</f>
        <v/>
      </c>
      <c r="DQ20" s="411" t="str">
        <f>IF($D20="","",IF($D20='Match Day Reports'!$H$244,"Yes",""))</f>
        <v/>
      </c>
      <c r="DR20" s="97"/>
      <c r="DS20" s="97"/>
      <c r="DT20" s="412" t="str">
        <f>IF($D20="","",IF(COUNTIFS('Match Day Reports'!$C$274:$C$291,$D20)=0,"",SUMIFS('Match Day Reports'!$I$274:$I$291,'Match Day Reports'!$C$274:$C$291,$D20)))</f>
        <v/>
      </c>
      <c r="DU20" s="411" t="str">
        <f>IF($D20="","",IF($D20='Match Day Reports'!$H$271,"Yes",""))</f>
        <v/>
      </c>
      <c r="DV20" s="97"/>
      <c r="DW20" s="97"/>
      <c r="DX20" s="412" t="str">
        <f>IF($D20="","",IF(COUNTIFS('Match Day Reports'!$C$301:$C$318,$D20)=0,"",SUMIFS('Match Day Reports'!$I$301:$I$318,'Match Day Reports'!$C$301:$C$318,$D20)))</f>
        <v/>
      </c>
      <c r="DY20" s="411" t="str">
        <f>IF($D20="","",IF($D20='Match Day Reports'!$H$298,"Yes",""))</f>
        <v/>
      </c>
      <c r="DZ20" s="97"/>
      <c r="EA20" s="97"/>
      <c r="EB20" s="412" t="str">
        <f>IF($D20="","",IF(COUNTIFS('Match Day Reports'!$C$328:$C$345,$D20)=0,"",SUMIFS('Match Day Reports'!$I$328:$I$345,'Match Day Reports'!$C$328:$C$345,$D20)))</f>
        <v/>
      </c>
      <c r="EC20" s="411" t="str">
        <f>IF($D20="","",IF($D20='Match Day Reports'!$H$325,"Yes",""))</f>
        <v/>
      </c>
      <c r="ED20" s="97"/>
      <c r="EE20" s="97"/>
      <c r="EF20" s="412" t="str">
        <f>IF($D20="","",IF(COUNTIFS('Match Day Reports'!$C$355:$C$372,$D20)=0,"",SUMIFS('Match Day Reports'!$I$355:$I$372,'Match Day Reports'!$C$355:$C$372,$D20)))</f>
        <v/>
      </c>
      <c r="EG20" s="411" t="str">
        <f>IF($D20="","",IF($D20='Match Day Reports'!$H$352,"Yes",""))</f>
        <v/>
      </c>
      <c r="EH20" s="97"/>
      <c r="EI20" s="97"/>
      <c r="EJ20" s="412" t="str">
        <f>IF($D20="","",IF(COUNTIFS('Match Day Reports'!$C$382:$C$399,$D20)=0,"",SUMIFS('Match Day Reports'!$I$382:$I$399,'Match Day Reports'!$C$382:$C$399,$D20)))</f>
        <v/>
      </c>
      <c r="EK20" s="411" t="str">
        <f>IF($D20="","",IF($D20='Match Day Reports'!$H$379,"Yes",""))</f>
        <v/>
      </c>
      <c r="EL20" s="97"/>
      <c r="EM20" s="97"/>
      <c r="EN20" s="412" t="str">
        <f>IF($D20="","",IF(COUNTIFS('Match Day Reports'!$C$409:$C$426,$D20)=0,"",SUMIFS('Match Day Reports'!$I$409:$I$426,'Match Day Reports'!$C$409:$C$426,$D20)))</f>
        <v/>
      </c>
      <c r="EO20" s="411" t="str">
        <f>IF($D20="","",IF($D20='Match Day Reports'!$H$406,"Yes",""))</f>
        <v/>
      </c>
      <c r="EP20" s="97"/>
      <c r="EQ20" s="97"/>
      <c r="ER20" s="412" t="str">
        <f>IF($D20="","",IF(COUNTIFS('Match Day Reports'!$C$436:$C$453,$D20)=0,"",SUMIFS('Match Day Reports'!$I$436:$I$453,'Match Day Reports'!$C$436:$C$453,$D20)))</f>
        <v/>
      </c>
      <c r="ES20" s="411" t="str">
        <f>IF($D20="","",IF($D20='Match Day Reports'!$H$433,"Yes",""))</f>
        <v/>
      </c>
      <c r="ET20" s="97"/>
      <c r="EU20" s="97"/>
      <c r="EV20" s="412" t="str">
        <f>IF($D20="","",IF(COUNTIFS('Match Day Reports'!$C$463:$C$480,$D20)=0,"",SUMIFS('Match Day Reports'!$I$463:$I$480,'Match Day Reports'!$C$463:$C$480,$D20)))</f>
        <v/>
      </c>
      <c r="EW20" s="411" t="str">
        <f>IF($D20="","",IF($D20='Match Day Reports'!$H$460,"Yes",""))</f>
        <v/>
      </c>
      <c r="EX20" s="97"/>
      <c r="EY20" s="97"/>
      <c r="EZ20" s="412" t="str">
        <f>IF($D20="","",IF(COUNTIFS('Match Day Reports'!$C$490:$C$507,$D20)=0,"",SUMIFS('Match Day Reports'!$I$490:$I$507,'Match Day Reports'!$C$490:$C$507,$D20)))</f>
        <v/>
      </c>
      <c r="FA20" s="411" t="str">
        <f>IF($D20="","",IF($D20='Match Day Reports'!$H$487,"Yes",""))</f>
        <v/>
      </c>
      <c r="FB20" s="97"/>
      <c r="FC20" s="97"/>
      <c r="FD20" s="412" t="str">
        <f>IF($D20="","",IF(COUNTIFS('Match Day Reports'!$C$517:$C$534,$D20)=0,"",SUMIFS('Match Day Reports'!$I$517:$I$534,'Match Day Reports'!$C$517:$C$534,$D20)))</f>
        <v/>
      </c>
      <c r="FE20" s="411" t="str">
        <f>IF($D20="","",IF($D20='Match Day Reports'!$H$514,"Yes",""))</f>
        <v/>
      </c>
      <c r="FF20" s="97"/>
      <c r="FG20" s="97"/>
      <c r="FH20" s="412" t="str">
        <f>IF($D20="","",IF(COUNTIFS('Match Day Reports'!$C$544:$C$561,$D20)=0,"",SUMIFS('Match Day Reports'!$I$544:$I$561,'Match Day Reports'!$C$544:$C$561,$D20)))</f>
        <v/>
      </c>
      <c r="FI20" s="411" t="str">
        <f>IF($D20="","",IF($D20='Match Day Reports'!$H$541,"Yes",""))</f>
        <v/>
      </c>
      <c r="FJ20" s="97"/>
      <c r="FK20" s="97"/>
      <c r="FL20" s="412" t="str">
        <f>IF($D20="","",IF(COUNTIFS('Match Day Reports'!$C$571:$C$588,$D20)=0,"",SUMIFS('Match Day Reports'!$I$571:$I$588,'Match Day Reports'!$C$571:$C$588,$D20)))</f>
        <v/>
      </c>
      <c r="FM20" s="411" t="str">
        <f>IF($D20="","",IF($D20='Match Day Reports'!$H$568,"Yes",""))</f>
        <v/>
      </c>
      <c r="FN20" s="97"/>
      <c r="FO20" s="97"/>
      <c r="FP20" s="412" t="str">
        <f>IF($D20="","",IF(COUNTIFS('Match Day Reports'!$C$598:$C$615,$D20)=0,"",SUMIFS('Match Day Reports'!$I$598:$I$615,'Match Day Reports'!$C$598:$C$615,$D20)))</f>
        <v/>
      </c>
      <c r="FQ20" s="411" t="str">
        <f>IF($D20="","",IF($D20='Match Day Reports'!$H$595,"Yes",""))</f>
        <v/>
      </c>
      <c r="FR20" s="97"/>
      <c r="FS20" s="97"/>
      <c r="FT20" s="412" t="str">
        <f>IF($D20="","",IF(COUNTIFS('Match Day Reports'!$C$625:$C$642,$D20)=0,"",SUMIFS('Match Day Reports'!$I$625:$I$642,'Match Day Reports'!$C$625:$C$642,$D20)))</f>
        <v/>
      </c>
      <c r="FU20" s="411" t="str">
        <f>IF($D20="","",IF($D20='Match Day Reports'!$H$622,"Yes",""))</f>
        <v/>
      </c>
      <c r="FV20" s="97"/>
      <c r="FW20" s="97"/>
      <c r="FX20" s="412" t="str">
        <f>IF($D20="","",IF(COUNTIFS('Match Day Reports'!$C$652:$C$669,$D20)=0,"",SUMIFS('Match Day Reports'!$I$652:$I$669,'Match Day Reports'!$C$652:$C$669,$D20)))</f>
        <v/>
      </c>
      <c r="FY20" s="411" t="str">
        <f>IF($D20="","",IF($D20='Match Day Reports'!$H$649,"Yes",""))</f>
        <v/>
      </c>
      <c r="GA20" s="106">
        <f t="shared" si="0"/>
        <v>2</v>
      </c>
      <c r="GB20" s="107" cm="1">
        <f t="array" ref="GB20">IF($D20="","",SUMPRODUCT(($E$4:$CN$4="Att")*((($E$3:$CN$3&lt;&gt;"")+($E20:$CN20="Yes")+($E20:$CN20="No"))&gt;0)))</f>
        <v>3</v>
      </c>
      <c r="GC20" s="108">
        <f t="shared" si="9"/>
        <v>0.66666666666666663</v>
      </c>
      <c r="GD20" s="109">
        <f t="shared" si="1"/>
        <v>3</v>
      </c>
      <c r="GE20" s="108">
        <f t="shared" si="10"/>
        <v>0.6</v>
      </c>
      <c r="GF20" s="107">
        <f t="array" ref="GF20">IF($D20="","",SUMPRODUCT(($CP$4:$FY$4="Att")*($CP$2:$FY$2&lt;&gt;"")*($CP20:$FY20&lt;&gt;"N-A")*($CP20:$FY20&lt;&gt;"")))</f>
        <v>0</v>
      </c>
      <c r="GG20" s="107">
        <f t="shared" si="2"/>
        <v>0</v>
      </c>
      <c r="GH20" s="108" t="str">
        <f t="shared" si="11"/>
        <v/>
      </c>
      <c r="GI20" s="107">
        <f t="shared" si="3"/>
        <v>0</v>
      </c>
      <c r="GJ20" s="109" t="str">
        <f t="shared" si="4"/>
        <v/>
      </c>
      <c r="GK20" s="109">
        <f t="shared" si="5"/>
        <v>8.5</v>
      </c>
      <c r="GL20" s="108">
        <f t="shared" si="12"/>
        <v>0.85</v>
      </c>
      <c r="GM20" s="107">
        <f t="shared" si="6"/>
        <v>0</v>
      </c>
      <c r="GN20" s="110">
        <f t="shared" si="7"/>
        <v>0.62777777777777777</v>
      </c>
      <c r="GO20" s="111" t="str">
        <f t="shared" si="8"/>
        <v>Zara Freeman</v>
      </c>
      <c r="GP20" s="103"/>
      <c r="GQ20" s="103"/>
      <c r="GR20" s="103"/>
      <c r="GS20" s="104"/>
    </row>
    <row r="21" spans="2:201" x14ac:dyDescent="0.45">
      <c r="B21" s="500"/>
      <c r="C21" s="60">
        <v>17</v>
      </c>
      <c r="D21" s="105" t="s">
        <v>501</v>
      </c>
      <c r="E21" s="97" t="s">
        <v>54</v>
      </c>
      <c r="F21" s="97">
        <v>3</v>
      </c>
      <c r="G21" s="97" t="s">
        <v>54</v>
      </c>
      <c r="H21" s="97">
        <v>3</v>
      </c>
      <c r="I21" s="97" t="s">
        <v>54</v>
      </c>
      <c r="J21" s="97">
        <v>3</v>
      </c>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P21" s="97"/>
      <c r="CQ21" s="97"/>
      <c r="CR21" s="412">
        <f>IF($D21="","",IF(COUNTIFS('Match Day Reports'!$C$85:$C$102,$D21)=0,"",SUMIFS('Match Day Reports'!$I$85:$I$102,'Match Day Reports'!$C$85:$C$102,$D21)))</f>
        <v>7.5</v>
      </c>
      <c r="CS21" s="411" t="str">
        <f>IF($D21="","",IF($D21='Match Day Reports'!$H$82,"Yes",""))</f>
        <v/>
      </c>
      <c r="CT21" s="97"/>
      <c r="CU21" s="97"/>
      <c r="CV21" s="412" t="str">
        <f>IF($D21="","",IF(COUNTIFS('Match Day Reports'!$C$112:$C$129,$D21)=0,"",SUMIFS('Match Day Reports'!$I$112:$I$129,'Match Day Reports'!$C$112:$C$129,$D21)))</f>
        <v/>
      </c>
      <c r="CW21" s="411" t="str">
        <f>IF($D21="","",IF($D21='Match Day Reports'!$H$109,"Yes",""))</f>
        <v/>
      </c>
      <c r="CX21" s="97"/>
      <c r="CY21" s="97"/>
      <c r="CZ21" s="412" t="str">
        <f>IF($D21="","",IF(COUNTIFS('Match Day Reports'!$C$139:$C$156,$D21)=0,"",SUMIFS('Match Day Reports'!$I$139:$I$156,'Match Day Reports'!$C$139:$C$156,$D21)))</f>
        <v/>
      </c>
      <c r="DA21" s="411" t="str">
        <f>IF($D21="","",IF($D21='Match Day Reports'!$H$136,"Yes",""))</f>
        <v/>
      </c>
      <c r="DB21" s="97"/>
      <c r="DC21" s="97"/>
      <c r="DD21" s="412" t="str">
        <f>IF($D21="","",IF(COUNTIFS('Match Day Reports'!$C$166:$C$183,$D21)=0,"",SUMIFS('Match Day Reports'!$I$166:$I$183,'Match Day Reports'!$C$166:$C$183,$D21)))</f>
        <v/>
      </c>
      <c r="DE21" s="411" t="str">
        <f>IF($D21="","",IF($D21='Match Day Reports'!$H$163,"Yes",""))</f>
        <v/>
      </c>
      <c r="DF21" s="97"/>
      <c r="DG21" s="97"/>
      <c r="DH21" s="412" t="str">
        <f>IF($D21="","",IF(COUNTIFS('Match Day Reports'!$C$193:$C$210,$D21)=0,"",SUMIFS('Match Day Reports'!$I$193:$I$210,'Match Day Reports'!$C$193:$C$210,$D21)))</f>
        <v/>
      </c>
      <c r="DI21" s="411" t="str">
        <f>IF($D21="","",IF($D21='Match Day Reports'!$H$190,"Yes",""))</f>
        <v/>
      </c>
      <c r="DJ21" s="97"/>
      <c r="DK21" s="97"/>
      <c r="DL21" s="412" t="str">
        <f>IF($D21="","",IF(COUNTIFS('Match Day Reports'!$C$220:$C$237,$D21)=0,"",SUMIFS('Match Day Reports'!$I$220:$I$237,'Match Day Reports'!$C$220:$C$237,$D21)))</f>
        <v/>
      </c>
      <c r="DM21" s="411" t="str">
        <f>IF($D21="","",IF($D21='Match Day Reports'!$H$217,"Yes",""))</f>
        <v/>
      </c>
      <c r="DN21" s="97"/>
      <c r="DO21" s="97"/>
      <c r="DP21" s="412" t="str">
        <f>IF($D21="","",IF(COUNTIFS('Match Day Reports'!$C$247:$C$264,$D21)=0,"",SUMIFS('Match Day Reports'!$I$247:$I$264,'Match Day Reports'!$C$247:$C$264,$D21)))</f>
        <v/>
      </c>
      <c r="DQ21" s="411" t="str">
        <f>IF($D21="","",IF($D21='Match Day Reports'!$H$244,"Yes",""))</f>
        <v/>
      </c>
      <c r="DR21" s="97"/>
      <c r="DS21" s="97"/>
      <c r="DT21" s="412" t="str">
        <f>IF($D21="","",IF(COUNTIFS('Match Day Reports'!$C$274:$C$291,$D21)=0,"",SUMIFS('Match Day Reports'!$I$274:$I$291,'Match Day Reports'!$C$274:$C$291,$D21)))</f>
        <v/>
      </c>
      <c r="DU21" s="411" t="str">
        <f>IF($D21="","",IF($D21='Match Day Reports'!$H$271,"Yes",""))</f>
        <v/>
      </c>
      <c r="DV21" s="97"/>
      <c r="DW21" s="97"/>
      <c r="DX21" s="412" t="str">
        <f>IF($D21="","",IF(COUNTIFS('Match Day Reports'!$C$301:$C$318,$D21)=0,"",SUMIFS('Match Day Reports'!$I$301:$I$318,'Match Day Reports'!$C$301:$C$318,$D21)))</f>
        <v/>
      </c>
      <c r="DY21" s="411" t="str">
        <f>IF($D21="","",IF($D21='Match Day Reports'!$H$298,"Yes",""))</f>
        <v/>
      </c>
      <c r="DZ21" s="97"/>
      <c r="EA21" s="97"/>
      <c r="EB21" s="412" t="str">
        <f>IF($D21="","",IF(COUNTIFS('Match Day Reports'!$C$328:$C$345,$D21)=0,"",SUMIFS('Match Day Reports'!$I$328:$I$345,'Match Day Reports'!$C$328:$C$345,$D21)))</f>
        <v/>
      </c>
      <c r="EC21" s="411" t="str">
        <f>IF($D21="","",IF($D21='Match Day Reports'!$H$325,"Yes",""))</f>
        <v/>
      </c>
      <c r="ED21" s="97"/>
      <c r="EE21" s="97"/>
      <c r="EF21" s="412" t="str">
        <f>IF($D21="","",IF(COUNTIFS('Match Day Reports'!$C$355:$C$372,$D21)=0,"",SUMIFS('Match Day Reports'!$I$355:$I$372,'Match Day Reports'!$C$355:$C$372,$D21)))</f>
        <v/>
      </c>
      <c r="EG21" s="411" t="str">
        <f>IF($D21="","",IF($D21='Match Day Reports'!$H$352,"Yes",""))</f>
        <v/>
      </c>
      <c r="EH21" s="97"/>
      <c r="EI21" s="97"/>
      <c r="EJ21" s="412" t="str">
        <f>IF($D21="","",IF(COUNTIFS('Match Day Reports'!$C$382:$C$399,$D21)=0,"",SUMIFS('Match Day Reports'!$I$382:$I$399,'Match Day Reports'!$C$382:$C$399,$D21)))</f>
        <v/>
      </c>
      <c r="EK21" s="411" t="str">
        <f>IF($D21="","",IF($D21='Match Day Reports'!$H$379,"Yes",""))</f>
        <v/>
      </c>
      <c r="EL21" s="97"/>
      <c r="EM21" s="97"/>
      <c r="EN21" s="412" t="str">
        <f>IF($D21="","",IF(COUNTIFS('Match Day Reports'!$C$409:$C$426,$D21)=0,"",SUMIFS('Match Day Reports'!$I$409:$I$426,'Match Day Reports'!$C$409:$C$426,$D21)))</f>
        <v/>
      </c>
      <c r="EO21" s="411" t="str">
        <f>IF($D21="","",IF($D21='Match Day Reports'!$H$406,"Yes",""))</f>
        <v/>
      </c>
      <c r="EP21" s="97"/>
      <c r="EQ21" s="97"/>
      <c r="ER21" s="412" t="str">
        <f>IF($D21="","",IF(COUNTIFS('Match Day Reports'!$C$436:$C$453,$D21)=0,"",SUMIFS('Match Day Reports'!$I$436:$I$453,'Match Day Reports'!$C$436:$C$453,$D21)))</f>
        <v/>
      </c>
      <c r="ES21" s="411" t="str">
        <f>IF($D21="","",IF($D21='Match Day Reports'!$H$433,"Yes",""))</f>
        <v/>
      </c>
      <c r="ET21" s="97"/>
      <c r="EU21" s="97"/>
      <c r="EV21" s="412" t="str">
        <f>IF($D21="","",IF(COUNTIFS('Match Day Reports'!$C$463:$C$480,$D21)=0,"",SUMIFS('Match Day Reports'!$I$463:$I$480,'Match Day Reports'!$C$463:$C$480,$D21)))</f>
        <v/>
      </c>
      <c r="EW21" s="411" t="str">
        <f>IF($D21="","",IF($D21='Match Day Reports'!$H$460,"Yes",""))</f>
        <v/>
      </c>
      <c r="EX21" s="97"/>
      <c r="EY21" s="97"/>
      <c r="EZ21" s="412" t="str">
        <f>IF($D21="","",IF(COUNTIFS('Match Day Reports'!$C$490:$C$507,$D21)=0,"",SUMIFS('Match Day Reports'!$I$490:$I$507,'Match Day Reports'!$C$490:$C$507,$D21)))</f>
        <v/>
      </c>
      <c r="FA21" s="411" t="str">
        <f>IF($D21="","",IF($D21='Match Day Reports'!$H$487,"Yes",""))</f>
        <v/>
      </c>
      <c r="FB21" s="97"/>
      <c r="FC21" s="97"/>
      <c r="FD21" s="412" t="str">
        <f>IF($D21="","",IF(COUNTIFS('Match Day Reports'!$C$517:$C$534,$D21)=0,"",SUMIFS('Match Day Reports'!$I$517:$I$534,'Match Day Reports'!$C$517:$C$534,$D21)))</f>
        <v/>
      </c>
      <c r="FE21" s="411" t="str">
        <f>IF($D21="","",IF($D21='Match Day Reports'!$H$514,"Yes",""))</f>
        <v/>
      </c>
      <c r="FF21" s="97"/>
      <c r="FG21" s="97"/>
      <c r="FH21" s="412" t="str">
        <f>IF($D21="","",IF(COUNTIFS('Match Day Reports'!$C$544:$C$561,$D21)=0,"",SUMIFS('Match Day Reports'!$I$544:$I$561,'Match Day Reports'!$C$544:$C$561,$D21)))</f>
        <v/>
      </c>
      <c r="FI21" s="411" t="str">
        <f>IF($D21="","",IF($D21='Match Day Reports'!$H$541,"Yes",""))</f>
        <v/>
      </c>
      <c r="FJ21" s="97"/>
      <c r="FK21" s="97"/>
      <c r="FL21" s="412" t="str">
        <f>IF($D21="","",IF(COUNTIFS('Match Day Reports'!$C$571:$C$588,$D21)=0,"",SUMIFS('Match Day Reports'!$I$571:$I$588,'Match Day Reports'!$C$571:$C$588,$D21)))</f>
        <v/>
      </c>
      <c r="FM21" s="411" t="str">
        <f>IF($D21="","",IF($D21='Match Day Reports'!$H$568,"Yes",""))</f>
        <v/>
      </c>
      <c r="FN21" s="97"/>
      <c r="FO21" s="97"/>
      <c r="FP21" s="412" t="str">
        <f>IF($D21="","",IF(COUNTIFS('Match Day Reports'!$C$598:$C$615,$D21)=0,"",SUMIFS('Match Day Reports'!$I$598:$I$615,'Match Day Reports'!$C$598:$C$615,$D21)))</f>
        <v/>
      </c>
      <c r="FQ21" s="411" t="str">
        <f>IF($D21="","",IF($D21='Match Day Reports'!$H$595,"Yes",""))</f>
        <v/>
      </c>
      <c r="FR21" s="97"/>
      <c r="FS21" s="97"/>
      <c r="FT21" s="412" t="str">
        <f>IF($D21="","",IF(COUNTIFS('Match Day Reports'!$C$625:$C$642,$D21)=0,"",SUMIFS('Match Day Reports'!$I$625:$I$642,'Match Day Reports'!$C$625:$C$642,$D21)))</f>
        <v/>
      </c>
      <c r="FU21" s="411" t="str">
        <f>IF($D21="","",IF($D21='Match Day Reports'!$H$622,"Yes",""))</f>
        <v/>
      </c>
      <c r="FV21" s="97"/>
      <c r="FW21" s="97"/>
      <c r="FX21" s="412" t="str">
        <f>IF($D21="","",IF(COUNTIFS('Match Day Reports'!$C$652:$C$669,$D21)=0,"",SUMIFS('Match Day Reports'!$I$652:$I$669,'Match Day Reports'!$C$652:$C$669,$D21)))</f>
        <v/>
      </c>
      <c r="FY21" s="411" t="str">
        <f>IF($D21="","",IF($D21='Match Day Reports'!$H$649,"Yes",""))</f>
        <v/>
      </c>
      <c r="GA21" s="98">
        <f t="shared" si="0"/>
        <v>3</v>
      </c>
      <c r="GB21" s="99" cm="1">
        <f t="array" ref="GB21">IF($D21="","",SUMPRODUCT(($E$4:$CN$4="Att")*((($E$3:$CN$3&lt;&gt;"")+($E21:$CN21="Yes")+($E21:$CN21="No"))&gt;0)))</f>
        <v>3</v>
      </c>
      <c r="GC21" s="100">
        <f t="shared" si="9"/>
        <v>1</v>
      </c>
      <c r="GD21" s="35">
        <f t="shared" si="1"/>
        <v>3</v>
      </c>
      <c r="GE21" s="100">
        <f t="shared" si="10"/>
        <v>0.6</v>
      </c>
      <c r="GF21" s="99">
        <f t="array" ref="GF21">IF($D21="","",SUMPRODUCT(($CP$4:$FY$4="Att")*($CP$2:$FY$2&lt;&gt;"")*($CP21:$FY21&lt;&gt;"N-A")*($CP21:$FY21&lt;&gt;"")))</f>
        <v>0</v>
      </c>
      <c r="GG21" s="99">
        <f t="shared" si="2"/>
        <v>0</v>
      </c>
      <c r="GH21" s="100" t="str">
        <f t="shared" si="11"/>
        <v/>
      </c>
      <c r="GI21" s="99">
        <f t="shared" si="3"/>
        <v>0</v>
      </c>
      <c r="GJ21" s="35" t="str">
        <f t="shared" si="4"/>
        <v/>
      </c>
      <c r="GK21" s="35">
        <f t="shared" si="5"/>
        <v>7.5</v>
      </c>
      <c r="GL21" s="100">
        <f t="shared" si="12"/>
        <v>0.75</v>
      </c>
      <c r="GM21" s="99">
        <f t="shared" si="6"/>
        <v>0</v>
      </c>
      <c r="GN21" s="101">
        <f t="shared" si="7"/>
        <v>0.76666666666666661</v>
      </c>
      <c r="GO21" s="102" t="str">
        <f t="shared" si="8"/>
        <v>Mariana Soares</v>
      </c>
      <c r="GP21" s="103"/>
      <c r="GQ21" s="103"/>
      <c r="GR21" s="103"/>
      <c r="GS21" s="104"/>
    </row>
    <row r="22" spans="2:201" ht="14.25" customHeight="1" x14ac:dyDescent="0.45">
      <c r="B22" s="501" t="s">
        <v>93</v>
      </c>
      <c r="C22" s="60">
        <v>18</v>
      </c>
      <c r="D22" s="105" t="s">
        <v>500</v>
      </c>
      <c r="E22" s="97" t="s">
        <v>54</v>
      </c>
      <c r="F22" s="97">
        <v>3</v>
      </c>
      <c r="G22" s="97" t="s">
        <v>54</v>
      </c>
      <c r="H22" s="97">
        <v>3</v>
      </c>
      <c r="I22" s="97" t="s">
        <v>54</v>
      </c>
      <c r="J22" s="97">
        <v>3</v>
      </c>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P22" s="97"/>
      <c r="CQ22" s="97"/>
      <c r="CR22" s="412">
        <f>IF($D22="","",IF(COUNTIFS('Match Day Reports'!$C$85:$C$102,$D22)=0,"",SUMIFS('Match Day Reports'!$I$85:$I$102,'Match Day Reports'!$C$85:$C$102,$D22)))</f>
        <v>8.5</v>
      </c>
      <c r="CS22" s="411" t="str">
        <f>IF($D22="","",IF($D22='Match Day Reports'!$H$82,"Yes",""))</f>
        <v/>
      </c>
      <c r="CT22" s="97"/>
      <c r="CU22" s="97"/>
      <c r="CV22" s="412" t="str">
        <f>IF($D22="","",IF(COUNTIFS('Match Day Reports'!$C$112:$C$129,$D22)=0,"",SUMIFS('Match Day Reports'!$I$112:$I$129,'Match Day Reports'!$C$112:$C$129,$D22)))</f>
        <v/>
      </c>
      <c r="CW22" s="411" t="str">
        <f>IF($D22="","",IF($D22='Match Day Reports'!$H$109,"Yes",""))</f>
        <v/>
      </c>
      <c r="CX22" s="97"/>
      <c r="CY22" s="97"/>
      <c r="CZ22" s="412" t="str">
        <f>IF($D22="","",IF(COUNTIFS('Match Day Reports'!$C$139:$C$156,$D22)=0,"",SUMIFS('Match Day Reports'!$I$139:$I$156,'Match Day Reports'!$C$139:$C$156,$D22)))</f>
        <v/>
      </c>
      <c r="DA22" s="411" t="str">
        <f>IF($D22="","",IF($D22='Match Day Reports'!$H$136,"Yes",""))</f>
        <v/>
      </c>
      <c r="DB22" s="97"/>
      <c r="DC22" s="97"/>
      <c r="DD22" s="412" t="str">
        <f>IF($D22="","",IF(COUNTIFS('Match Day Reports'!$C$166:$C$183,$D22)=0,"",SUMIFS('Match Day Reports'!$I$166:$I$183,'Match Day Reports'!$C$166:$C$183,$D22)))</f>
        <v/>
      </c>
      <c r="DE22" s="411" t="str">
        <f>IF($D22="","",IF($D22='Match Day Reports'!$H$163,"Yes",""))</f>
        <v/>
      </c>
      <c r="DF22" s="97"/>
      <c r="DG22" s="97"/>
      <c r="DH22" s="412" t="str">
        <f>IF($D22="","",IF(COUNTIFS('Match Day Reports'!$C$193:$C$210,$D22)=0,"",SUMIFS('Match Day Reports'!$I$193:$I$210,'Match Day Reports'!$C$193:$C$210,$D22)))</f>
        <v/>
      </c>
      <c r="DI22" s="411" t="str">
        <f>IF($D22="","",IF($D22='Match Day Reports'!$H$190,"Yes",""))</f>
        <v/>
      </c>
      <c r="DJ22" s="97"/>
      <c r="DK22" s="97"/>
      <c r="DL22" s="412" t="str">
        <f>IF($D22="","",IF(COUNTIFS('Match Day Reports'!$C$220:$C$237,$D22)=0,"",SUMIFS('Match Day Reports'!$I$220:$I$237,'Match Day Reports'!$C$220:$C$237,$D22)))</f>
        <v/>
      </c>
      <c r="DM22" s="411" t="str">
        <f>IF($D22="","",IF($D22='Match Day Reports'!$H$217,"Yes",""))</f>
        <v/>
      </c>
      <c r="DN22" s="97"/>
      <c r="DO22" s="97"/>
      <c r="DP22" s="412" t="str">
        <f>IF($D22="","",IF(COUNTIFS('Match Day Reports'!$C$247:$C$264,$D22)=0,"",SUMIFS('Match Day Reports'!$I$247:$I$264,'Match Day Reports'!$C$247:$C$264,$D22)))</f>
        <v/>
      </c>
      <c r="DQ22" s="411" t="str">
        <f>IF($D22="","",IF($D22='Match Day Reports'!$H$244,"Yes",""))</f>
        <v/>
      </c>
      <c r="DR22" s="97"/>
      <c r="DS22" s="97"/>
      <c r="DT22" s="412" t="str">
        <f>IF($D22="","",IF(COUNTIFS('Match Day Reports'!$C$274:$C$291,$D22)=0,"",SUMIFS('Match Day Reports'!$I$274:$I$291,'Match Day Reports'!$C$274:$C$291,$D22)))</f>
        <v/>
      </c>
      <c r="DU22" s="411" t="str">
        <f>IF($D22="","",IF($D22='Match Day Reports'!$H$271,"Yes",""))</f>
        <v/>
      </c>
      <c r="DV22" s="97"/>
      <c r="DW22" s="97"/>
      <c r="DX22" s="412" t="str">
        <f>IF($D22="","",IF(COUNTIFS('Match Day Reports'!$C$301:$C$318,$D22)=0,"",SUMIFS('Match Day Reports'!$I$301:$I$318,'Match Day Reports'!$C$301:$C$318,$D22)))</f>
        <v/>
      </c>
      <c r="DY22" s="411" t="str">
        <f>IF($D22="","",IF($D22='Match Day Reports'!$H$298,"Yes",""))</f>
        <v/>
      </c>
      <c r="DZ22" s="97"/>
      <c r="EA22" s="97"/>
      <c r="EB22" s="412" t="str">
        <f>IF($D22="","",IF(COUNTIFS('Match Day Reports'!$C$328:$C$345,$D22)=0,"",SUMIFS('Match Day Reports'!$I$328:$I$345,'Match Day Reports'!$C$328:$C$345,$D22)))</f>
        <v/>
      </c>
      <c r="EC22" s="411" t="str">
        <f>IF($D22="","",IF($D22='Match Day Reports'!$H$325,"Yes",""))</f>
        <v/>
      </c>
      <c r="ED22" s="97"/>
      <c r="EE22" s="97"/>
      <c r="EF22" s="412" t="str">
        <f>IF($D22="","",IF(COUNTIFS('Match Day Reports'!$C$355:$C$372,$D22)=0,"",SUMIFS('Match Day Reports'!$I$355:$I$372,'Match Day Reports'!$C$355:$C$372,$D22)))</f>
        <v/>
      </c>
      <c r="EG22" s="411" t="str">
        <f>IF($D22="","",IF($D22='Match Day Reports'!$H$352,"Yes",""))</f>
        <v/>
      </c>
      <c r="EH22" s="97"/>
      <c r="EI22" s="97"/>
      <c r="EJ22" s="412" t="str">
        <f>IF($D22="","",IF(COUNTIFS('Match Day Reports'!$C$382:$C$399,$D22)=0,"",SUMIFS('Match Day Reports'!$I$382:$I$399,'Match Day Reports'!$C$382:$C$399,$D22)))</f>
        <v/>
      </c>
      <c r="EK22" s="411" t="str">
        <f>IF($D22="","",IF($D22='Match Day Reports'!$H$379,"Yes",""))</f>
        <v/>
      </c>
      <c r="EL22" s="97"/>
      <c r="EM22" s="97"/>
      <c r="EN22" s="412" t="str">
        <f>IF($D22="","",IF(COUNTIFS('Match Day Reports'!$C$409:$C$426,$D22)=0,"",SUMIFS('Match Day Reports'!$I$409:$I$426,'Match Day Reports'!$C$409:$C$426,$D22)))</f>
        <v/>
      </c>
      <c r="EO22" s="411" t="str">
        <f>IF($D22="","",IF($D22='Match Day Reports'!$H$406,"Yes",""))</f>
        <v/>
      </c>
      <c r="EP22" s="97"/>
      <c r="EQ22" s="97"/>
      <c r="ER22" s="412" t="str">
        <f>IF($D22="","",IF(COUNTIFS('Match Day Reports'!$C$436:$C$453,$D22)=0,"",SUMIFS('Match Day Reports'!$I$436:$I$453,'Match Day Reports'!$C$436:$C$453,$D22)))</f>
        <v/>
      </c>
      <c r="ES22" s="411" t="str">
        <f>IF($D22="","",IF($D22='Match Day Reports'!$H$433,"Yes",""))</f>
        <v/>
      </c>
      <c r="ET22" s="97"/>
      <c r="EU22" s="97"/>
      <c r="EV22" s="412" t="str">
        <f>IF($D22="","",IF(COUNTIFS('Match Day Reports'!$C$463:$C$480,$D22)=0,"",SUMIFS('Match Day Reports'!$I$463:$I$480,'Match Day Reports'!$C$463:$C$480,$D22)))</f>
        <v/>
      </c>
      <c r="EW22" s="411" t="str">
        <f>IF($D22="","",IF($D22='Match Day Reports'!$H$460,"Yes",""))</f>
        <v/>
      </c>
      <c r="EX22" s="97"/>
      <c r="EY22" s="97"/>
      <c r="EZ22" s="412" t="str">
        <f>IF($D22="","",IF(COUNTIFS('Match Day Reports'!$C$490:$C$507,$D22)=0,"",SUMIFS('Match Day Reports'!$I$490:$I$507,'Match Day Reports'!$C$490:$C$507,$D22)))</f>
        <v/>
      </c>
      <c r="FA22" s="411" t="str">
        <f>IF($D22="","",IF($D22='Match Day Reports'!$H$487,"Yes",""))</f>
        <v/>
      </c>
      <c r="FB22" s="97"/>
      <c r="FC22" s="97"/>
      <c r="FD22" s="412" t="str">
        <f>IF($D22="","",IF(COUNTIFS('Match Day Reports'!$C$517:$C$534,$D22)=0,"",SUMIFS('Match Day Reports'!$I$517:$I$534,'Match Day Reports'!$C$517:$C$534,$D22)))</f>
        <v/>
      </c>
      <c r="FE22" s="411" t="str">
        <f>IF($D22="","",IF($D22='Match Day Reports'!$H$514,"Yes",""))</f>
        <v/>
      </c>
      <c r="FF22" s="97"/>
      <c r="FG22" s="97"/>
      <c r="FH22" s="412" t="str">
        <f>IF($D22="","",IF(COUNTIFS('Match Day Reports'!$C$544:$C$561,$D22)=0,"",SUMIFS('Match Day Reports'!$I$544:$I$561,'Match Day Reports'!$C$544:$C$561,$D22)))</f>
        <v/>
      </c>
      <c r="FI22" s="411" t="str">
        <f>IF($D22="","",IF($D22='Match Day Reports'!$H$541,"Yes",""))</f>
        <v/>
      </c>
      <c r="FJ22" s="97"/>
      <c r="FK22" s="97"/>
      <c r="FL22" s="412" t="str">
        <f>IF($D22="","",IF(COUNTIFS('Match Day Reports'!$C$571:$C$588,$D22)=0,"",SUMIFS('Match Day Reports'!$I$571:$I$588,'Match Day Reports'!$C$571:$C$588,$D22)))</f>
        <v/>
      </c>
      <c r="FM22" s="411" t="str">
        <f>IF($D22="","",IF($D22='Match Day Reports'!$H$568,"Yes",""))</f>
        <v/>
      </c>
      <c r="FN22" s="97"/>
      <c r="FO22" s="97"/>
      <c r="FP22" s="412" t="str">
        <f>IF($D22="","",IF(COUNTIFS('Match Day Reports'!$C$598:$C$615,$D22)=0,"",SUMIFS('Match Day Reports'!$I$598:$I$615,'Match Day Reports'!$C$598:$C$615,$D22)))</f>
        <v/>
      </c>
      <c r="FQ22" s="411" t="str">
        <f>IF($D22="","",IF($D22='Match Day Reports'!$H$595,"Yes",""))</f>
        <v/>
      </c>
      <c r="FR22" s="97"/>
      <c r="FS22" s="97"/>
      <c r="FT22" s="412" t="str">
        <f>IF($D22="","",IF(COUNTIFS('Match Day Reports'!$C$625:$C$642,$D22)=0,"",SUMIFS('Match Day Reports'!$I$625:$I$642,'Match Day Reports'!$C$625:$C$642,$D22)))</f>
        <v/>
      </c>
      <c r="FU22" s="411" t="str">
        <f>IF($D22="","",IF($D22='Match Day Reports'!$H$622,"Yes",""))</f>
        <v/>
      </c>
      <c r="FV22" s="97"/>
      <c r="FW22" s="97"/>
      <c r="FX22" s="412" t="str">
        <f>IF($D22="","",IF(COUNTIFS('Match Day Reports'!$C$652:$C$669,$D22)=0,"",SUMIFS('Match Day Reports'!$I$652:$I$669,'Match Day Reports'!$C$652:$C$669,$D22)))</f>
        <v/>
      </c>
      <c r="FY22" s="411" t="str">
        <f>IF($D22="","",IF($D22='Match Day Reports'!$H$649,"Yes",""))</f>
        <v/>
      </c>
      <c r="GA22" s="106">
        <f t="shared" si="0"/>
        <v>3</v>
      </c>
      <c r="GB22" s="107" cm="1">
        <f t="array" ref="GB22">IF($D22="","",SUMPRODUCT(($E$4:$CN$4="Att")*((($E$3:$CN$3&lt;&gt;"")+($E22:$CN22="Yes")+($E22:$CN22="No"))&gt;0)))</f>
        <v>3</v>
      </c>
      <c r="GC22" s="108">
        <f t="shared" si="9"/>
        <v>1</v>
      </c>
      <c r="GD22" s="109">
        <f t="shared" si="1"/>
        <v>3</v>
      </c>
      <c r="GE22" s="108">
        <f t="shared" si="10"/>
        <v>0.6</v>
      </c>
      <c r="GF22" s="107">
        <f t="array" ref="GF22">IF($D22="","",SUMPRODUCT(($CP$4:$FY$4="Att")*($CP$2:$FY$2&lt;&gt;"")*($CP22:$FY22&lt;&gt;"N-A")*($CP22:$FY22&lt;&gt;"")))</f>
        <v>0</v>
      </c>
      <c r="GG22" s="107">
        <f t="shared" si="2"/>
        <v>0</v>
      </c>
      <c r="GH22" s="108" t="str">
        <f t="shared" si="11"/>
        <v/>
      </c>
      <c r="GI22" s="107">
        <f t="shared" si="3"/>
        <v>0</v>
      </c>
      <c r="GJ22" s="109" t="str">
        <f t="shared" si="4"/>
        <v/>
      </c>
      <c r="GK22" s="109">
        <f t="shared" si="5"/>
        <v>8.5</v>
      </c>
      <c r="GL22" s="108">
        <f t="shared" si="12"/>
        <v>0.85</v>
      </c>
      <c r="GM22" s="107">
        <f t="shared" si="6"/>
        <v>0</v>
      </c>
      <c r="GN22" s="110">
        <f t="shared" si="7"/>
        <v>0.76666666666666661</v>
      </c>
      <c r="GO22" s="111" t="str">
        <f t="shared" si="8"/>
        <v>Rama Abuowda</v>
      </c>
      <c r="GP22" s="103"/>
      <c r="GQ22" s="103"/>
      <c r="GR22" s="103"/>
      <c r="GS22" s="104"/>
    </row>
    <row r="23" spans="2:201" x14ac:dyDescent="0.45">
      <c r="B23" s="501"/>
      <c r="C23" s="60">
        <v>19</v>
      </c>
      <c r="D23" s="105"/>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P23" s="97"/>
      <c r="CQ23" s="97"/>
      <c r="CR23" s="412" t="str">
        <f>IF($D23="","",IF(COUNTIFS('Match Day Reports'!$C$85:$C$102,$D23)=0,"",SUMIFS('Match Day Reports'!$I$85:$I$102,'Match Day Reports'!$C$85:$C$102,$D23)))</f>
        <v/>
      </c>
      <c r="CS23" s="411" t="str">
        <f>IF($D23="","",IF($D23='Match Day Reports'!$H$82,"Yes",""))</f>
        <v/>
      </c>
      <c r="CT23" s="97"/>
      <c r="CU23" s="97"/>
      <c r="CV23" s="412" t="str">
        <f>IF($D23="","",IF(COUNTIFS('Match Day Reports'!$C$112:$C$129,$D23)=0,"",SUMIFS('Match Day Reports'!$I$112:$I$129,'Match Day Reports'!$C$112:$C$129,$D23)))</f>
        <v/>
      </c>
      <c r="CW23" s="411" t="str">
        <f>IF($D23="","",IF($D23='Match Day Reports'!$H$109,"Yes",""))</f>
        <v/>
      </c>
      <c r="CX23" s="97"/>
      <c r="CY23" s="97"/>
      <c r="CZ23" s="412" t="str">
        <f>IF($D23="","",IF(COUNTIFS('Match Day Reports'!$C$139:$C$156,$D23)=0,"",SUMIFS('Match Day Reports'!$I$139:$I$156,'Match Day Reports'!$C$139:$C$156,$D23)))</f>
        <v/>
      </c>
      <c r="DA23" s="411" t="str">
        <f>IF($D23="","",IF($D23='Match Day Reports'!$H$136,"Yes",""))</f>
        <v/>
      </c>
      <c r="DB23" s="97"/>
      <c r="DC23" s="97"/>
      <c r="DD23" s="412" t="str">
        <f>IF($D23="","",IF(COUNTIFS('Match Day Reports'!$C$166:$C$183,$D23)=0,"",SUMIFS('Match Day Reports'!$I$166:$I$183,'Match Day Reports'!$C$166:$C$183,$D23)))</f>
        <v/>
      </c>
      <c r="DE23" s="411" t="str">
        <f>IF($D23="","",IF($D23='Match Day Reports'!$H$163,"Yes",""))</f>
        <v/>
      </c>
      <c r="DF23" s="97"/>
      <c r="DG23" s="97"/>
      <c r="DH23" s="412" t="str">
        <f>IF($D23="","",IF(COUNTIFS('Match Day Reports'!$C$193:$C$210,$D23)=0,"",SUMIFS('Match Day Reports'!$I$193:$I$210,'Match Day Reports'!$C$193:$C$210,$D23)))</f>
        <v/>
      </c>
      <c r="DI23" s="411" t="str">
        <f>IF($D23="","",IF($D23='Match Day Reports'!$H$190,"Yes",""))</f>
        <v/>
      </c>
      <c r="DJ23" s="97"/>
      <c r="DK23" s="97"/>
      <c r="DL23" s="412" t="str">
        <f>IF($D23="","",IF(COUNTIFS('Match Day Reports'!$C$220:$C$237,$D23)=0,"",SUMIFS('Match Day Reports'!$I$220:$I$237,'Match Day Reports'!$C$220:$C$237,$D23)))</f>
        <v/>
      </c>
      <c r="DM23" s="411" t="str">
        <f>IF($D23="","",IF($D23='Match Day Reports'!$H$217,"Yes",""))</f>
        <v/>
      </c>
      <c r="DN23" s="97"/>
      <c r="DO23" s="97"/>
      <c r="DP23" s="412" t="str">
        <f>IF($D23="","",IF(COUNTIFS('Match Day Reports'!$C$247:$C$264,$D23)=0,"",SUMIFS('Match Day Reports'!$I$247:$I$264,'Match Day Reports'!$C$247:$C$264,$D23)))</f>
        <v/>
      </c>
      <c r="DQ23" s="411" t="str">
        <f>IF($D23="","",IF($D23='Match Day Reports'!$H$244,"Yes",""))</f>
        <v/>
      </c>
      <c r="DR23" s="97"/>
      <c r="DS23" s="97"/>
      <c r="DT23" s="412" t="str">
        <f>IF($D23="","",IF(COUNTIFS('Match Day Reports'!$C$274:$C$291,$D23)=0,"",SUMIFS('Match Day Reports'!$I$274:$I$291,'Match Day Reports'!$C$274:$C$291,$D23)))</f>
        <v/>
      </c>
      <c r="DU23" s="411" t="str">
        <f>IF($D23="","",IF($D23='Match Day Reports'!$H$271,"Yes",""))</f>
        <v/>
      </c>
      <c r="DV23" s="97"/>
      <c r="DW23" s="97"/>
      <c r="DX23" s="412" t="str">
        <f>IF($D23="","",IF(COUNTIFS('Match Day Reports'!$C$301:$C$318,$D23)=0,"",SUMIFS('Match Day Reports'!$I$301:$I$318,'Match Day Reports'!$C$301:$C$318,$D23)))</f>
        <v/>
      </c>
      <c r="DY23" s="411" t="str">
        <f>IF($D23="","",IF($D23='Match Day Reports'!$H$298,"Yes",""))</f>
        <v/>
      </c>
      <c r="DZ23" s="97"/>
      <c r="EA23" s="97"/>
      <c r="EB23" s="412" t="str">
        <f>IF($D23="","",IF(COUNTIFS('Match Day Reports'!$C$328:$C$345,$D23)=0,"",SUMIFS('Match Day Reports'!$I$328:$I$345,'Match Day Reports'!$C$328:$C$345,$D23)))</f>
        <v/>
      </c>
      <c r="EC23" s="411" t="str">
        <f>IF($D23="","",IF($D23='Match Day Reports'!$H$325,"Yes",""))</f>
        <v/>
      </c>
      <c r="ED23" s="97"/>
      <c r="EE23" s="97"/>
      <c r="EF23" s="412" t="str">
        <f>IF($D23="","",IF(COUNTIFS('Match Day Reports'!$C$355:$C$372,$D23)=0,"",SUMIFS('Match Day Reports'!$I$355:$I$372,'Match Day Reports'!$C$355:$C$372,$D23)))</f>
        <v/>
      </c>
      <c r="EG23" s="411" t="str">
        <f>IF($D23="","",IF($D23='Match Day Reports'!$H$352,"Yes",""))</f>
        <v/>
      </c>
      <c r="EH23" s="97"/>
      <c r="EI23" s="97"/>
      <c r="EJ23" s="412" t="str">
        <f>IF($D23="","",IF(COUNTIFS('Match Day Reports'!$C$382:$C$399,$D23)=0,"",SUMIFS('Match Day Reports'!$I$382:$I$399,'Match Day Reports'!$C$382:$C$399,$D23)))</f>
        <v/>
      </c>
      <c r="EK23" s="411" t="str">
        <f>IF($D23="","",IF($D23='Match Day Reports'!$H$379,"Yes",""))</f>
        <v/>
      </c>
      <c r="EL23" s="97"/>
      <c r="EM23" s="97"/>
      <c r="EN23" s="412" t="str">
        <f>IF($D23="","",IF(COUNTIFS('Match Day Reports'!$C$409:$C$426,$D23)=0,"",SUMIFS('Match Day Reports'!$I$409:$I$426,'Match Day Reports'!$C$409:$C$426,$D23)))</f>
        <v/>
      </c>
      <c r="EO23" s="411" t="str">
        <f>IF($D23="","",IF($D23='Match Day Reports'!$H$406,"Yes",""))</f>
        <v/>
      </c>
      <c r="EP23" s="97"/>
      <c r="EQ23" s="97"/>
      <c r="ER23" s="412" t="str">
        <f>IF($D23="","",IF(COUNTIFS('Match Day Reports'!$C$436:$C$453,$D23)=0,"",SUMIFS('Match Day Reports'!$I$436:$I$453,'Match Day Reports'!$C$436:$C$453,$D23)))</f>
        <v/>
      </c>
      <c r="ES23" s="411" t="str">
        <f>IF($D23="","",IF($D23='Match Day Reports'!$H$433,"Yes",""))</f>
        <v/>
      </c>
      <c r="ET23" s="97"/>
      <c r="EU23" s="97"/>
      <c r="EV23" s="412" t="str">
        <f>IF($D23="","",IF(COUNTIFS('Match Day Reports'!$C$463:$C$480,$D23)=0,"",SUMIFS('Match Day Reports'!$I$463:$I$480,'Match Day Reports'!$C$463:$C$480,$D23)))</f>
        <v/>
      </c>
      <c r="EW23" s="411" t="str">
        <f>IF($D23="","",IF($D23='Match Day Reports'!$H$460,"Yes",""))</f>
        <v/>
      </c>
      <c r="EX23" s="97"/>
      <c r="EY23" s="97"/>
      <c r="EZ23" s="412" t="str">
        <f>IF($D23="","",IF(COUNTIFS('Match Day Reports'!$C$490:$C$507,$D23)=0,"",SUMIFS('Match Day Reports'!$I$490:$I$507,'Match Day Reports'!$C$490:$C$507,$D23)))</f>
        <v/>
      </c>
      <c r="FA23" s="411" t="str">
        <f>IF($D23="","",IF($D23='Match Day Reports'!$H$487,"Yes",""))</f>
        <v/>
      </c>
      <c r="FB23" s="97"/>
      <c r="FC23" s="97"/>
      <c r="FD23" s="412" t="str">
        <f>IF($D23="","",IF(COUNTIFS('Match Day Reports'!$C$517:$C$534,$D23)=0,"",SUMIFS('Match Day Reports'!$I$517:$I$534,'Match Day Reports'!$C$517:$C$534,$D23)))</f>
        <v/>
      </c>
      <c r="FE23" s="411" t="str">
        <f>IF($D23="","",IF($D23='Match Day Reports'!$H$514,"Yes",""))</f>
        <v/>
      </c>
      <c r="FF23" s="97"/>
      <c r="FG23" s="97"/>
      <c r="FH23" s="412" t="str">
        <f>IF($D23="","",IF(COUNTIFS('Match Day Reports'!$C$544:$C$561,$D23)=0,"",SUMIFS('Match Day Reports'!$I$544:$I$561,'Match Day Reports'!$C$544:$C$561,$D23)))</f>
        <v/>
      </c>
      <c r="FI23" s="411" t="str">
        <f>IF($D23="","",IF($D23='Match Day Reports'!$H$541,"Yes",""))</f>
        <v/>
      </c>
      <c r="FJ23" s="97"/>
      <c r="FK23" s="97"/>
      <c r="FL23" s="412" t="str">
        <f>IF($D23="","",IF(COUNTIFS('Match Day Reports'!$C$571:$C$588,$D23)=0,"",SUMIFS('Match Day Reports'!$I$571:$I$588,'Match Day Reports'!$C$571:$C$588,$D23)))</f>
        <v/>
      </c>
      <c r="FM23" s="411" t="str">
        <f>IF($D23="","",IF($D23='Match Day Reports'!$H$568,"Yes",""))</f>
        <v/>
      </c>
      <c r="FN23" s="97"/>
      <c r="FO23" s="97"/>
      <c r="FP23" s="412" t="str">
        <f>IF($D23="","",IF(COUNTIFS('Match Day Reports'!$C$598:$C$615,$D23)=0,"",SUMIFS('Match Day Reports'!$I$598:$I$615,'Match Day Reports'!$C$598:$C$615,$D23)))</f>
        <v/>
      </c>
      <c r="FQ23" s="411" t="str">
        <f>IF($D23="","",IF($D23='Match Day Reports'!$H$595,"Yes",""))</f>
        <v/>
      </c>
      <c r="FR23" s="97"/>
      <c r="FS23" s="97"/>
      <c r="FT23" s="412" t="str">
        <f>IF($D23="","",IF(COUNTIFS('Match Day Reports'!$C$625:$C$642,$D23)=0,"",SUMIFS('Match Day Reports'!$I$625:$I$642,'Match Day Reports'!$C$625:$C$642,$D23)))</f>
        <v/>
      </c>
      <c r="FU23" s="411" t="str">
        <f>IF($D23="","",IF($D23='Match Day Reports'!$H$622,"Yes",""))</f>
        <v/>
      </c>
      <c r="FV23" s="97"/>
      <c r="FW23" s="97"/>
      <c r="FX23" s="412" t="str">
        <f>IF($D23="","",IF(COUNTIFS('Match Day Reports'!$C$652:$C$669,$D23)=0,"",SUMIFS('Match Day Reports'!$I$652:$I$669,'Match Day Reports'!$C$652:$C$669,$D23)))</f>
        <v/>
      </c>
      <c r="FY23" s="411" t="str">
        <f>IF($D23="","",IF($D23='Match Day Reports'!$H$649,"Yes",""))</f>
        <v/>
      </c>
      <c r="GA23" s="98" t="str">
        <f t="shared" si="0"/>
        <v/>
      </c>
      <c r="GB23" s="99" t="str" cm="1">
        <f t="array" ref="GB23">IF($D23="","",SUMPRODUCT(($E$4:$CN$4="Att")*((($E$3:$CN$3&lt;&gt;"")+($E23:$CN23="Yes")+($E23:$CN23="No"))&gt;0)))</f>
        <v/>
      </c>
      <c r="GC23" s="100" t="str">
        <f t="shared" si="9"/>
        <v/>
      </c>
      <c r="GD23" s="35" t="str">
        <f t="shared" si="1"/>
        <v/>
      </c>
      <c r="GE23" s="100" t="str">
        <f t="shared" si="10"/>
        <v/>
      </c>
      <c r="GF23" s="99" t="str">
        <f t="array" ref="GF23">IF($D23="","",SUMPRODUCT(($CP$4:$FY$4="Att")*($CP$2:$FY$2&lt;&gt;"")*($CP23:$FY23&lt;&gt;"N-A")*($CP23:$FY23&lt;&gt;"")))</f>
        <v/>
      </c>
      <c r="GG23" s="99" t="str">
        <f t="shared" si="2"/>
        <v/>
      </c>
      <c r="GH23" s="100" t="str">
        <f t="shared" si="11"/>
        <v/>
      </c>
      <c r="GI23" s="99" t="str">
        <f t="shared" si="3"/>
        <v/>
      </c>
      <c r="GJ23" s="35" t="str">
        <f t="shared" si="4"/>
        <v/>
      </c>
      <c r="GK23" s="35" t="str">
        <f t="shared" si="5"/>
        <v/>
      </c>
      <c r="GL23" s="100" t="str">
        <f t="shared" si="12"/>
        <v/>
      </c>
      <c r="GM23" s="99" t="str">
        <f t="shared" si="6"/>
        <v/>
      </c>
      <c r="GN23" s="101" t="str">
        <f t="shared" si="7"/>
        <v/>
      </c>
      <c r="GO23" s="102" t="str">
        <f t="shared" si="8"/>
        <v/>
      </c>
      <c r="GP23" s="103"/>
      <c r="GQ23" s="103"/>
      <c r="GR23" s="103"/>
      <c r="GS23" s="104"/>
    </row>
    <row r="24" spans="2:201" x14ac:dyDescent="0.45">
      <c r="B24" s="501"/>
      <c r="C24" s="60">
        <v>20</v>
      </c>
      <c r="D24" s="105"/>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P24" s="97"/>
      <c r="CQ24" s="97"/>
      <c r="CR24" s="412" t="str">
        <f>IF($D24="","",IF(COUNTIFS('Match Day Reports'!$C$85:$C$102,$D24)=0,"",SUMIFS('Match Day Reports'!$I$85:$I$102,'Match Day Reports'!$C$85:$C$102,$D24)))</f>
        <v/>
      </c>
      <c r="CS24" s="411" t="str">
        <f>IF($D24="","",IF($D24='Match Day Reports'!$H$82,"Yes",""))</f>
        <v/>
      </c>
      <c r="CT24" s="97"/>
      <c r="CU24" s="97"/>
      <c r="CV24" s="412" t="str">
        <f>IF($D24="","",IF(COUNTIFS('Match Day Reports'!$C$112:$C$129,$D24)=0,"",SUMIFS('Match Day Reports'!$I$112:$I$129,'Match Day Reports'!$C$112:$C$129,$D24)))</f>
        <v/>
      </c>
      <c r="CW24" s="411" t="str">
        <f>IF($D24="","",IF($D24='Match Day Reports'!$H$109,"Yes",""))</f>
        <v/>
      </c>
      <c r="CX24" s="97"/>
      <c r="CY24" s="97"/>
      <c r="CZ24" s="412" t="str">
        <f>IF($D24="","",IF(COUNTIFS('Match Day Reports'!$C$139:$C$156,$D24)=0,"",SUMIFS('Match Day Reports'!$I$139:$I$156,'Match Day Reports'!$C$139:$C$156,$D24)))</f>
        <v/>
      </c>
      <c r="DA24" s="411" t="str">
        <f>IF($D24="","",IF($D24='Match Day Reports'!$H$136,"Yes",""))</f>
        <v/>
      </c>
      <c r="DB24" s="97"/>
      <c r="DC24" s="97"/>
      <c r="DD24" s="412" t="str">
        <f>IF($D24="","",IF(COUNTIFS('Match Day Reports'!$C$166:$C$183,$D24)=0,"",SUMIFS('Match Day Reports'!$I$166:$I$183,'Match Day Reports'!$C$166:$C$183,$D24)))</f>
        <v/>
      </c>
      <c r="DE24" s="411" t="str">
        <f>IF($D24="","",IF($D24='Match Day Reports'!$H$163,"Yes",""))</f>
        <v/>
      </c>
      <c r="DF24" s="97"/>
      <c r="DG24" s="97"/>
      <c r="DH24" s="412" t="str">
        <f>IF($D24="","",IF(COUNTIFS('Match Day Reports'!$C$193:$C$210,$D24)=0,"",SUMIFS('Match Day Reports'!$I$193:$I$210,'Match Day Reports'!$C$193:$C$210,$D24)))</f>
        <v/>
      </c>
      <c r="DI24" s="411" t="str">
        <f>IF($D24="","",IF($D24='Match Day Reports'!$H$190,"Yes",""))</f>
        <v/>
      </c>
      <c r="DJ24" s="97"/>
      <c r="DK24" s="97"/>
      <c r="DL24" s="412" t="str">
        <f>IF($D24="","",IF(COUNTIFS('Match Day Reports'!$C$220:$C$237,$D24)=0,"",SUMIFS('Match Day Reports'!$I$220:$I$237,'Match Day Reports'!$C$220:$C$237,$D24)))</f>
        <v/>
      </c>
      <c r="DM24" s="411" t="str">
        <f>IF($D24="","",IF($D24='Match Day Reports'!$H$217,"Yes",""))</f>
        <v/>
      </c>
      <c r="DN24" s="97"/>
      <c r="DO24" s="97"/>
      <c r="DP24" s="412" t="str">
        <f>IF($D24="","",IF(COUNTIFS('Match Day Reports'!$C$247:$C$264,$D24)=0,"",SUMIFS('Match Day Reports'!$I$247:$I$264,'Match Day Reports'!$C$247:$C$264,$D24)))</f>
        <v/>
      </c>
      <c r="DQ24" s="411" t="str">
        <f>IF($D24="","",IF($D24='Match Day Reports'!$H$244,"Yes",""))</f>
        <v/>
      </c>
      <c r="DR24" s="97"/>
      <c r="DS24" s="97"/>
      <c r="DT24" s="412" t="str">
        <f>IF($D24="","",IF(COUNTIFS('Match Day Reports'!$C$274:$C$291,$D24)=0,"",SUMIFS('Match Day Reports'!$I$274:$I$291,'Match Day Reports'!$C$274:$C$291,$D24)))</f>
        <v/>
      </c>
      <c r="DU24" s="411" t="str">
        <f>IF($D24="","",IF($D24='Match Day Reports'!$H$271,"Yes",""))</f>
        <v/>
      </c>
      <c r="DV24" s="97"/>
      <c r="DW24" s="97"/>
      <c r="DX24" s="412" t="str">
        <f>IF($D24="","",IF(COUNTIFS('Match Day Reports'!$C$301:$C$318,$D24)=0,"",SUMIFS('Match Day Reports'!$I$301:$I$318,'Match Day Reports'!$C$301:$C$318,$D24)))</f>
        <v/>
      </c>
      <c r="DY24" s="411" t="str">
        <f>IF($D24="","",IF($D24='Match Day Reports'!$H$298,"Yes",""))</f>
        <v/>
      </c>
      <c r="DZ24" s="97"/>
      <c r="EA24" s="97"/>
      <c r="EB24" s="412" t="str">
        <f>IF($D24="","",IF(COUNTIFS('Match Day Reports'!$C$328:$C$345,$D24)=0,"",SUMIFS('Match Day Reports'!$I$328:$I$345,'Match Day Reports'!$C$328:$C$345,$D24)))</f>
        <v/>
      </c>
      <c r="EC24" s="411" t="str">
        <f>IF($D24="","",IF($D24='Match Day Reports'!$H$325,"Yes",""))</f>
        <v/>
      </c>
      <c r="ED24" s="97"/>
      <c r="EE24" s="97"/>
      <c r="EF24" s="412" t="str">
        <f>IF($D24="","",IF(COUNTIFS('Match Day Reports'!$C$355:$C$372,$D24)=0,"",SUMIFS('Match Day Reports'!$I$355:$I$372,'Match Day Reports'!$C$355:$C$372,$D24)))</f>
        <v/>
      </c>
      <c r="EG24" s="411" t="str">
        <f>IF($D24="","",IF($D24='Match Day Reports'!$H$352,"Yes",""))</f>
        <v/>
      </c>
      <c r="EH24" s="97"/>
      <c r="EI24" s="97"/>
      <c r="EJ24" s="412" t="str">
        <f>IF($D24="","",IF(COUNTIFS('Match Day Reports'!$C$382:$C$399,$D24)=0,"",SUMIFS('Match Day Reports'!$I$382:$I$399,'Match Day Reports'!$C$382:$C$399,$D24)))</f>
        <v/>
      </c>
      <c r="EK24" s="411" t="str">
        <f>IF($D24="","",IF($D24='Match Day Reports'!$H$379,"Yes",""))</f>
        <v/>
      </c>
      <c r="EL24" s="97"/>
      <c r="EM24" s="97"/>
      <c r="EN24" s="412" t="str">
        <f>IF($D24="","",IF(COUNTIFS('Match Day Reports'!$C$409:$C$426,$D24)=0,"",SUMIFS('Match Day Reports'!$I$409:$I$426,'Match Day Reports'!$C$409:$C$426,$D24)))</f>
        <v/>
      </c>
      <c r="EO24" s="411" t="str">
        <f>IF($D24="","",IF($D24='Match Day Reports'!$H$406,"Yes",""))</f>
        <v/>
      </c>
      <c r="EP24" s="97"/>
      <c r="EQ24" s="97"/>
      <c r="ER24" s="412" t="str">
        <f>IF($D24="","",IF(COUNTIFS('Match Day Reports'!$C$436:$C$453,$D24)=0,"",SUMIFS('Match Day Reports'!$I$436:$I$453,'Match Day Reports'!$C$436:$C$453,$D24)))</f>
        <v/>
      </c>
      <c r="ES24" s="411" t="str">
        <f>IF($D24="","",IF($D24='Match Day Reports'!$H$433,"Yes",""))</f>
        <v/>
      </c>
      <c r="ET24" s="97"/>
      <c r="EU24" s="97"/>
      <c r="EV24" s="412" t="str">
        <f>IF($D24="","",IF(COUNTIFS('Match Day Reports'!$C$463:$C$480,$D24)=0,"",SUMIFS('Match Day Reports'!$I$463:$I$480,'Match Day Reports'!$C$463:$C$480,$D24)))</f>
        <v/>
      </c>
      <c r="EW24" s="411" t="str">
        <f>IF($D24="","",IF($D24='Match Day Reports'!$H$460,"Yes",""))</f>
        <v/>
      </c>
      <c r="EX24" s="97"/>
      <c r="EY24" s="97"/>
      <c r="EZ24" s="412" t="str">
        <f>IF($D24="","",IF(COUNTIFS('Match Day Reports'!$C$490:$C$507,$D24)=0,"",SUMIFS('Match Day Reports'!$I$490:$I$507,'Match Day Reports'!$C$490:$C$507,$D24)))</f>
        <v/>
      </c>
      <c r="FA24" s="411" t="str">
        <f>IF($D24="","",IF($D24='Match Day Reports'!$H$487,"Yes",""))</f>
        <v/>
      </c>
      <c r="FB24" s="97"/>
      <c r="FC24" s="97"/>
      <c r="FD24" s="412" t="str">
        <f>IF($D24="","",IF(COUNTIFS('Match Day Reports'!$C$517:$C$534,$D24)=0,"",SUMIFS('Match Day Reports'!$I$517:$I$534,'Match Day Reports'!$C$517:$C$534,$D24)))</f>
        <v/>
      </c>
      <c r="FE24" s="411" t="str">
        <f>IF($D24="","",IF($D24='Match Day Reports'!$H$514,"Yes",""))</f>
        <v/>
      </c>
      <c r="FF24" s="97"/>
      <c r="FG24" s="97"/>
      <c r="FH24" s="412" t="str">
        <f>IF($D24="","",IF(COUNTIFS('Match Day Reports'!$C$544:$C$561,$D24)=0,"",SUMIFS('Match Day Reports'!$I$544:$I$561,'Match Day Reports'!$C$544:$C$561,$D24)))</f>
        <v/>
      </c>
      <c r="FI24" s="411" t="str">
        <f>IF($D24="","",IF($D24='Match Day Reports'!$H$541,"Yes",""))</f>
        <v/>
      </c>
      <c r="FJ24" s="97"/>
      <c r="FK24" s="97"/>
      <c r="FL24" s="412" t="str">
        <f>IF($D24="","",IF(COUNTIFS('Match Day Reports'!$C$571:$C$588,$D24)=0,"",SUMIFS('Match Day Reports'!$I$571:$I$588,'Match Day Reports'!$C$571:$C$588,$D24)))</f>
        <v/>
      </c>
      <c r="FM24" s="411" t="str">
        <f>IF($D24="","",IF($D24='Match Day Reports'!$H$568,"Yes",""))</f>
        <v/>
      </c>
      <c r="FN24" s="97"/>
      <c r="FO24" s="97"/>
      <c r="FP24" s="412" t="str">
        <f>IF($D24="","",IF(COUNTIFS('Match Day Reports'!$C$598:$C$615,$D24)=0,"",SUMIFS('Match Day Reports'!$I$598:$I$615,'Match Day Reports'!$C$598:$C$615,$D24)))</f>
        <v/>
      </c>
      <c r="FQ24" s="411" t="str">
        <f>IF($D24="","",IF($D24='Match Day Reports'!$H$595,"Yes",""))</f>
        <v/>
      </c>
      <c r="FR24" s="97"/>
      <c r="FS24" s="97"/>
      <c r="FT24" s="412" t="str">
        <f>IF($D24="","",IF(COUNTIFS('Match Day Reports'!$C$625:$C$642,$D24)=0,"",SUMIFS('Match Day Reports'!$I$625:$I$642,'Match Day Reports'!$C$625:$C$642,$D24)))</f>
        <v/>
      </c>
      <c r="FU24" s="411" t="str">
        <f>IF($D24="","",IF($D24='Match Day Reports'!$H$622,"Yes",""))</f>
        <v/>
      </c>
      <c r="FV24" s="97"/>
      <c r="FW24" s="97"/>
      <c r="FX24" s="412" t="str">
        <f>IF($D24="","",IF(COUNTIFS('Match Day Reports'!$C$652:$C$669,$D24)=0,"",SUMIFS('Match Day Reports'!$I$652:$I$669,'Match Day Reports'!$C$652:$C$669,$D24)))</f>
        <v/>
      </c>
      <c r="FY24" s="411" t="str">
        <f>IF($D24="","",IF($D24='Match Day Reports'!$H$649,"Yes",""))</f>
        <v/>
      </c>
      <c r="GA24" s="112" t="str">
        <f t="shared" si="0"/>
        <v/>
      </c>
      <c r="GB24" s="113" t="str" cm="1">
        <f t="array" ref="GB24">IF($D24="","",SUMPRODUCT(($E$4:$CN$4="Att")*((($E$3:$CN$3&lt;&gt;"")+($E24:$CN24="Yes")+($E24:$CN24="No"))&gt;0)))</f>
        <v/>
      </c>
      <c r="GC24" s="114" t="str">
        <f t="shared" si="9"/>
        <v/>
      </c>
      <c r="GD24" s="115" t="str">
        <f t="shared" si="1"/>
        <v/>
      </c>
      <c r="GE24" s="114" t="str">
        <f t="shared" si="10"/>
        <v/>
      </c>
      <c r="GF24" s="113" t="str">
        <f t="array" ref="GF24">IF($D24="","",SUMPRODUCT(($CP$4:$FY$4="Att")*($CP$2:$FY$2&lt;&gt;"")*($CP24:$FY24&lt;&gt;"N-A")*($CP24:$FY24&lt;&gt;"")))</f>
        <v/>
      </c>
      <c r="GG24" s="113" t="str">
        <f t="shared" si="2"/>
        <v/>
      </c>
      <c r="GH24" s="114" t="str">
        <f t="shared" si="11"/>
        <v/>
      </c>
      <c r="GI24" s="113" t="str">
        <f t="shared" si="3"/>
        <v/>
      </c>
      <c r="GJ24" s="115" t="str">
        <f t="shared" si="4"/>
        <v/>
      </c>
      <c r="GK24" s="115" t="str">
        <f t="shared" si="5"/>
        <v/>
      </c>
      <c r="GL24" s="114" t="str">
        <f t="shared" si="12"/>
        <v/>
      </c>
      <c r="GM24" s="113" t="str">
        <f t="shared" si="6"/>
        <v/>
      </c>
      <c r="GN24" s="116" t="str">
        <f t="shared" si="7"/>
        <v/>
      </c>
      <c r="GO24" s="117" t="str">
        <f t="shared" si="8"/>
        <v/>
      </c>
      <c r="GP24" s="118"/>
      <c r="GQ24" s="118"/>
      <c r="GR24" s="118"/>
      <c r="GS24" s="119"/>
    </row>
    <row r="26" spans="2:201" x14ac:dyDescent="0.45">
      <c r="D26" s="120" t="s">
        <v>169</v>
      </c>
      <c r="CP26" s="497">
        <f>IF('Match Day Reports'!$E$82="","",'Match Day Reports'!$E$82)</f>
        <v>9</v>
      </c>
      <c r="CQ26" s="497"/>
      <c r="CR26" s="497"/>
      <c r="CS26" s="497"/>
      <c r="CT26" s="497" t="str">
        <f>IF('Match Day Reports'!$E$109="","",'Match Day Reports'!$E$109)</f>
        <v/>
      </c>
      <c r="CU26" s="497"/>
      <c r="CV26" s="497"/>
      <c r="CW26" s="497"/>
      <c r="CX26" s="497" t="str">
        <f>IF('Match Day Reports'!$E$136="","",'Match Day Reports'!$E$136)</f>
        <v/>
      </c>
      <c r="CY26" s="497"/>
      <c r="CZ26" s="497"/>
      <c r="DA26" s="497"/>
      <c r="DB26" s="497" t="str">
        <f>IF('Match Day Reports'!$E$163="","",'Match Day Reports'!$E$163)</f>
        <v/>
      </c>
      <c r="DC26" s="497"/>
      <c r="DD26" s="497"/>
      <c r="DE26" s="497"/>
      <c r="DF26" s="497" t="str">
        <f>IF('Match Day Reports'!$E$190="","",'Match Day Reports'!$E$190)</f>
        <v/>
      </c>
      <c r="DG26" s="497"/>
      <c r="DH26" s="497"/>
      <c r="DI26" s="497"/>
      <c r="DJ26" s="497" t="str">
        <f>IF('Match Day Reports'!$E$217="","",'Match Day Reports'!$E$217)</f>
        <v/>
      </c>
      <c r="DK26" s="497"/>
      <c r="DL26" s="497"/>
      <c r="DM26" s="497"/>
      <c r="DN26" s="497" t="str">
        <f>IF('Match Day Reports'!$E$244="","",'Match Day Reports'!$E$244)</f>
        <v/>
      </c>
      <c r="DO26" s="497"/>
      <c r="DP26" s="497"/>
      <c r="DQ26" s="497"/>
      <c r="DR26" s="497" t="str">
        <f>IF('Match Day Reports'!$E$271="","",'Match Day Reports'!$E$271)</f>
        <v/>
      </c>
      <c r="DS26" s="497"/>
      <c r="DT26" s="497"/>
      <c r="DU26" s="497"/>
      <c r="DV26" s="497" t="str">
        <f>IF('Match Day Reports'!$E$298="","",'Match Day Reports'!$E$298)</f>
        <v/>
      </c>
      <c r="DW26" s="497"/>
      <c r="DX26" s="497"/>
      <c r="DY26" s="497"/>
      <c r="DZ26" s="497" t="str">
        <f>IF('Match Day Reports'!$E$325="","",'Match Day Reports'!$E$325)</f>
        <v/>
      </c>
      <c r="EA26" s="497"/>
      <c r="EB26" s="497"/>
      <c r="EC26" s="497"/>
      <c r="ED26" s="497" t="str">
        <f>IF('Match Day Reports'!$E$352="","",'Match Day Reports'!$E$352)</f>
        <v/>
      </c>
      <c r="EE26" s="497"/>
      <c r="EF26" s="497"/>
      <c r="EG26" s="497"/>
      <c r="EH26" s="497" t="str">
        <f>IF('Match Day Reports'!$E$379="","",'Match Day Reports'!$E$379)</f>
        <v/>
      </c>
      <c r="EI26" s="497"/>
      <c r="EJ26" s="497"/>
      <c r="EK26" s="497"/>
      <c r="EL26" s="497" t="str">
        <f>IF('Match Day Reports'!$E$406="","",'Match Day Reports'!$E$406)</f>
        <v/>
      </c>
      <c r="EM26" s="497"/>
      <c r="EN26" s="497"/>
      <c r="EO26" s="497"/>
      <c r="EP26" s="497" t="str">
        <f>IF('Match Day Reports'!$E$433="","",'Match Day Reports'!$E$433)</f>
        <v/>
      </c>
      <c r="EQ26" s="497"/>
      <c r="ER26" s="497"/>
      <c r="ES26" s="497"/>
      <c r="ET26" s="497" t="str">
        <f>IF('Match Day Reports'!$E$460="","",'Match Day Reports'!$E$460)</f>
        <v/>
      </c>
      <c r="EU26" s="497"/>
      <c r="EV26" s="497"/>
      <c r="EW26" s="497"/>
      <c r="EX26" s="497" t="str">
        <f>IF('Match Day Reports'!$E$487="","",'Match Day Reports'!$E$487)</f>
        <v/>
      </c>
      <c r="EY26" s="497"/>
      <c r="EZ26" s="497"/>
      <c r="FA26" s="497"/>
      <c r="FB26" s="497" t="str">
        <f>IF('Match Day Reports'!$E$514="","",'Match Day Reports'!$E$514)</f>
        <v/>
      </c>
      <c r="FC26" s="497"/>
      <c r="FD26" s="497"/>
      <c r="FE26" s="497"/>
      <c r="FF26" s="497" t="str">
        <f>IF('Match Day Reports'!$E$541="","",'Match Day Reports'!$E$541)</f>
        <v/>
      </c>
      <c r="FG26" s="497"/>
      <c r="FH26" s="497"/>
      <c r="FI26" s="497"/>
      <c r="FJ26" s="497" t="str">
        <f>IF('Match Day Reports'!$E$568="","",'Match Day Reports'!$E$568)</f>
        <v/>
      </c>
      <c r="FK26" s="497"/>
      <c r="FL26" s="497"/>
      <c r="FM26" s="497"/>
      <c r="FN26" s="497" t="str">
        <f>IF('Match Day Reports'!$E$595="","",'Match Day Reports'!$E$595)</f>
        <v/>
      </c>
      <c r="FO26" s="497"/>
      <c r="FP26" s="497"/>
      <c r="FQ26" s="497"/>
      <c r="FR26" s="497" t="str">
        <f>IF('Match Day Reports'!$E$622="","",'Match Day Reports'!$E$622)</f>
        <v/>
      </c>
      <c r="FS26" s="497"/>
      <c r="FT26" s="497"/>
      <c r="FU26" s="497"/>
      <c r="FV26" s="497" t="str">
        <f>IF('Match Day Reports'!$E$649="","",'Match Day Reports'!$E$649)</f>
        <v/>
      </c>
      <c r="FW26" s="497"/>
      <c r="FX26" s="497"/>
      <c r="FY26" s="497"/>
    </row>
    <row r="27" spans="2:201" x14ac:dyDescent="0.45">
      <c r="D27" s="120" t="s">
        <v>170</v>
      </c>
      <c r="CP27" s="497">
        <f>IF('Match Day Reports'!$F$82="","",'Match Day Reports'!$F$82)</f>
        <v>1</v>
      </c>
      <c r="CQ27" s="497"/>
      <c r="CR27" s="497"/>
      <c r="CS27" s="497"/>
      <c r="CT27" s="497" t="str">
        <f>IF('Match Day Reports'!$F$109="","",'Match Day Reports'!$F$109)</f>
        <v/>
      </c>
      <c r="CU27" s="497"/>
      <c r="CV27" s="497"/>
      <c r="CW27" s="497"/>
      <c r="CX27" s="497" t="str">
        <f>IF('Match Day Reports'!$F$136="","",'Match Day Reports'!$F$136)</f>
        <v/>
      </c>
      <c r="CY27" s="497"/>
      <c r="CZ27" s="497"/>
      <c r="DA27" s="497"/>
      <c r="DB27" s="497" t="str">
        <f>IF('Match Day Reports'!$F$163="","",'Match Day Reports'!$F$163)</f>
        <v/>
      </c>
      <c r="DC27" s="497"/>
      <c r="DD27" s="497"/>
      <c r="DE27" s="497"/>
      <c r="DF27" s="497" t="str">
        <f>IF('Match Day Reports'!$F$190="","",'Match Day Reports'!$F$190)</f>
        <v/>
      </c>
      <c r="DG27" s="497"/>
      <c r="DH27" s="497"/>
      <c r="DI27" s="497"/>
      <c r="DJ27" s="497" t="str">
        <f>IF('Match Day Reports'!$F$217="","",'Match Day Reports'!$F$217)</f>
        <v/>
      </c>
      <c r="DK27" s="497"/>
      <c r="DL27" s="497"/>
      <c r="DM27" s="497"/>
      <c r="DN27" s="497" t="str">
        <f>IF('Match Day Reports'!$F$244="","",'Match Day Reports'!$F$244)</f>
        <v/>
      </c>
      <c r="DO27" s="497"/>
      <c r="DP27" s="497"/>
      <c r="DQ27" s="497"/>
      <c r="DR27" s="497" t="str">
        <f>IF('Match Day Reports'!$F$271="","",'Match Day Reports'!$F$271)</f>
        <v/>
      </c>
      <c r="DS27" s="497"/>
      <c r="DT27" s="497"/>
      <c r="DU27" s="497"/>
      <c r="DV27" s="497" t="str">
        <f>IF('Match Day Reports'!$F$298="","",'Match Day Reports'!$F$298)</f>
        <v/>
      </c>
      <c r="DW27" s="497"/>
      <c r="DX27" s="497"/>
      <c r="DY27" s="497"/>
      <c r="DZ27" s="497" t="str">
        <f>IF('Match Day Reports'!$F$325="","",'Match Day Reports'!$F$325)</f>
        <v/>
      </c>
      <c r="EA27" s="497"/>
      <c r="EB27" s="497"/>
      <c r="EC27" s="497"/>
      <c r="ED27" s="497" t="str">
        <f>IF('Match Day Reports'!$F$352="","",'Match Day Reports'!$F$352)</f>
        <v/>
      </c>
      <c r="EE27" s="497"/>
      <c r="EF27" s="497"/>
      <c r="EG27" s="497"/>
      <c r="EH27" s="497" t="str">
        <f>IF('Match Day Reports'!$F$379="","",'Match Day Reports'!$F$379)</f>
        <v/>
      </c>
      <c r="EI27" s="497"/>
      <c r="EJ27" s="497"/>
      <c r="EK27" s="497"/>
      <c r="EL27" s="497" t="str">
        <f>IF('Match Day Reports'!$F$406="","",'Match Day Reports'!$F$406)</f>
        <v/>
      </c>
      <c r="EM27" s="497"/>
      <c r="EN27" s="497"/>
      <c r="EO27" s="497"/>
      <c r="EP27" s="497" t="str">
        <f>IF('Match Day Reports'!$F$433="","",'Match Day Reports'!$F$433)</f>
        <v/>
      </c>
      <c r="EQ27" s="497"/>
      <c r="ER27" s="497"/>
      <c r="ES27" s="497"/>
      <c r="ET27" s="497" t="str">
        <f>IF('Match Day Reports'!$F$460="","",'Match Day Reports'!$F$460)</f>
        <v/>
      </c>
      <c r="EU27" s="497"/>
      <c r="EV27" s="497"/>
      <c r="EW27" s="497"/>
      <c r="EX27" s="497" t="str">
        <f>IF('Match Day Reports'!$F$487="","",'Match Day Reports'!$F$487)</f>
        <v/>
      </c>
      <c r="EY27" s="497"/>
      <c r="EZ27" s="497"/>
      <c r="FA27" s="497"/>
      <c r="FB27" s="497" t="str">
        <f>IF('Match Day Reports'!$F$514="","",'Match Day Reports'!$F$514)</f>
        <v/>
      </c>
      <c r="FC27" s="497"/>
      <c r="FD27" s="497"/>
      <c r="FE27" s="497"/>
      <c r="FF27" s="497" t="str">
        <f>IF('Match Day Reports'!$F$541="","",'Match Day Reports'!$F$541)</f>
        <v/>
      </c>
      <c r="FG27" s="497"/>
      <c r="FH27" s="497"/>
      <c r="FI27" s="497"/>
      <c r="FJ27" s="497" t="str">
        <f>IF('Match Day Reports'!$F$568="","",'Match Day Reports'!$F$568)</f>
        <v/>
      </c>
      <c r="FK27" s="497"/>
      <c r="FL27" s="497"/>
      <c r="FM27" s="497"/>
      <c r="FN27" s="497" t="str">
        <f>IF('Match Day Reports'!$F$595="","",'Match Day Reports'!$F$595)</f>
        <v/>
      </c>
      <c r="FO27" s="497"/>
      <c r="FP27" s="497"/>
      <c r="FQ27" s="497"/>
      <c r="FR27" s="497" t="str">
        <f>IF('Match Day Reports'!$F$622="","",'Match Day Reports'!$F$622)</f>
        <v/>
      </c>
      <c r="FS27" s="497"/>
      <c r="FT27" s="497"/>
      <c r="FU27" s="497"/>
      <c r="FV27" s="497" t="str">
        <f>IF('Match Day Reports'!$F$649="","",'Match Day Reports'!$F$649)</f>
        <v/>
      </c>
      <c r="FW27" s="497"/>
      <c r="FX27" s="497"/>
      <c r="FY27" s="497"/>
    </row>
    <row r="28" spans="2:201" x14ac:dyDescent="0.45">
      <c r="D28" s="120" t="s">
        <v>171</v>
      </c>
      <c r="CP28" s="498" t="str">
        <f>IF(OR(CP26="",CP27=""),"",IF(CP26&gt;CP27,"W",IF(CP26=CP27,"D","L")))</f>
        <v>W</v>
      </c>
      <c r="CQ28" s="498"/>
      <c r="CR28" s="498"/>
      <c r="CS28" s="498"/>
      <c r="CT28" s="498" t="str">
        <f>IF(OR(CT26="",CT27=""),"",IF(CT26&gt;CT27,"W",IF(CT26=CT27,"D","L")))</f>
        <v/>
      </c>
      <c r="CU28" s="498"/>
      <c r="CV28" s="498"/>
      <c r="CW28" s="498"/>
      <c r="CX28" s="498" t="str">
        <f>IF(OR(CX26="",CX27=""),"",IF(CX26&gt;CX27,"W",IF(CX26=CX27,"D","L")))</f>
        <v/>
      </c>
      <c r="CY28" s="498"/>
      <c r="CZ28" s="498"/>
      <c r="DA28" s="498"/>
      <c r="DB28" s="498" t="str">
        <f>IF(OR(DB26="",DB27=""),"",IF(DB26&gt;DB27,"W",IF(DB26=DB27,"D","L")))</f>
        <v/>
      </c>
      <c r="DC28" s="498"/>
      <c r="DD28" s="498"/>
      <c r="DE28" s="498"/>
      <c r="DF28" s="498" t="str">
        <f>IF(OR(DF26="",DF27=""),"",IF(DF26&gt;DF27,"W",IF(DF26=DF27,"D","L")))</f>
        <v/>
      </c>
      <c r="DG28" s="498"/>
      <c r="DH28" s="498"/>
      <c r="DI28" s="498"/>
      <c r="DJ28" s="498" t="str">
        <f>IF(OR(DJ26="",DJ27=""),"",IF(DJ26&gt;DJ27,"W",IF(DJ26=DJ27,"D","L")))</f>
        <v/>
      </c>
      <c r="DK28" s="498"/>
      <c r="DL28" s="498"/>
      <c r="DM28" s="498"/>
      <c r="DN28" s="498" t="str">
        <f>IF(OR(DN26="",DN27=""),"",IF(DN26&gt;DN27,"W",IF(DN26=DN27,"D","L")))</f>
        <v/>
      </c>
      <c r="DO28" s="498"/>
      <c r="DP28" s="498"/>
      <c r="DQ28" s="498"/>
      <c r="DR28" s="498" t="str">
        <f>IF(OR(DR26="",DR27=""),"",IF(DR26&gt;DR27,"W",IF(DR26=DR27,"D","L")))</f>
        <v/>
      </c>
      <c r="DS28" s="498"/>
      <c r="DT28" s="498"/>
      <c r="DU28" s="498"/>
      <c r="DV28" s="498" t="str">
        <f>IF(OR(DV26="",DV27=""),"",IF(DV26&gt;DV27,"W",IF(DV26=DV27,"D","L")))</f>
        <v/>
      </c>
      <c r="DW28" s="498"/>
      <c r="DX28" s="498"/>
      <c r="DY28" s="498"/>
      <c r="DZ28" s="498" t="str">
        <f>IF(OR(DZ26="",DZ27=""),"",IF(DZ26&gt;DZ27,"W",IF(DZ26=DZ27,"D","L")))</f>
        <v/>
      </c>
      <c r="EA28" s="498"/>
      <c r="EB28" s="498"/>
      <c r="EC28" s="498"/>
      <c r="ED28" s="498" t="str">
        <f>IF(OR(ED26="",ED27=""),"",IF(ED26&gt;ED27,"W",IF(ED26=ED27,"D","L")))</f>
        <v/>
      </c>
      <c r="EE28" s="498"/>
      <c r="EF28" s="498"/>
      <c r="EG28" s="498"/>
      <c r="EH28" s="498" t="str">
        <f>IF(OR(EH26="",EH27=""),"",IF(EH26&gt;EH27,"W",IF(EH26=EH27,"D","L")))</f>
        <v/>
      </c>
      <c r="EI28" s="498"/>
      <c r="EJ28" s="498"/>
      <c r="EK28" s="498"/>
      <c r="EL28" s="498" t="str">
        <f>IF(OR(EL26="",EL27=""),"",IF(EL26&gt;EL27,"W",IF(EL26=EL27,"D","L")))</f>
        <v/>
      </c>
      <c r="EM28" s="498"/>
      <c r="EN28" s="498"/>
      <c r="EO28" s="498"/>
      <c r="EP28" s="498" t="str">
        <f>IF(OR(EP26="",EP27=""),"",IF(EP26&gt;EP27,"W",IF(EP26=EP27,"D","L")))</f>
        <v/>
      </c>
      <c r="EQ28" s="498"/>
      <c r="ER28" s="498"/>
      <c r="ES28" s="498"/>
      <c r="ET28" s="498" t="str">
        <f>IF(OR(ET26="",ET27=""),"",IF(ET26&gt;ET27,"W",IF(ET26=ET27,"D","L")))</f>
        <v/>
      </c>
      <c r="EU28" s="498"/>
      <c r="EV28" s="498"/>
      <c r="EW28" s="498"/>
      <c r="EX28" s="498" t="str">
        <f>IF(OR(EX26="",EX27=""),"",IF(EX26&gt;EX27,"W",IF(EX26=EX27,"D","L")))</f>
        <v/>
      </c>
      <c r="EY28" s="498"/>
      <c r="EZ28" s="498"/>
      <c r="FA28" s="498"/>
      <c r="FB28" s="498" t="str">
        <f>IF(OR(FB26="",FB27=""),"",IF(FB26&gt;FB27,"W",IF(FB26=FB27,"D","L")))</f>
        <v/>
      </c>
      <c r="FC28" s="498"/>
      <c r="FD28" s="498"/>
      <c r="FE28" s="498"/>
      <c r="FF28" s="498" t="str">
        <f>IF(OR(FF26="",FF27=""),"",IF(FF26&gt;FF27,"W",IF(FF26=FF27,"D","L")))</f>
        <v/>
      </c>
      <c r="FG28" s="498"/>
      <c r="FH28" s="498"/>
      <c r="FI28" s="498"/>
      <c r="FJ28" s="498" t="str">
        <f>IF(OR(FJ26="",FJ27=""),"",IF(FJ26&gt;FJ27,"W",IF(FJ26=FJ27,"D","L")))</f>
        <v/>
      </c>
      <c r="FK28" s="498"/>
      <c r="FL28" s="498"/>
      <c r="FM28" s="498"/>
      <c r="FN28" s="498" t="str">
        <f>IF(OR(FN26="",FN27=""),"",IF(FN26&gt;FN27,"W",IF(FN26=FN27,"D","L")))</f>
        <v/>
      </c>
      <c r="FO28" s="498"/>
      <c r="FP28" s="498"/>
      <c r="FQ28" s="498"/>
      <c r="FR28" s="498" t="str">
        <f>IF(OR(FR26="",FR27=""),"",IF(FR26&gt;FR27,"W",IF(FR26=FR27,"D","L")))</f>
        <v/>
      </c>
      <c r="FS28" s="498"/>
      <c r="FT28" s="498"/>
      <c r="FU28" s="498"/>
      <c r="FV28" s="498" t="str">
        <f>IF(OR(FV26="",FV27=""),"",IF(FV26&gt;FV27,"W",IF(FV26=FV27,"D","L")))</f>
        <v/>
      </c>
      <c r="FW28" s="498"/>
      <c r="FX28" s="498"/>
      <c r="FY28" s="498"/>
    </row>
    <row r="30" spans="2:201" x14ac:dyDescent="0.45">
      <c r="B30" s="436" t="s">
        <v>172</v>
      </c>
      <c r="C30" s="436"/>
      <c r="D30" s="436"/>
    </row>
    <row r="31" spans="2:201" x14ac:dyDescent="0.45">
      <c r="C31" s="121" t="s">
        <v>108</v>
      </c>
      <c r="D31" s="122" t="s">
        <v>109</v>
      </c>
      <c r="E31" s="492" t="s">
        <v>110</v>
      </c>
      <c r="F31" s="492"/>
      <c r="G31" s="492"/>
      <c r="H31" s="492"/>
      <c r="I31" s="492"/>
      <c r="J31" s="492"/>
      <c r="K31" s="492"/>
      <c r="L31" s="492"/>
      <c r="M31" s="492"/>
      <c r="N31" s="492"/>
    </row>
    <row r="32" spans="2:201" x14ac:dyDescent="0.45">
      <c r="C32" s="123">
        <v>5</v>
      </c>
      <c r="D32" s="124" t="s">
        <v>111</v>
      </c>
      <c r="E32" s="493" t="s">
        <v>173</v>
      </c>
      <c r="F32" s="493"/>
      <c r="G32" s="493"/>
      <c r="H32" s="493"/>
      <c r="I32" s="493"/>
      <c r="J32" s="493"/>
      <c r="K32" s="493"/>
      <c r="L32" s="493"/>
      <c r="M32" s="493"/>
      <c r="N32" s="493"/>
    </row>
    <row r="33" spans="2:14" x14ac:dyDescent="0.45">
      <c r="C33" s="125">
        <v>4</v>
      </c>
      <c r="D33" s="126" t="s">
        <v>113</v>
      </c>
      <c r="E33" s="494" t="s">
        <v>174</v>
      </c>
      <c r="F33" s="494"/>
      <c r="G33" s="494"/>
      <c r="H33" s="494"/>
      <c r="I33" s="494"/>
      <c r="J33" s="494"/>
      <c r="K33" s="494"/>
      <c r="L33" s="494"/>
      <c r="M33" s="494"/>
      <c r="N33" s="494"/>
    </row>
    <row r="34" spans="2:14" x14ac:dyDescent="0.45">
      <c r="C34" s="123">
        <v>3</v>
      </c>
      <c r="D34" s="124" t="s">
        <v>115</v>
      </c>
      <c r="E34" s="493" t="s">
        <v>175</v>
      </c>
      <c r="F34" s="493"/>
      <c r="G34" s="493"/>
      <c r="H34" s="493"/>
      <c r="I34" s="493"/>
      <c r="J34" s="493"/>
      <c r="K34" s="493"/>
      <c r="L34" s="493"/>
      <c r="M34" s="493"/>
      <c r="N34" s="493"/>
    </row>
    <row r="35" spans="2:14" x14ac:dyDescent="0.45">
      <c r="C35" s="125">
        <v>2</v>
      </c>
      <c r="D35" s="126" t="s">
        <v>117</v>
      </c>
      <c r="E35" s="494" t="s">
        <v>176</v>
      </c>
      <c r="F35" s="494"/>
      <c r="G35" s="494"/>
      <c r="H35" s="494"/>
      <c r="I35" s="494"/>
      <c r="J35" s="494"/>
      <c r="K35" s="494"/>
      <c r="L35" s="494"/>
      <c r="M35" s="494"/>
      <c r="N35" s="494"/>
    </row>
    <row r="36" spans="2:14" x14ac:dyDescent="0.45">
      <c r="C36" s="127">
        <v>1</v>
      </c>
      <c r="D36" s="128" t="s">
        <v>119</v>
      </c>
      <c r="E36" s="496" t="s">
        <v>177</v>
      </c>
      <c r="F36" s="496"/>
      <c r="G36" s="496"/>
      <c r="H36" s="496"/>
      <c r="I36" s="496"/>
      <c r="J36" s="496"/>
      <c r="K36" s="496"/>
      <c r="L36" s="496"/>
      <c r="M36" s="496"/>
      <c r="N36" s="496"/>
    </row>
    <row r="45" spans="2:14" x14ac:dyDescent="0.45">
      <c r="B45" s="436" t="s">
        <v>178</v>
      </c>
      <c r="C45" s="436"/>
      <c r="D45" s="436"/>
    </row>
    <row r="46" spans="2:14" x14ac:dyDescent="0.45">
      <c r="B46" s="129"/>
      <c r="C46" s="95">
        <v>1</v>
      </c>
      <c r="D46" s="96" t="s">
        <v>179</v>
      </c>
    </row>
    <row r="47" spans="2:14" x14ac:dyDescent="0.45">
      <c r="B47" s="130"/>
      <c r="C47" s="60">
        <v>2</v>
      </c>
      <c r="D47" s="105" t="s">
        <v>180</v>
      </c>
    </row>
    <row r="48" spans="2:14" x14ac:dyDescent="0.45">
      <c r="B48" s="130"/>
      <c r="C48" s="60">
        <v>3</v>
      </c>
      <c r="D48" s="105" t="s">
        <v>181</v>
      </c>
    </row>
    <row r="49" spans="2:14" x14ac:dyDescent="0.45">
      <c r="B49" s="130"/>
      <c r="C49" s="60">
        <v>4</v>
      </c>
      <c r="D49" s="105" t="s">
        <v>182</v>
      </c>
    </row>
    <row r="50" spans="2:14" x14ac:dyDescent="0.45">
      <c r="B50" s="130"/>
      <c r="C50" s="60">
        <v>5</v>
      </c>
      <c r="D50" s="105" t="s">
        <v>183</v>
      </c>
    </row>
    <row r="51" spans="2:14" x14ac:dyDescent="0.45">
      <c r="B51" s="130"/>
      <c r="C51" s="60">
        <v>6</v>
      </c>
      <c r="D51" s="105" t="s">
        <v>184</v>
      </c>
    </row>
    <row r="52" spans="2:14" x14ac:dyDescent="0.45">
      <c r="B52" s="130"/>
      <c r="C52" s="60">
        <v>7</v>
      </c>
      <c r="D52" s="105" t="s">
        <v>185</v>
      </c>
    </row>
    <row r="53" spans="2:14" x14ac:dyDescent="0.45">
      <c r="B53" s="130"/>
      <c r="C53" s="60">
        <v>8</v>
      </c>
      <c r="D53" s="105" t="s">
        <v>186</v>
      </c>
    </row>
    <row r="54" spans="2:14" x14ac:dyDescent="0.45">
      <c r="B54" s="130"/>
      <c r="C54" s="60">
        <v>9</v>
      </c>
      <c r="D54" s="105" t="s">
        <v>187</v>
      </c>
    </row>
    <row r="55" spans="2:14" x14ac:dyDescent="0.45">
      <c r="B55" s="130"/>
      <c r="C55" s="60">
        <v>10</v>
      </c>
      <c r="D55" s="105" t="s">
        <v>188</v>
      </c>
    </row>
    <row r="56" spans="2:14" x14ac:dyDescent="0.45">
      <c r="B56" s="131"/>
      <c r="C56" s="132">
        <v>11</v>
      </c>
      <c r="D56" s="133" t="s">
        <v>189</v>
      </c>
    </row>
    <row r="58" spans="2:14" x14ac:dyDescent="0.45">
      <c r="B58" s="436" t="s">
        <v>190</v>
      </c>
      <c r="C58" s="436"/>
      <c r="D58" s="436"/>
    </row>
    <row r="59" spans="2:14" x14ac:dyDescent="0.45">
      <c r="C59" s="121" t="s">
        <v>155</v>
      </c>
      <c r="D59" s="122" t="s">
        <v>109</v>
      </c>
      <c r="E59" s="492" t="s">
        <v>110</v>
      </c>
      <c r="F59" s="492"/>
      <c r="G59" s="492"/>
      <c r="H59" s="492"/>
      <c r="I59" s="492"/>
      <c r="J59" s="492"/>
      <c r="K59" s="492"/>
      <c r="L59" s="492"/>
      <c r="M59" s="492"/>
      <c r="N59" s="492"/>
    </row>
    <row r="60" spans="2:14" x14ac:dyDescent="0.45">
      <c r="C60" s="123" t="s">
        <v>191</v>
      </c>
      <c r="D60" s="124" t="s">
        <v>111</v>
      </c>
      <c r="E60" s="493" t="s">
        <v>192</v>
      </c>
      <c r="F60" s="493"/>
      <c r="G60" s="493"/>
      <c r="H60" s="493"/>
      <c r="I60" s="493"/>
      <c r="J60" s="493"/>
      <c r="K60" s="493"/>
      <c r="L60" s="493"/>
      <c r="M60" s="493"/>
      <c r="N60" s="493"/>
    </row>
    <row r="61" spans="2:14" x14ac:dyDescent="0.45">
      <c r="C61" s="125" t="s">
        <v>193</v>
      </c>
      <c r="D61" s="126" t="s">
        <v>194</v>
      </c>
      <c r="E61" s="494" t="s">
        <v>195</v>
      </c>
      <c r="F61" s="494"/>
      <c r="G61" s="494"/>
      <c r="H61" s="494"/>
      <c r="I61" s="494"/>
      <c r="J61" s="494"/>
      <c r="K61" s="494"/>
      <c r="L61" s="494"/>
      <c r="M61" s="494"/>
      <c r="N61" s="494"/>
    </row>
    <row r="62" spans="2:14" x14ac:dyDescent="0.45">
      <c r="C62" s="123" t="s">
        <v>196</v>
      </c>
      <c r="D62" s="124" t="s">
        <v>197</v>
      </c>
      <c r="E62" s="493" t="s">
        <v>198</v>
      </c>
      <c r="F62" s="493"/>
      <c r="G62" s="493"/>
      <c r="H62" s="493"/>
      <c r="I62" s="493"/>
      <c r="J62" s="493"/>
      <c r="K62" s="493"/>
      <c r="L62" s="493"/>
      <c r="M62" s="493"/>
      <c r="N62" s="493"/>
    </row>
    <row r="63" spans="2:14" x14ac:dyDescent="0.45">
      <c r="C63" s="125" t="s">
        <v>199</v>
      </c>
      <c r="D63" s="126" t="s">
        <v>200</v>
      </c>
      <c r="E63" s="494" t="s">
        <v>201</v>
      </c>
      <c r="F63" s="494"/>
      <c r="G63" s="494"/>
      <c r="H63" s="494"/>
      <c r="I63" s="494"/>
      <c r="J63" s="494"/>
      <c r="K63" s="494"/>
      <c r="L63" s="494"/>
      <c r="M63" s="494"/>
      <c r="N63" s="494"/>
    </row>
    <row r="64" spans="2:14" x14ac:dyDescent="0.45">
      <c r="C64" s="123" t="s">
        <v>202</v>
      </c>
      <c r="D64" s="124" t="s">
        <v>203</v>
      </c>
      <c r="E64" s="493" t="s">
        <v>204</v>
      </c>
      <c r="F64" s="493"/>
      <c r="G64" s="493"/>
      <c r="H64" s="493"/>
      <c r="I64" s="493"/>
      <c r="J64" s="493"/>
      <c r="K64" s="493"/>
      <c r="L64" s="493"/>
      <c r="M64" s="493"/>
      <c r="N64" s="493"/>
    </row>
    <row r="65" spans="2:92" x14ac:dyDescent="0.45">
      <c r="C65" s="134" t="s">
        <v>205</v>
      </c>
      <c r="D65" s="135" t="s">
        <v>206</v>
      </c>
      <c r="E65" s="495" t="s">
        <v>207</v>
      </c>
      <c r="F65" s="495"/>
      <c r="G65" s="495"/>
      <c r="H65" s="495"/>
      <c r="I65" s="495"/>
      <c r="J65" s="495"/>
      <c r="K65" s="495"/>
      <c r="L65" s="495"/>
      <c r="M65" s="495"/>
      <c r="N65" s="495"/>
    </row>
    <row r="68" spans="2:92" x14ac:dyDescent="0.45">
      <c r="B68" s="436" t="s">
        <v>208</v>
      </c>
      <c r="C68" s="436"/>
      <c r="D68" s="436"/>
    </row>
    <row r="69" spans="2:92" x14ac:dyDescent="0.45">
      <c r="C69" s="136"/>
      <c r="D69" s="137" t="s">
        <v>209</v>
      </c>
      <c r="E69" s="491">
        <f>IF(E3="","",E3)</f>
        <v>46259</v>
      </c>
      <c r="F69" s="491"/>
      <c r="G69" s="491" t="str">
        <f>IF(G3="","",G3)</f>
        <v/>
      </c>
      <c r="H69" s="491"/>
      <c r="I69" s="491" t="str">
        <f>IF(I3="","",I3)</f>
        <v/>
      </c>
      <c r="J69" s="491"/>
      <c r="K69" s="491" t="str">
        <f>IF(K3="","",K3)</f>
        <v/>
      </c>
      <c r="L69" s="491"/>
      <c r="M69" s="491" t="str">
        <f>IF(M3="","",M3)</f>
        <v/>
      </c>
      <c r="N69" s="491"/>
      <c r="O69" s="491" t="str">
        <f>IF(O3="","",O3)</f>
        <v/>
      </c>
      <c r="P69" s="491"/>
      <c r="Q69" s="491" t="str">
        <f>IF(Q3="","",Q3)</f>
        <v/>
      </c>
      <c r="R69" s="491"/>
      <c r="S69" s="491" t="str">
        <f>IF(S3="","",S3)</f>
        <v/>
      </c>
      <c r="T69" s="491"/>
      <c r="U69" s="491" t="str">
        <f>IF(U3="","",U3)</f>
        <v/>
      </c>
      <c r="V69" s="491"/>
      <c r="W69" s="491" t="str">
        <f>IF(W3="","",W3)</f>
        <v/>
      </c>
      <c r="X69" s="491"/>
      <c r="Y69" s="491" t="str">
        <f>IF(Y3="","",Y3)</f>
        <v/>
      </c>
      <c r="Z69" s="491"/>
      <c r="AA69" s="491" t="str">
        <f>IF(AA3="","",AA3)</f>
        <v/>
      </c>
      <c r="AB69" s="491"/>
      <c r="AC69" s="491" t="str">
        <f>IF(AC3="","",AC3)</f>
        <v/>
      </c>
      <c r="AD69" s="491"/>
      <c r="AE69" s="491" t="str">
        <f>IF(AE3="","",AE3)</f>
        <v/>
      </c>
      <c r="AF69" s="491"/>
      <c r="AG69" s="491" t="str">
        <f>IF(AG3="","",AG3)</f>
        <v/>
      </c>
      <c r="AH69" s="491"/>
      <c r="AI69" s="491" t="str">
        <f>IF(AI3="","",AI3)</f>
        <v/>
      </c>
      <c r="AJ69" s="491"/>
      <c r="AK69" s="491" t="str">
        <f>IF(AK3="","",AK3)</f>
        <v/>
      </c>
      <c r="AL69" s="491"/>
      <c r="AM69" s="491" t="str">
        <f>IF(AM3="","",AM3)</f>
        <v/>
      </c>
      <c r="AN69" s="491"/>
      <c r="AO69" s="491" t="str">
        <f>IF(AO3="","",AO3)</f>
        <v/>
      </c>
      <c r="AP69" s="491"/>
      <c r="AQ69" s="491" t="str">
        <f>IF(AQ3="","",AQ3)</f>
        <v/>
      </c>
      <c r="AR69" s="491"/>
      <c r="AS69" s="491" t="str">
        <f>IF(AS3="","",AS3)</f>
        <v/>
      </c>
      <c r="AT69" s="491"/>
      <c r="AU69" s="491" t="str">
        <f>IF(AU3="","",AU3)</f>
        <v/>
      </c>
      <c r="AV69" s="491"/>
      <c r="AW69" s="491" t="str">
        <f>IF(AW3="","",AW3)</f>
        <v/>
      </c>
      <c r="AX69" s="491"/>
      <c r="AY69" s="491" t="str">
        <f>IF(AY3="","",AY3)</f>
        <v/>
      </c>
      <c r="AZ69" s="491"/>
      <c r="BA69" s="491" t="str">
        <f>IF(BA3="","",BA3)</f>
        <v/>
      </c>
      <c r="BB69" s="491"/>
      <c r="BC69" s="491" t="str">
        <f>IF(BC3="","",BC3)</f>
        <v/>
      </c>
      <c r="BD69" s="491"/>
      <c r="BE69" s="491" t="str">
        <f>IF(BE3="","",BE3)</f>
        <v/>
      </c>
      <c r="BF69" s="491"/>
      <c r="BG69" s="491" t="str">
        <f>IF(BG3="","",BG3)</f>
        <v/>
      </c>
      <c r="BH69" s="491"/>
      <c r="BI69" s="491" t="str">
        <f>IF(BI3="","",BI3)</f>
        <v/>
      </c>
      <c r="BJ69" s="491"/>
      <c r="BK69" s="491" t="str">
        <f>IF(BK3="","",BK3)</f>
        <v/>
      </c>
      <c r="BL69" s="491"/>
      <c r="BM69" s="491" t="str">
        <f>IF(BM3="","",BM3)</f>
        <v/>
      </c>
      <c r="BN69" s="491"/>
      <c r="BO69" s="491" t="str">
        <f>IF(BO3="","",BO3)</f>
        <v/>
      </c>
      <c r="BP69" s="491"/>
      <c r="BQ69" s="491" t="str">
        <f>IF(BQ3="","",BQ3)</f>
        <v/>
      </c>
      <c r="BR69" s="491"/>
      <c r="BS69" s="491" t="str">
        <f>IF(BS3="","",BS3)</f>
        <v/>
      </c>
      <c r="BT69" s="491"/>
      <c r="BU69" s="491" t="str">
        <f>IF(BU3="","",BU3)</f>
        <v/>
      </c>
      <c r="BV69" s="491"/>
      <c r="BW69" s="491" t="str">
        <f>IF(BW3="","",BW3)</f>
        <v/>
      </c>
      <c r="BX69" s="491"/>
      <c r="BY69" s="491" t="str">
        <f>IF(BY3="","",BY3)</f>
        <v/>
      </c>
      <c r="BZ69" s="491"/>
      <c r="CA69" s="491" t="str">
        <f>IF(CA3="","",CA3)</f>
        <v/>
      </c>
      <c r="CB69" s="491"/>
      <c r="CC69" s="491" t="str">
        <f>IF(CC3="","",CC3)</f>
        <v/>
      </c>
      <c r="CD69" s="491"/>
      <c r="CE69" s="491" t="str">
        <f>IF(CE3="","",CE3)</f>
        <v/>
      </c>
      <c r="CF69" s="491"/>
      <c r="CG69" s="491" t="str">
        <f>IF(CG3="","",CG3)</f>
        <v/>
      </c>
      <c r="CH69" s="491"/>
      <c r="CI69" s="491" t="str">
        <f>IF(CI3="","",CI3)</f>
        <v/>
      </c>
      <c r="CJ69" s="491"/>
      <c r="CK69" s="491" t="str">
        <f>IF(CK3="","",CK3)</f>
        <v/>
      </c>
      <c r="CL69" s="491"/>
      <c r="CM69" s="491" t="str">
        <f>IF(CM3="","",CM3)</f>
        <v/>
      </c>
      <c r="CN69" s="491"/>
    </row>
    <row r="70" spans="2:92" x14ac:dyDescent="0.45">
      <c r="C70" s="138">
        <v>1</v>
      </c>
      <c r="D70" s="139"/>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c r="BF70" s="140"/>
      <c r="BG70" s="140"/>
      <c r="BH70" s="140"/>
      <c r="BI70" s="140"/>
      <c r="BJ70" s="140"/>
      <c r="BK70" s="140"/>
      <c r="BL70" s="140"/>
      <c r="BM70" s="140"/>
      <c r="BN70" s="140"/>
      <c r="BO70" s="140"/>
      <c r="BP70" s="140"/>
      <c r="BQ70" s="140"/>
      <c r="BR70" s="140"/>
      <c r="BS70" s="140"/>
      <c r="BT70" s="140"/>
      <c r="BU70" s="140"/>
      <c r="BV70" s="140"/>
      <c r="BW70" s="140"/>
      <c r="BX70" s="140"/>
      <c r="BY70" s="140"/>
      <c r="BZ70" s="140"/>
      <c r="CA70" s="140"/>
      <c r="CB70" s="140"/>
      <c r="CC70" s="140"/>
      <c r="CD70" s="140"/>
      <c r="CE70" s="140"/>
      <c r="CF70" s="140"/>
      <c r="CG70" s="140"/>
      <c r="CH70" s="140"/>
      <c r="CI70" s="140"/>
      <c r="CJ70" s="140"/>
      <c r="CK70" s="140"/>
      <c r="CL70" s="140"/>
      <c r="CM70" s="140"/>
      <c r="CN70" s="140"/>
    </row>
    <row r="71" spans="2:92" x14ac:dyDescent="0.45">
      <c r="C71" s="138">
        <v>2</v>
      </c>
      <c r="D71" s="139"/>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c r="BF71" s="140"/>
      <c r="BG71" s="140"/>
      <c r="BH71" s="140"/>
      <c r="BI71" s="140"/>
      <c r="BJ71" s="140"/>
      <c r="BK71" s="140"/>
      <c r="BL71" s="140"/>
      <c r="BM71" s="140"/>
      <c r="BN71" s="140"/>
      <c r="BO71" s="140"/>
      <c r="BP71" s="140"/>
      <c r="BQ71" s="140"/>
      <c r="BR71" s="140"/>
      <c r="BS71" s="140"/>
      <c r="BT71" s="140"/>
      <c r="BU71" s="140"/>
      <c r="BV71" s="140"/>
      <c r="BW71" s="140"/>
      <c r="BX71" s="140"/>
      <c r="BY71" s="140"/>
      <c r="BZ71" s="140"/>
      <c r="CA71" s="140"/>
      <c r="CB71" s="140"/>
      <c r="CC71" s="140"/>
      <c r="CD71" s="140"/>
      <c r="CE71" s="140"/>
      <c r="CF71" s="140"/>
      <c r="CG71" s="140"/>
      <c r="CH71" s="140"/>
      <c r="CI71" s="140"/>
      <c r="CJ71" s="140"/>
      <c r="CK71" s="140"/>
      <c r="CL71" s="140"/>
      <c r="CM71" s="140"/>
      <c r="CN71" s="140"/>
    </row>
    <row r="72" spans="2:92" x14ac:dyDescent="0.45">
      <c r="C72" s="138">
        <v>3</v>
      </c>
      <c r="D72" s="139"/>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c r="BJ72" s="140"/>
      <c r="BK72" s="140"/>
      <c r="BL72" s="140"/>
      <c r="BM72" s="140"/>
      <c r="BN72" s="140"/>
      <c r="BO72" s="140"/>
      <c r="BP72" s="140"/>
      <c r="BQ72" s="140"/>
      <c r="BR72" s="140"/>
      <c r="BS72" s="140"/>
      <c r="BT72" s="140"/>
      <c r="BU72" s="140"/>
      <c r="BV72" s="140"/>
      <c r="BW72" s="140"/>
      <c r="BX72" s="140"/>
      <c r="BY72" s="140"/>
      <c r="BZ72" s="140"/>
      <c r="CA72" s="140"/>
      <c r="CB72" s="140"/>
      <c r="CC72" s="140"/>
      <c r="CD72" s="140"/>
      <c r="CE72" s="140"/>
      <c r="CF72" s="140"/>
      <c r="CG72" s="140"/>
      <c r="CH72" s="140"/>
      <c r="CI72" s="140"/>
      <c r="CJ72" s="140"/>
      <c r="CK72" s="140"/>
      <c r="CL72" s="140"/>
      <c r="CM72" s="140"/>
      <c r="CN72" s="140"/>
    </row>
    <row r="73" spans="2:92" x14ac:dyDescent="0.45">
      <c r="C73" s="138">
        <v>4</v>
      </c>
      <c r="D73" s="139"/>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140"/>
      <c r="BX73" s="140"/>
      <c r="BY73" s="140"/>
      <c r="BZ73" s="140"/>
      <c r="CA73" s="140"/>
      <c r="CB73" s="140"/>
      <c r="CC73" s="140"/>
      <c r="CD73" s="140"/>
      <c r="CE73" s="140"/>
      <c r="CF73" s="140"/>
      <c r="CG73" s="140"/>
      <c r="CH73" s="140"/>
      <c r="CI73" s="140"/>
      <c r="CJ73" s="140"/>
      <c r="CK73" s="140"/>
      <c r="CL73" s="140"/>
      <c r="CM73" s="140"/>
      <c r="CN73" s="140"/>
    </row>
    <row r="74" spans="2:92" x14ac:dyDescent="0.45">
      <c r="C74" s="138">
        <v>5</v>
      </c>
      <c r="D74" s="139"/>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c r="BJ74" s="140"/>
      <c r="BK74" s="140"/>
      <c r="BL74" s="140"/>
      <c r="BM74" s="140"/>
      <c r="BN74" s="140"/>
      <c r="BO74" s="140"/>
      <c r="BP74" s="140"/>
      <c r="BQ74" s="140"/>
      <c r="BR74" s="140"/>
      <c r="BS74" s="140"/>
      <c r="BT74" s="140"/>
      <c r="BU74" s="140"/>
      <c r="BV74" s="140"/>
      <c r="BW74" s="140"/>
      <c r="BX74" s="140"/>
      <c r="BY74" s="140"/>
      <c r="BZ74" s="140"/>
      <c r="CA74" s="140"/>
      <c r="CB74" s="140"/>
      <c r="CC74" s="140"/>
      <c r="CD74" s="140"/>
      <c r="CE74" s="140"/>
      <c r="CF74" s="140"/>
      <c r="CG74" s="140"/>
      <c r="CH74" s="140"/>
      <c r="CI74" s="140"/>
      <c r="CJ74" s="140"/>
      <c r="CK74" s="140"/>
      <c r="CL74" s="140"/>
      <c r="CM74" s="140"/>
      <c r="CN74" s="140"/>
    </row>
    <row r="75" spans="2:92" x14ac:dyDescent="0.45">
      <c r="C75" s="138">
        <v>6</v>
      </c>
      <c r="D75" s="139"/>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c r="BF75" s="140"/>
      <c r="BG75" s="140"/>
      <c r="BH75" s="140"/>
      <c r="BI75" s="140"/>
      <c r="BJ75" s="140"/>
      <c r="BK75" s="140"/>
      <c r="BL75" s="140"/>
      <c r="BM75" s="140"/>
      <c r="BN75" s="140"/>
      <c r="BO75" s="140"/>
      <c r="BP75" s="140"/>
      <c r="BQ75" s="140"/>
      <c r="BR75" s="140"/>
      <c r="BS75" s="140"/>
      <c r="BT75" s="140"/>
      <c r="BU75" s="140"/>
      <c r="BV75" s="140"/>
      <c r="BW75" s="140"/>
      <c r="BX75" s="140"/>
      <c r="BY75" s="140"/>
      <c r="BZ75" s="140"/>
      <c r="CA75" s="140"/>
      <c r="CB75" s="140"/>
      <c r="CC75" s="140"/>
      <c r="CD75" s="140"/>
      <c r="CE75" s="140"/>
      <c r="CF75" s="140"/>
      <c r="CG75" s="140"/>
      <c r="CH75" s="140"/>
      <c r="CI75" s="140"/>
      <c r="CJ75" s="140"/>
      <c r="CK75" s="140"/>
      <c r="CL75" s="140"/>
      <c r="CM75" s="140"/>
      <c r="CN75" s="140"/>
    </row>
    <row r="76" spans="2:92" x14ac:dyDescent="0.45">
      <c r="C76" s="138">
        <v>7</v>
      </c>
      <c r="D76" s="139"/>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c r="BF76" s="140"/>
      <c r="BG76" s="140"/>
      <c r="BH76" s="140"/>
      <c r="BI76" s="140"/>
      <c r="BJ76" s="140"/>
      <c r="BK76" s="140"/>
      <c r="BL76" s="140"/>
      <c r="BM76" s="140"/>
      <c r="BN76" s="140"/>
      <c r="BO76" s="140"/>
      <c r="BP76" s="140"/>
      <c r="BQ76" s="140"/>
      <c r="BR76" s="140"/>
      <c r="BS76" s="140"/>
      <c r="BT76" s="140"/>
      <c r="BU76" s="140"/>
      <c r="BV76" s="140"/>
      <c r="BW76" s="140"/>
      <c r="BX76" s="140"/>
      <c r="BY76" s="140"/>
      <c r="BZ76" s="140"/>
      <c r="CA76" s="140"/>
      <c r="CB76" s="140"/>
      <c r="CC76" s="140"/>
      <c r="CD76" s="140"/>
      <c r="CE76" s="140"/>
      <c r="CF76" s="140"/>
      <c r="CG76" s="140"/>
      <c r="CH76" s="140"/>
      <c r="CI76" s="140"/>
      <c r="CJ76" s="140"/>
      <c r="CK76" s="140"/>
      <c r="CL76" s="140"/>
      <c r="CM76" s="140"/>
      <c r="CN76" s="140"/>
    </row>
    <row r="77" spans="2:92" x14ac:dyDescent="0.45">
      <c r="C77" s="138">
        <v>8</v>
      </c>
      <c r="D77" s="139"/>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c r="BF77" s="140"/>
      <c r="BG77" s="140"/>
      <c r="BH77" s="140"/>
      <c r="BI77" s="140"/>
      <c r="BJ77" s="140"/>
      <c r="BK77" s="140"/>
      <c r="BL77" s="140"/>
      <c r="BM77" s="140"/>
      <c r="BN77" s="140"/>
      <c r="BO77" s="140"/>
      <c r="BP77" s="140"/>
      <c r="BQ77" s="140"/>
      <c r="BR77" s="140"/>
      <c r="BS77" s="140"/>
      <c r="BT77" s="140"/>
      <c r="BU77" s="140"/>
      <c r="BV77" s="140"/>
      <c r="BW77" s="140"/>
      <c r="BX77" s="140"/>
      <c r="BY77" s="140"/>
      <c r="BZ77" s="140"/>
      <c r="CA77" s="140"/>
      <c r="CB77" s="140"/>
      <c r="CC77" s="140"/>
      <c r="CD77" s="140"/>
      <c r="CE77" s="140"/>
      <c r="CF77" s="140"/>
      <c r="CG77" s="140"/>
      <c r="CH77" s="140"/>
      <c r="CI77" s="140"/>
      <c r="CJ77" s="140"/>
      <c r="CK77" s="140"/>
      <c r="CL77" s="140"/>
      <c r="CM77" s="140"/>
      <c r="CN77" s="140"/>
    </row>
    <row r="78" spans="2:92" x14ac:dyDescent="0.45">
      <c r="C78" s="138">
        <v>9</v>
      </c>
      <c r="D78" s="139"/>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c r="BF78" s="140"/>
      <c r="BG78" s="140"/>
      <c r="BH78" s="140"/>
      <c r="BI78" s="140"/>
      <c r="BJ78" s="140"/>
      <c r="BK78" s="140"/>
      <c r="BL78" s="140"/>
      <c r="BM78" s="140"/>
      <c r="BN78" s="140"/>
      <c r="BO78" s="140"/>
      <c r="BP78" s="140"/>
      <c r="BQ78" s="140"/>
      <c r="BR78" s="140"/>
      <c r="BS78" s="140"/>
      <c r="BT78" s="140"/>
      <c r="BU78" s="140"/>
      <c r="BV78" s="140"/>
      <c r="BW78" s="140"/>
      <c r="BX78" s="140"/>
      <c r="BY78" s="140"/>
      <c r="BZ78" s="140"/>
      <c r="CA78" s="140"/>
      <c r="CB78" s="140"/>
      <c r="CC78" s="140"/>
      <c r="CD78" s="140"/>
      <c r="CE78" s="140"/>
      <c r="CF78" s="140"/>
      <c r="CG78" s="140"/>
      <c r="CH78" s="140"/>
      <c r="CI78" s="140"/>
      <c r="CJ78" s="140"/>
      <c r="CK78" s="140"/>
      <c r="CL78" s="140"/>
      <c r="CM78" s="140"/>
      <c r="CN78" s="140"/>
    </row>
    <row r="79" spans="2:92" x14ac:dyDescent="0.45">
      <c r="C79" s="141">
        <v>10</v>
      </c>
      <c r="D79" s="142"/>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A79" s="143"/>
      <c r="BB79" s="143"/>
      <c r="BC79" s="143"/>
      <c r="BD79" s="143"/>
      <c r="BE79" s="143"/>
      <c r="BF79" s="143"/>
      <c r="BG79" s="143"/>
      <c r="BH79" s="143"/>
      <c r="BI79" s="143"/>
      <c r="BJ79" s="143"/>
      <c r="BK79" s="143"/>
      <c r="BL79" s="143"/>
      <c r="BM79" s="143"/>
      <c r="BN79" s="143"/>
      <c r="BO79" s="143"/>
      <c r="BP79" s="143"/>
      <c r="BQ79" s="143"/>
      <c r="BR79" s="143"/>
      <c r="BS79" s="143"/>
      <c r="BT79" s="143"/>
      <c r="BU79" s="143"/>
      <c r="BV79" s="143"/>
      <c r="BW79" s="143"/>
      <c r="BX79" s="143"/>
      <c r="BY79" s="143"/>
      <c r="BZ79" s="143"/>
      <c r="CA79" s="143"/>
      <c r="CB79" s="143"/>
      <c r="CC79" s="143"/>
      <c r="CD79" s="143"/>
      <c r="CE79" s="143"/>
      <c r="CF79" s="143"/>
      <c r="CG79" s="143"/>
      <c r="CH79" s="143"/>
      <c r="CI79" s="143"/>
      <c r="CJ79" s="143"/>
      <c r="CK79" s="143"/>
      <c r="CL79" s="143"/>
      <c r="CM79" s="143"/>
      <c r="CN79" s="143"/>
    </row>
  </sheetData>
  <mergeCells count="265">
    <mergeCell ref="CP1:CS1"/>
    <mergeCell ref="CT1:CW1"/>
    <mergeCell ref="CX1:DA1"/>
    <mergeCell ref="DB1:DE1"/>
    <mergeCell ref="DF1:DI1"/>
    <mergeCell ref="DJ1:DM1"/>
    <mergeCell ref="DN1:DQ1"/>
    <mergeCell ref="DR1:DU1"/>
    <mergeCell ref="DV1:DY1"/>
    <mergeCell ref="DZ1:EC1"/>
    <mergeCell ref="ED1:EG1"/>
    <mergeCell ref="EH1:EK1"/>
    <mergeCell ref="EL1:EO1"/>
    <mergeCell ref="EP1:ES1"/>
    <mergeCell ref="ET1:EW1"/>
    <mergeCell ref="EX1:FA1"/>
    <mergeCell ref="FB1:FE1"/>
    <mergeCell ref="FF1:FI1"/>
    <mergeCell ref="FJ1:FM1"/>
    <mergeCell ref="FN1:FQ1"/>
    <mergeCell ref="FR1:FU1"/>
    <mergeCell ref="FV1:FY1"/>
    <mergeCell ref="GH1:GJ1"/>
    <mergeCell ref="B2:D2"/>
    <mergeCell ref="E2:H2"/>
    <mergeCell ref="I2:L2"/>
    <mergeCell ref="M2:P2"/>
    <mergeCell ref="Q2:T2"/>
    <mergeCell ref="U2:X2"/>
    <mergeCell ref="Y2:AB2"/>
    <mergeCell ref="AC2:AF2"/>
    <mergeCell ref="AG2:AJ2"/>
    <mergeCell ref="AK2:AN2"/>
    <mergeCell ref="AO2:AR2"/>
    <mergeCell ref="AS2:AV2"/>
    <mergeCell ref="AW2:AZ2"/>
    <mergeCell ref="BA2:BD2"/>
    <mergeCell ref="BE2:BH2"/>
    <mergeCell ref="BI2:BL2"/>
    <mergeCell ref="BM2:BP2"/>
    <mergeCell ref="BQ2:BT2"/>
    <mergeCell ref="BU2:BX2"/>
    <mergeCell ref="BY2:CB2"/>
    <mergeCell ref="CC2:CF2"/>
    <mergeCell ref="CG2:CJ2"/>
    <mergeCell ref="CK2:CN2"/>
    <mergeCell ref="CP2:CS2"/>
    <mergeCell ref="CT2:CW2"/>
    <mergeCell ref="CX2:DA2"/>
    <mergeCell ref="DB2:DE2"/>
    <mergeCell ref="DF2:DI2"/>
    <mergeCell ref="DJ2:DM2"/>
    <mergeCell ref="DN2:DQ2"/>
    <mergeCell ref="DR2:DU2"/>
    <mergeCell ref="DV2:DY2"/>
    <mergeCell ref="DZ2:EC2"/>
    <mergeCell ref="ED2:EG2"/>
    <mergeCell ref="EH2:EK2"/>
    <mergeCell ref="EL2:EO2"/>
    <mergeCell ref="EP2:ES2"/>
    <mergeCell ref="ET2:EW2"/>
    <mergeCell ref="EX2:FA2"/>
    <mergeCell ref="FB2:FE2"/>
    <mergeCell ref="FF2:FI2"/>
    <mergeCell ref="FJ2:FM2"/>
    <mergeCell ref="FN2:FQ2"/>
    <mergeCell ref="FR2:FU2"/>
    <mergeCell ref="FV2:FY2"/>
    <mergeCell ref="GH2:GJ2"/>
    <mergeCell ref="B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AK3:AL3"/>
    <mergeCell ref="AM3:AN3"/>
    <mergeCell ref="AO3:AP3"/>
    <mergeCell ref="AQ3:AR3"/>
    <mergeCell ref="AS3:AT3"/>
    <mergeCell ref="AU3:AV3"/>
    <mergeCell ref="AW3:AX3"/>
    <mergeCell ref="AY3:AZ3"/>
    <mergeCell ref="BA3:BB3"/>
    <mergeCell ref="BC3:BD3"/>
    <mergeCell ref="BE3:BF3"/>
    <mergeCell ref="BG3:BH3"/>
    <mergeCell ref="BI3:BJ3"/>
    <mergeCell ref="BK3:BL3"/>
    <mergeCell ref="BM3:BN3"/>
    <mergeCell ref="BO3:BP3"/>
    <mergeCell ref="BQ3:BR3"/>
    <mergeCell ref="BS3:BT3"/>
    <mergeCell ref="BU3:BV3"/>
    <mergeCell ref="BW3:BX3"/>
    <mergeCell ref="BY3:BZ3"/>
    <mergeCell ref="CA3:CB3"/>
    <mergeCell ref="CC3:CD3"/>
    <mergeCell ref="CE3:CF3"/>
    <mergeCell ref="CG3:CH3"/>
    <mergeCell ref="CI3:CJ3"/>
    <mergeCell ref="CK3:CL3"/>
    <mergeCell ref="CM3:CN3"/>
    <mergeCell ref="CP3:CR3"/>
    <mergeCell ref="CT3:CV3"/>
    <mergeCell ref="CX3:CZ3"/>
    <mergeCell ref="DB3:DD3"/>
    <mergeCell ref="DF3:DH3"/>
    <mergeCell ref="DJ3:DL3"/>
    <mergeCell ref="DN3:DP3"/>
    <mergeCell ref="DR3:DT3"/>
    <mergeCell ref="DV3:DX3"/>
    <mergeCell ref="DZ3:EB3"/>
    <mergeCell ref="ED3:EF3"/>
    <mergeCell ref="EH3:EJ3"/>
    <mergeCell ref="EL3:EN3"/>
    <mergeCell ref="EP3:ER3"/>
    <mergeCell ref="ET3:EV3"/>
    <mergeCell ref="EX3:EZ3"/>
    <mergeCell ref="FB3:FD3"/>
    <mergeCell ref="FF3:FH3"/>
    <mergeCell ref="FJ3:FL3"/>
    <mergeCell ref="FN3:FP3"/>
    <mergeCell ref="FR3:FT3"/>
    <mergeCell ref="FV3:FX3"/>
    <mergeCell ref="B5:B21"/>
    <mergeCell ref="B22:B24"/>
    <mergeCell ref="CP26:CS26"/>
    <mergeCell ref="CT26:CW26"/>
    <mergeCell ref="CX26:DA26"/>
    <mergeCell ref="DB26:DE26"/>
    <mergeCell ref="DF26:DI26"/>
    <mergeCell ref="DJ26:DM26"/>
    <mergeCell ref="DN26:DQ26"/>
    <mergeCell ref="DR26:DU26"/>
    <mergeCell ref="DV26:DY26"/>
    <mergeCell ref="DZ26:EC26"/>
    <mergeCell ref="ED26:EG26"/>
    <mergeCell ref="EH26:EK26"/>
    <mergeCell ref="EL26:EO26"/>
    <mergeCell ref="EP26:ES26"/>
    <mergeCell ref="ET26:EW26"/>
    <mergeCell ref="EX26:FA26"/>
    <mergeCell ref="FB26:FE26"/>
    <mergeCell ref="FF26:FI26"/>
    <mergeCell ref="FJ26:FM26"/>
    <mergeCell ref="FN26:FQ26"/>
    <mergeCell ref="FR26:FU26"/>
    <mergeCell ref="FV26:FY26"/>
    <mergeCell ref="CP27:CS27"/>
    <mergeCell ref="CT27:CW27"/>
    <mergeCell ref="CX27:DA27"/>
    <mergeCell ref="DB27:DE27"/>
    <mergeCell ref="DF27:DI27"/>
    <mergeCell ref="DJ27:DM27"/>
    <mergeCell ref="DN27:DQ27"/>
    <mergeCell ref="DR27:DU27"/>
    <mergeCell ref="DV27:DY27"/>
    <mergeCell ref="DZ27:EC27"/>
    <mergeCell ref="ED27:EG27"/>
    <mergeCell ref="EH27:EK27"/>
    <mergeCell ref="EL27:EO27"/>
    <mergeCell ref="EP27:ES27"/>
    <mergeCell ref="ET27:EW27"/>
    <mergeCell ref="EX27:FA27"/>
    <mergeCell ref="FB27:FE27"/>
    <mergeCell ref="FF27:FI27"/>
    <mergeCell ref="FJ27:FM27"/>
    <mergeCell ref="FN27:FQ27"/>
    <mergeCell ref="FR27:FU27"/>
    <mergeCell ref="FV27:FY27"/>
    <mergeCell ref="CP28:CS28"/>
    <mergeCell ref="CT28:CW28"/>
    <mergeCell ref="CX28:DA28"/>
    <mergeCell ref="DB28:DE28"/>
    <mergeCell ref="DF28:DI28"/>
    <mergeCell ref="DJ28:DM28"/>
    <mergeCell ref="DN28:DQ28"/>
    <mergeCell ref="DR28:DU28"/>
    <mergeCell ref="DV28:DY28"/>
    <mergeCell ref="DZ28:EC28"/>
    <mergeCell ref="ED28:EG28"/>
    <mergeCell ref="EH28:EK28"/>
    <mergeCell ref="EL28:EO28"/>
    <mergeCell ref="EP28:ES28"/>
    <mergeCell ref="ET28:EW28"/>
    <mergeCell ref="EX28:FA28"/>
    <mergeCell ref="FB28:FE28"/>
    <mergeCell ref="FF28:FI28"/>
    <mergeCell ref="FJ28:FM28"/>
    <mergeCell ref="FN28:FQ28"/>
    <mergeCell ref="FR28:FU28"/>
    <mergeCell ref="FV28:FY28"/>
    <mergeCell ref="B30:D30"/>
    <mergeCell ref="E31:N31"/>
    <mergeCell ref="E32:N32"/>
    <mergeCell ref="E33:N33"/>
    <mergeCell ref="E34:N34"/>
    <mergeCell ref="E35:N35"/>
    <mergeCell ref="E36:N36"/>
    <mergeCell ref="B45:D45"/>
    <mergeCell ref="B58:D58"/>
    <mergeCell ref="E59:N59"/>
    <mergeCell ref="E60:N60"/>
    <mergeCell ref="E61:N61"/>
    <mergeCell ref="E62:N62"/>
    <mergeCell ref="E63:N63"/>
    <mergeCell ref="E64:N64"/>
    <mergeCell ref="E65:N65"/>
    <mergeCell ref="B68:D68"/>
    <mergeCell ref="E69:F69"/>
    <mergeCell ref="G69:H69"/>
    <mergeCell ref="I69:J69"/>
    <mergeCell ref="K69:L69"/>
    <mergeCell ref="M69:N69"/>
    <mergeCell ref="O69:P69"/>
    <mergeCell ref="Q69:R69"/>
    <mergeCell ref="S69:T69"/>
    <mergeCell ref="U69:V69"/>
    <mergeCell ref="W69:X69"/>
    <mergeCell ref="Y69:Z69"/>
    <mergeCell ref="AA69:AB69"/>
    <mergeCell ref="AC69:AD69"/>
    <mergeCell ref="AE69:AF69"/>
    <mergeCell ref="AG69:AH69"/>
    <mergeCell ref="AI69:AJ69"/>
    <mergeCell ref="AK69:AL69"/>
    <mergeCell ref="AM69:AN69"/>
    <mergeCell ref="AO69:AP69"/>
    <mergeCell ref="AQ69:AR69"/>
    <mergeCell ref="AS69:AT69"/>
    <mergeCell ref="AU69:AV69"/>
    <mergeCell ref="AW69:AX69"/>
    <mergeCell ref="AY69:AZ69"/>
    <mergeCell ref="BA69:BB69"/>
    <mergeCell ref="BC69:BD69"/>
    <mergeCell ref="BE69:BF69"/>
    <mergeCell ref="BG69:BH69"/>
    <mergeCell ref="BI69:BJ69"/>
    <mergeCell ref="BK69:BL69"/>
    <mergeCell ref="BM69:BN69"/>
    <mergeCell ref="BO69:BP69"/>
    <mergeCell ref="CI69:CJ69"/>
    <mergeCell ref="CK69:CL69"/>
    <mergeCell ref="CM69:CN69"/>
    <mergeCell ref="BQ69:BR69"/>
    <mergeCell ref="BS69:BT69"/>
    <mergeCell ref="BU69:BV69"/>
    <mergeCell ref="BW69:BX69"/>
    <mergeCell ref="BY69:BZ69"/>
    <mergeCell ref="CA69:CB69"/>
    <mergeCell ref="CC69:CD69"/>
    <mergeCell ref="CE69:CF69"/>
    <mergeCell ref="CG69:CH69"/>
  </mergeCells>
  <conditionalFormatting sqref="GA5:GN24">
    <cfRule type="expression" dxfId="35" priority="2">
      <formula>AND(MOD(ROW(),2)=0,$D5&lt;&gt;"")</formula>
    </cfRule>
  </conditionalFormatting>
  <dataValidations count="9">
    <dataValidation type="list" allowBlank="1" showInputMessage="1" showErrorMessage="1" sqref="E5:E24 GP5:GP24 I5:I24 K5:K24 M5:M24 O5:O24 Q5:Q24 S5:S24 U5:U24 W5:W24 Y5:Y24 AA5:AA24 AC5:AC24 AE5:AE24 AG5:AG24 AI5:AI24 AK5:AK24 AM5:AM24 AO5:AO24 AQ5:AQ24 AS5:AS24 AU5:AU24 AW5:AW24 AY5:AY24 BA5:BA24 BC5:BC24 BE5:BE24 BG5:BG24 BI5:BI24 BK5:BK24 BM5:BM24 BO5:BO24 BQ5:BQ24 BS5:BS24 BU5:BU24 BW5:BW24 BY5:BY24 CA5:CA24 CC5:CC24 CE5:CE24 CG5:CG24 CI5:CI24 CK5:CK24 CM5:CM24 G5:G24" xr:uid="{00000000-0002-0000-0200-000000000000}">
      <formula1>"Yes,No"</formula1>
      <formula2>0</formula2>
    </dataValidation>
    <dataValidation type="list" allowBlank="1" showInputMessage="1" showErrorMessage="1" sqref="F5:F24 CN5:CN24 J5:J24 L5:L24 N5:N24 P5:P24 R5:R24 T5:T24 V5:V24 X5:X24 Z5:Z24 AB5:AB24 AD5:AD24 AF5:AF24 AH5:AH24 AJ5:AJ24 AL5:AL24 AN5:AN24 AP5:AP24 AR5:AR24 AT5:AT24 AV5:AV24 AX5:AX24 AZ5:AZ24 BB5:BB24 BD5:BD24 BF5:BF24 BH5:BH24 BJ5:BJ24 BL5:BL24 BN5:BN24 BP5:BP24 BR5:BR24 BT5:BT24 BV5:BV24 BX5:BX24 BZ5:BZ24 CB5:CB24 CD5:CD24 CF5:CF24 CH5:CH24 CJ5:CJ24 CL5:CL24 H5:H24" xr:uid="{00000000-0002-0000-0200-000001000000}">
      <formula1>"1,2,3,4,5"</formula1>
      <formula2>0</formula2>
    </dataValidation>
    <dataValidation type="list" allowBlank="1" showInputMessage="1" showErrorMessage="1" sqref="CP5:CP24 CT5:CT24 CX5:CX24 DB5:DB24 DF5:DF24 DJ5:DJ24 DN5:DN24 DR5:DR24 DV5:DV24 DZ5:DZ24 ED5:ED24 EH5:EH24 EL5:EL24 EP5:EP24 ET5:ET24 EX5:EX24 FB5:FB24 FF5:FF24 FJ5:FJ24 FN5:FN24 FR5:FR24 FV5:FV24" xr:uid="{00000000-0002-0000-0200-000002000000}">
      <formula1>"Yes,No,N-A"</formula1>
      <formula2>0</formula2>
    </dataValidation>
    <dataValidation type="list" allowBlank="1" showInputMessage="1" showErrorMessage="1" sqref="CP3 CT3 CX3 DB3 DF3 DJ3 DN3 DR3 DV3 DZ3 ED3 EH3 EL3 EP3 ET3 EX3 FB3 FF3 FJ3 FN3 FR3 FV3" xr:uid="{00000000-0002-0000-0200-000003000000}">
      <formula1>Opponents</formula1>
      <formula2>0</formula2>
    </dataValidation>
    <dataValidation type="list" allowBlank="1" showInputMessage="1" showErrorMessage="1" sqref="CS3 CW3 DA3 DE3 DI3 DM3 DQ3 DU3 DY3 EC3 EG3 EK3 EO3 ES3 EW3 FA3 FE3 FI3 FM3 FQ3 FU3 FY3" xr:uid="{00000000-0002-0000-0200-000004000000}">
      <formula1>"H,A"</formula1>
      <formula2>0</formula2>
    </dataValidation>
    <dataValidation type="list" allowBlank="1" showInputMessage="1" showErrorMessage="1" sqref="CS5:CS24 CW5:CW24 DA5:DA24 DE5:DE24 DI5:DI24 DM5:DM24 DQ5:DQ24 DU5:DU24 DY5:DY24 EC5:EC24 EG5:EG24 EK5:EK24 EO5:EO24 ES5:ES24 EW5:EW24 FA5:FA24 FE5:FE24 FI5:FI24 FM5:FM24 FQ5:FQ24 FU5:FU24 FY5:FY24" xr:uid="{00000000-0002-0000-0200-000005000000}">
      <formula1>"Yes"</formula1>
      <formula2>0</formula2>
    </dataValidation>
    <dataValidation type="whole" allowBlank="1" showInputMessage="1" showErrorMessage="1" sqref="CQ5:CQ24 CU5:CU24 CY5:CY24 DC5:DC24 DG5:DG24 DK5:DK24 DO5:DO24 DS5:DS24 DW5:DW24 EA5:EA24 EE5:EE24 EI5:EI24 EM5:EM24 EQ5:EQ24 EU5:EU24 EY5:EY24 FC5:FC24 FG5:FG24 FK5:FK24 FO5:FO24 FS5:FS24 FW5:FW24" xr:uid="{00000000-0002-0000-0200-000006000000}">
      <formula1>0</formula1>
      <formula2>90</formula2>
    </dataValidation>
    <dataValidation type="decimal" allowBlank="1" showInputMessage="1" showErrorMessage="1" sqref="CR5:CR24 CV5:CV24 CZ5:CZ24 DD5:DD24 DH5:DH24 DL5:DL24 DP5:DP24 DT5:DT24 DX5:DX24 EB5:EB24 EF5:EF24 EJ5:EJ24 EN5:EN24 ER5:ER24 EV5:EV24 EZ5:EZ24 FD5:FD24 FH5:FH24 FL5:FL24 FP5:FP24 FT5:FT24 FX5:FX24" xr:uid="{00000000-0002-0000-0200-000007000000}">
      <formula1>1</formula1>
      <formula2>10</formula2>
    </dataValidation>
    <dataValidation type="list" allowBlank="1" showInputMessage="1" showErrorMessage="1" sqref="E70:E79 G70:G79 I70:I79 K70:K79 M70:M79 O70:O79 Q70:Q79 S70:S79 U70:U79 W70:W79 Y70:Y79 AA70:AA79 AC70:AC79 AE70:AE79 AG70:AG79 AI70:AI79 AK70:AK79 AM70:AM79 AO70:AO79 AQ70:AQ79 AS70:AS79 AU70:AU79 AW70:AW79 AY70:AY79 BA70:BA79 BC70:BC79 BE70:BE79 BG70:BG79 BI70:BI79 BK70:BK79 BM70:BM79 BO70:BO79 BQ70:BQ79 BS70:BS79 BU70:BU79 BW70:BW79 BY70:BY79 CA70:CA79 CC70:CC79 CE70:CE79 CG70:CG79 CI70:CI79 CK70:CK79 CM70:CM79" xr:uid="{00000000-0002-0000-0200-000008000000}">
      <formula1>"Y"</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L43"/>
  <sheetViews>
    <sheetView zoomScale="90" zoomScaleNormal="90" workbookViewId="0">
      <pane xSplit="4" ySplit="5" topLeftCell="O6" activePane="bottomRight" state="frozen"/>
      <selection pane="topRight" activeCell="E1" sqref="E1"/>
      <selection pane="bottomLeft" activeCell="A18" sqref="A18"/>
      <selection pane="bottomRight" activeCell="R30" sqref="R30"/>
    </sheetView>
  </sheetViews>
  <sheetFormatPr defaultColWidth="8.53125" defaultRowHeight="14.25" x14ac:dyDescent="0.45"/>
  <cols>
    <col min="2" max="2" width="5.265625" customWidth="1"/>
    <col min="3" max="3" width="24.86328125" customWidth="1"/>
    <col min="4" max="4" width="16.86328125" customWidth="1"/>
    <col min="5" max="9" width="7.86328125" customWidth="1"/>
    <col min="10" max="10" width="10.86328125" customWidth="1"/>
    <col min="11" max="32" width="7.86328125" customWidth="1"/>
  </cols>
  <sheetData>
    <row r="2" spans="2:38" ht="18" customHeight="1" x14ac:dyDescent="0.55000000000000004">
      <c r="B2" s="456" t="s">
        <v>210</v>
      </c>
      <c r="C2" s="456"/>
      <c r="D2" s="456"/>
    </row>
    <row r="3" spans="2:38" x14ac:dyDescent="0.45">
      <c r="B3" s="457" t="s">
        <v>211</v>
      </c>
      <c r="C3" s="457"/>
      <c r="D3" s="457"/>
      <c r="E3" s="457"/>
      <c r="F3" s="457"/>
      <c r="G3" s="457"/>
      <c r="H3" s="457"/>
    </row>
    <row r="4" spans="2:38" x14ac:dyDescent="0.45">
      <c r="E4" s="506" t="s">
        <v>212</v>
      </c>
      <c r="F4" s="506"/>
      <c r="G4" s="506"/>
      <c r="H4" s="506"/>
      <c r="I4" s="506"/>
      <c r="J4" s="506"/>
      <c r="K4" s="506"/>
      <c r="L4" s="506"/>
      <c r="M4" s="458" t="s">
        <v>213</v>
      </c>
      <c r="N4" s="458"/>
      <c r="O4" s="458"/>
      <c r="P4" s="458"/>
      <c r="Q4" s="458"/>
      <c r="R4" s="458"/>
      <c r="S4" s="458"/>
      <c r="T4" s="458"/>
      <c r="U4" s="458"/>
      <c r="V4" s="506" t="s">
        <v>214</v>
      </c>
      <c r="W4" s="506"/>
      <c r="X4" s="506"/>
      <c r="Y4" s="506"/>
      <c r="Z4" s="506"/>
      <c r="AA4" s="458" t="s">
        <v>215</v>
      </c>
      <c r="AB4" s="458"/>
      <c r="AC4" s="458"/>
      <c r="AD4" s="458"/>
      <c r="AE4" s="458"/>
      <c r="AF4" s="458"/>
      <c r="AH4" s="506" t="s">
        <v>216</v>
      </c>
      <c r="AI4" s="506"/>
      <c r="AJ4" s="506"/>
      <c r="AK4" s="506"/>
      <c r="AL4" s="506"/>
    </row>
    <row r="5" spans="2:38" ht="43.5" customHeight="1" x14ac:dyDescent="0.45">
      <c r="B5" s="144" t="s">
        <v>153</v>
      </c>
      <c r="C5" s="145" t="s">
        <v>18</v>
      </c>
      <c r="D5" s="145" t="s">
        <v>217</v>
      </c>
      <c r="E5" s="146" t="s">
        <v>218</v>
      </c>
      <c r="F5" s="146" t="s">
        <v>219</v>
      </c>
      <c r="G5" s="146" t="s">
        <v>220</v>
      </c>
      <c r="H5" s="146" t="s">
        <v>221</v>
      </c>
      <c r="I5" s="146" t="s">
        <v>222</v>
      </c>
      <c r="J5" s="146" t="s">
        <v>223</v>
      </c>
      <c r="K5" s="146" t="s">
        <v>224</v>
      </c>
      <c r="L5" s="146" t="s">
        <v>225</v>
      </c>
      <c r="M5" s="146" t="s">
        <v>226</v>
      </c>
      <c r="N5" s="146" t="s">
        <v>227</v>
      </c>
      <c r="O5" s="146" t="s">
        <v>228</v>
      </c>
      <c r="P5" s="146" t="s">
        <v>229</v>
      </c>
      <c r="Q5" s="146" t="s">
        <v>230</v>
      </c>
      <c r="R5" s="146" t="s">
        <v>231</v>
      </c>
      <c r="S5" s="146" t="s">
        <v>232</v>
      </c>
      <c r="T5" s="146" t="s">
        <v>40</v>
      </c>
      <c r="U5" s="146" t="s">
        <v>233</v>
      </c>
      <c r="V5" s="146" t="s">
        <v>234</v>
      </c>
      <c r="W5" s="146" t="s">
        <v>235</v>
      </c>
      <c r="X5" s="146" t="s">
        <v>236</v>
      </c>
      <c r="Y5" s="146" t="s">
        <v>237</v>
      </c>
      <c r="Z5" s="146" t="s">
        <v>238</v>
      </c>
      <c r="AA5" s="146" t="s">
        <v>239</v>
      </c>
      <c r="AB5" s="146" t="s">
        <v>240</v>
      </c>
      <c r="AC5" s="146" t="s">
        <v>241</v>
      </c>
      <c r="AD5" s="147" t="s">
        <v>242</v>
      </c>
      <c r="AE5" s="146" t="s">
        <v>243</v>
      </c>
      <c r="AF5" s="146" t="s">
        <v>244</v>
      </c>
      <c r="AG5" s="77"/>
      <c r="AH5" s="146" t="s">
        <v>245</v>
      </c>
      <c r="AI5" s="146" t="s">
        <v>246</v>
      </c>
      <c r="AJ5" s="146" t="s">
        <v>247</v>
      </c>
      <c r="AK5" s="146" t="s">
        <v>248</v>
      </c>
      <c r="AL5" s="148" t="s">
        <v>249</v>
      </c>
    </row>
    <row r="6" spans="2:38" x14ac:dyDescent="0.45">
      <c r="B6" s="149">
        <f>IF(Attendance!$D5="","",Attendance!$C5)</f>
        <v>1</v>
      </c>
      <c r="C6" s="150" t="str">
        <f>IF(Attendance!$D5="","",Attendance!$D5)</f>
        <v>Aoife Kennan</v>
      </c>
      <c r="D6" s="151" t="s">
        <v>250</v>
      </c>
      <c r="E6" s="57">
        <v>1</v>
      </c>
      <c r="F6" s="57">
        <v>1</v>
      </c>
      <c r="G6" s="57">
        <v>12</v>
      </c>
      <c r="H6" s="57">
        <v>1</v>
      </c>
      <c r="I6" s="57">
        <v>1</v>
      </c>
      <c r="J6" s="57">
        <v>12</v>
      </c>
      <c r="K6" s="57">
        <v>1</v>
      </c>
      <c r="L6" s="57">
        <v>1</v>
      </c>
      <c r="M6" s="57">
        <v>10</v>
      </c>
      <c r="N6" s="57">
        <v>8</v>
      </c>
      <c r="O6" s="57">
        <v>8</v>
      </c>
      <c r="P6" s="57">
        <v>8</v>
      </c>
      <c r="Q6" s="57">
        <v>10</v>
      </c>
      <c r="R6" s="57">
        <v>10</v>
      </c>
      <c r="S6" s="57">
        <v>5</v>
      </c>
      <c r="T6" s="57">
        <v>10</v>
      </c>
      <c r="U6" s="57">
        <v>9</v>
      </c>
      <c r="V6" s="57">
        <v>5</v>
      </c>
      <c r="W6" s="57">
        <v>5</v>
      </c>
      <c r="X6" s="57">
        <v>6</v>
      </c>
      <c r="Y6" s="57">
        <v>8</v>
      </c>
      <c r="Z6" s="152">
        <v>8</v>
      </c>
      <c r="AA6" s="57">
        <v>8</v>
      </c>
      <c r="AB6" s="57">
        <v>8</v>
      </c>
      <c r="AC6" s="57">
        <v>8</v>
      </c>
      <c r="AD6" s="57">
        <v>8</v>
      </c>
      <c r="AE6" s="57">
        <v>8</v>
      </c>
      <c r="AF6" s="57">
        <v>8</v>
      </c>
      <c r="AG6" s="153"/>
      <c r="AH6" s="35">
        <f t="shared" ref="AH6:AH25" si="0">IF($C6="","",IFERROR(AVERAGE($E6:$L6),""))</f>
        <v>3.75</v>
      </c>
      <c r="AI6" s="35">
        <f t="shared" ref="AI6:AI25" si="1">IF($C6="","",IFERROR(AVERAGE($M6:$U6),""))</f>
        <v>8.6666666666666661</v>
      </c>
      <c r="AJ6" s="35">
        <f t="shared" ref="AJ6:AJ25" si="2">IF($C6="","",IFERROR(AVERAGE($V6:$Z6),""))</f>
        <v>6.4</v>
      </c>
      <c r="AK6" s="35">
        <f t="shared" ref="AK6:AK25" si="3">IF($C6="","",IF(COUNT($AA6:$AF6)=0,"",AVERAGE($AA6:$AF6)))</f>
        <v>8</v>
      </c>
      <c r="AL6" s="154">
        <f t="shared" ref="AL6:AL25" si="4">IF($C6="","",IFERROR(AVERAGE($AH6:$AK6),""))</f>
        <v>6.7041666666666666</v>
      </c>
    </row>
    <row r="7" spans="2:38" x14ac:dyDescent="0.45">
      <c r="B7" s="155">
        <f>IF(Attendance!$D6="","",Attendance!$C6)</f>
        <v>2</v>
      </c>
      <c r="C7" s="156" t="str">
        <f>IF(Attendance!$D6="","",Attendance!$D6)</f>
        <v>Stella McEvoy</v>
      </c>
      <c r="D7" s="157" t="s">
        <v>482</v>
      </c>
      <c r="E7" s="57">
        <v>1</v>
      </c>
      <c r="F7" s="57">
        <v>1</v>
      </c>
      <c r="G7" s="57">
        <v>12</v>
      </c>
      <c r="H7" s="57">
        <v>8</v>
      </c>
      <c r="I7" s="57">
        <v>4</v>
      </c>
      <c r="J7" s="57">
        <v>13</v>
      </c>
      <c r="K7" s="57">
        <v>1</v>
      </c>
      <c r="L7" s="57">
        <v>10</v>
      </c>
      <c r="M7" s="57">
        <v>12</v>
      </c>
      <c r="N7" s="57">
        <v>14</v>
      </c>
      <c r="O7" s="57">
        <v>13</v>
      </c>
      <c r="P7" s="57">
        <v>15</v>
      </c>
      <c r="Q7" s="57">
        <v>13</v>
      </c>
      <c r="R7" s="57">
        <v>15</v>
      </c>
      <c r="S7" s="57">
        <v>9</v>
      </c>
      <c r="T7" s="57">
        <v>15</v>
      </c>
      <c r="U7" s="57">
        <v>16</v>
      </c>
      <c r="V7" s="57">
        <v>13</v>
      </c>
      <c r="W7" s="57">
        <v>10</v>
      </c>
      <c r="X7" s="57">
        <v>15</v>
      </c>
      <c r="Y7" s="57">
        <v>15</v>
      </c>
      <c r="Z7" s="152">
        <v>15</v>
      </c>
      <c r="AA7" s="57"/>
      <c r="AB7" s="57"/>
      <c r="AC7" s="57"/>
      <c r="AD7" s="57"/>
      <c r="AE7" s="57"/>
      <c r="AF7" s="57"/>
      <c r="AG7" s="153"/>
      <c r="AH7" s="109">
        <f t="shared" si="0"/>
        <v>6.25</v>
      </c>
      <c r="AI7" s="109">
        <f t="shared" si="1"/>
        <v>13.555555555555555</v>
      </c>
      <c r="AJ7" s="109">
        <f t="shared" si="2"/>
        <v>13.6</v>
      </c>
      <c r="AK7" s="109" t="str">
        <f t="shared" si="3"/>
        <v/>
      </c>
      <c r="AL7" s="158">
        <f t="shared" si="4"/>
        <v>11.135185185185186</v>
      </c>
    </row>
    <row r="8" spans="2:38" x14ac:dyDescent="0.45">
      <c r="B8" s="149">
        <f>IF(Attendance!$D7="","",Attendance!$C7)</f>
        <v>3</v>
      </c>
      <c r="C8" s="150" t="str">
        <f>IF(Attendance!$D7="","",Attendance!$D7)</f>
        <v>Zara Power</v>
      </c>
      <c r="D8" s="151" t="s">
        <v>252</v>
      </c>
      <c r="E8" s="57">
        <v>1</v>
      </c>
      <c r="F8" s="57">
        <v>1</v>
      </c>
      <c r="G8" s="57">
        <v>10</v>
      </c>
      <c r="H8" s="57">
        <v>4</v>
      </c>
      <c r="I8" s="57">
        <v>4</v>
      </c>
      <c r="J8" s="57">
        <v>12</v>
      </c>
      <c r="K8" s="57">
        <v>1</v>
      </c>
      <c r="L8" s="57">
        <v>5</v>
      </c>
      <c r="M8" s="57">
        <v>14</v>
      </c>
      <c r="N8" s="57">
        <v>14</v>
      </c>
      <c r="O8" s="57">
        <v>13</v>
      </c>
      <c r="P8" s="57">
        <v>14</v>
      </c>
      <c r="Q8" s="57">
        <v>14</v>
      </c>
      <c r="R8" s="57">
        <v>15</v>
      </c>
      <c r="S8" s="57">
        <v>8</v>
      </c>
      <c r="T8" s="57">
        <v>15</v>
      </c>
      <c r="U8" s="57">
        <v>16</v>
      </c>
      <c r="V8" s="57">
        <v>14</v>
      </c>
      <c r="W8" s="57">
        <v>14</v>
      </c>
      <c r="X8" s="57">
        <v>14</v>
      </c>
      <c r="Y8" s="57">
        <v>14</v>
      </c>
      <c r="Z8" s="152">
        <v>10</v>
      </c>
      <c r="AA8" s="57"/>
      <c r="AB8" s="57"/>
      <c r="AC8" s="57"/>
      <c r="AD8" s="57"/>
      <c r="AE8" s="57"/>
      <c r="AF8" s="57"/>
      <c r="AG8" s="153"/>
      <c r="AH8" s="35">
        <f t="shared" si="0"/>
        <v>4.75</v>
      </c>
      <c r="AI8" s="35">
        <f t="shared" si="1"/>
        <v>13.666666666666666</v>
      </c>
      <c r="AJ8" s="35">
        <f t="shared" si="2"/>
        <v>13.2</v>
      </c>
      <c r="AK8" s="35" t="str">
        <f t="shared" si="3"/>
        <v/>
      </c>
      <c r="AL8" s="154">
        <f t="shared" si="4"/>
        <v>10.538888888888888</v>
      </c>
    </row>
    <row r="9" spans="2:38" x14ac:dyDescent="0.45">
      <c r="B9" s="155">
        <f>IF(Attendance!$D8="","",Attendance!$C8)</f>
        <v>4</v>
      </c>
      <c r="C9" s="156" t="str">
        <f>IF(Attendance!$D8="","",Attendance!$D8)</f>
        <v>Heidi Cerubini Dunne</v>
      </c>
      <c r="D9" s="157" t="s">
        <v>251</v>
      </c>
      <c r="E9" s="57">
        <v>1</v>
      </c>
      <c r="F9" s="57">
        <v>1</v>
      </c>
      <c r="G9" s="57">
        <v>4</v>
      </c>
      <c r="H9" s="57">
        <v>1</v>
      </c>
      <c r="I9" s="57">
        <v>1</v>
      </c>
      <c r="J9" s="57">
        <v>4</v>
      </c>
      <c r="K9" s="57">
        <v>1</v>
      </c>
      <c r="L9" s="57">
        <v>2</v>
      </c>
      <c r="M9" s="57">
        <v>4</v>
      </c>
      <c r="N9" s="57">
        <v>4</v>
      </c>
      <c r="O9" s="57">
        <v>8</v>
      </c>
      <c r="P9" s="57">
        <v>9</v>
      </c>
      <c r="Q9" s="57">
        <v>8</v>
      </c>
      <c r="R9" s="57">
        <v>8</v>
      </c>
      <c r="S9" s="57">
        <v>4</v>
      </c>
      <c r="T9" s="57">
        <v>4</v>
      </c>
      <c r="U9" s="57">
        <v>4</v>
      </c>
      <c r="V9" s="57">
        <v>4</v>
      </c>
      <c r="W9" s="57">
        <v>4</v>
      </c>
      <c r="X9" s="57">
        <v>4</v>
      </c>
      <c r="Y9" s="57">
        <v>8</v>
      </c>
      <c r="Z9" s="152">
        <v>4</v>
      </c>
      <c r="AA9" s="57"/>
      <c r="AB9" s="57"/>
      <c r="AC9" s="57"/>
      <c r="AD9" s="57"/>
      <c r="AE9" s="57"/>
      <c r="AF9" s="57"/>
      <c r="AG9" s="153"/>
      <c r="AH9" s="109">
        <f t="shared" si="0"/>
        <v>1.875</v>
      </c>
      <c r="AI9" s="109">
        <f t="shared" si="1"/>
        <v>5.8888888888888893</v>
      </c>
      <c r="AJ9" s="109">
        <f t="shared" si="2"/>
        <v>4.8</v>
      </c>
      <c r="AK9" s="109" t="str">
        <f t="shared" si="3"/>
        <v/>
      </c>
      <c r="AL9" s="158">
        <f t="shared" si="4"/>
        <v>4.1879629629629633</v>
      </c>
    </row>
    <row r="10" spans="2:38" x14ac:dyDescent="0.45">
      <c r="B10" s="149">
        <f>IF(Attendance!$D9="","",Attendance!$C9)</f>
        <v>5</v>
      </c>
      <c r="C10" s="150" t="str">
        <f>IF(Attendance!$D9="","",Attendance!$D9)</f>
        <v>Roisin Offenhausen</v>
      </c>
      <c r="D10" s="151" t="s">
        <v>483</v>
      </c>
      <c r="E10" s="57">
        <v>14</v>
      </c>
      <c r="F10" s="57">
        <v>14</v>
      </c>
      <c r="G10" s="57">
        <v>14</v>
      </c>
      <c r="H10" s="57">
        <v>13</v>
      </c>
      <c r="I10" s="57">
        <v>13</v>
      </c>
      <c r="J10" s="57">
        <v>12</v>
      </c>
      <c r="K10" s="57">
        <v>15</v>
      </c>
      <c r="L10" s="57">
        <v>8</v>
      </c>
      <c r="M10" s="57">
        <v>12</v>
      </c>
      <c r="N10" s="57">
        <v>12</v>
      </c>
      <c r="O10" s="57">
        <v>12</v>
      </c>
      <c r="P10" s="57">
        <v>12</v>
      </c>
      <c r="Q10" s="57">
        <v>12</v>
      </c>
      <c r="R10" s="57">
        <v>12</v>
      </c>
      <c r="S10" s="57">
        <v>15</v>
      </c>
      <c r="T10" s="57">
        <v>13</v>
      </c>
      <c r="U10" s="57">
        <v>10</v>
      </c>
      <c r="V10" s="57">
        <v>10</v>
      </c>
      <c r="W10" s="57">
        <v>10</v>
      </c>
      <c r="X10" s="57">
        <v>10</v>
      </c>
      <c r="Y10" s="57">
        <v>10</v>
      </c>
      <c r="Z10" s="152">
        <v>14</v>
      </c>
      <c r="AA10" s="57"/>
      <c r="AB10" s="57"/>
      <c r="AC10" s="57"/>
      <c r="AD10" s="57"/>
      <c r="AE10" s="57"/>
      <c r="AF10" s="57"/>
      <c r="AG10" s="153"/>
      <c r="AH10" s="35">
        <f t="shared" si="0"/>
        <v>12.875</v>
      </c>
      <c r="AI10" s="35">
        <f t="shared" si="1"/>
        <v>12.222222222222221</v>
      </c>
      <c r="AJ10" s="35">
        <f t="shared" si="2"/>
        <v>10.8</v>
      </c>
      <c r="AK10" s="35" t="str">
        <f t="shared" si="3"/>
        <v/>
      </c>
      <c r="AL10" s="154">
        <f t="shared" si="4"/>
        <v>11.965740740740742</v>
      </c>
    </row>
    <row r="11" spans="2:38" x14ac:dyDescent="0.45">
      <c r="B11" s="155">
        <f>IF(Attendance!$D10="","",Attendance!$C10)</f>
        <v>6</v>
      </c>
      <c r="C11" s="156" t="str">
        <f>IF(Attendance!$D10="","",Attendance!$D10)</f>
        <v>Naomi Adewoyin</v>
      </c>
      <c r="D11" s="157" t="s">
        <v>253</v>
      </c>
      <c r="E11" s="57">
        <v>1</v>
      </c>
      <c r="F11" s="57">
        <v>8</v>
      </c>
      <c r="G11" s="57">
        <v>14</v>
      </c>
      <c r="H11" s="57">
        <v>14</v>
      </c>
      <c r="I11" s="57">
        <v>14</v>
      </c>
      <c r="J11" s="57">
        <v>12</v>
      </c>
      <c r="K11" s="57">
        <v>5</v>
      </c>
      <c r="L11" s="57">
        <v>1</v>
      </c>
      <c r="M11" s="57">
        <v>14</v>
      </c>
      <c r="N11" s="57">
        <v>13</v>
      </c>
      <c r="O11" s="57">
        <v>13</v>
      </c>
      <c r="P11" s="57">
        <v>13</v>
      </c>
      <c r="Q11" s="57">
        <v>12</v>
      </c>
      <c r="R11" s="57">
        <v>12</v>
      </c>
      <c r="S11" s="57">
        <v>12</v>
      </c>
      <c r="T11" s="57">
        <v>12</v>
      </c>
      <c r="U11" s="57">
        <v>10</v>
      </c>
      <c r="V11" s="57">
        <v>13</v>
      </c>
      <c r="W11" s="57">
        <v>14</v>
      </c>
      <c r="X11" s="57">
        <v>10</v>
      </c>
      <c r="Y11" s="57">
        <v>10</v>
      </c>
      <c r="Z11" s="152">
        <v>13</v>
      </c>
      <c r="AA11" s="57"/>
      <c r="AB11" s="57"/>
      <c r="AC11" s="57"/>
      <c r="AD11" s="57"/>
      <c r="AE11" s="57"/>
      <c r="AF11" s="57"/>
      <c r="AG11" s="153"/>
      <c r="AH11" s="109">
        <f t="shared" si="0"/>
        <v>8.625</v>
      </c>
      <c r="AI11" s="109">
        <f t="shared" si="1"/>
        <v>12.333333333333334</v>
      </c>
      <c r="AJ11" s="109">
        <f t="shared" si="2"/>
        <v>12</v>
      </c>
      <c r="AK11" s="109" t="str">
        <f t="shared" si="3"/>
        <v/>
      </c>
      <c r="AL11" s="158">
        <f t="shared" si="4"/>
        <v>10.986111111111112</v>
      </c>
    </row>
    <row r="12" spans="2:38" x14ac:dyDescent="0.45">
      <c r="B12" s="149">
        <f>IF(Attendance!$D11="","",Attendance!$C11)</f>
        <v>7</v>
      </c>
      <c r="C12" s="150" t="str">
        <f>IF(Attendance!$D11="","",Attendance!$D11)</f>
        <v>Amber Kilalee</v>
      </c>
      <c r="D12" s="151" t="s">
        <v>254</v>
      </c>
      <c r="E12" s="57">
        <v>10</v>
      </c>
      <c r="F12" s="57">
        <v>12</v>
      </c>
      <c r="G12" s="57">
        <v>10</v>
      </c>
      <c r="H12" s="57">
        <v>10</v>
      </c>
      <c r="I12" s="57">
        <v>10</v>
      </c>
      <c r="J12" s="57">
        <v>8</v>
      </c>
      <c r="K12" s="57">
        <v>8</v>
      </c>
      <c r="L12" s="57">
        <v>8</v>
      </c>
      <c r="M12" s="57">
        <v>12</v>
      </c>
      <c r="N12" s="57">
        <v>9</v>
      </c>
      <c r="O12" s="57">
        <v>8</v>
      </c>
      <c r="P12" s="57">
        <v>8</v>
      </c>
      <c r="Q12" s="57">
        <v>8</v>
      </c>
      <c r="R12" s="57">
        <v>5</v>
      </c>
      <c r="S12" s="57">
        <v>8</v>
      </c>
      <c r="T12" s="57">
        <v>9</v>
      </c>
      <c r="U12" s="57">
        <v>8</v>
      </c>
      <c r="V12" s="57">
        <v>9</v>
      </c>
      <c r="W12" s="57">
        <v>9</v>
      </c>
      <c r="X12" s="57">
        <v>8</v>
      </c>
      <c r="Y12" s="57">
        <v>10</v>
      </c>
      <c r="Z12" s="152">
        <v>10</v>
      </c>
      <c r="AA12" s="57"/>
      <c r="AB12" s="57"/>
      <c r="AC12" s="57"/>
      <c r="AD12" s="57"/>
      <c r="AE12" s="57"/>
      <c r="AF12" s="57"/>
      <c r="AG12" s="153"/>
      <c r="AH12" s="35">
        <f t="shared" si="0"/>
        <v>9.5</v>
      </c>
      <c r="AI12" s="35">
        <f t="shared" si="1"/>
        <v>8.3333333333333339</v>
      </c>
      <c r="AJ12" s="35">
        <f t="shared" si="2"/>
        <v>9.1999999999999993</v>
      </c>
      <c r="AK12" s="35" t="str">
        <f t="shared" si="3"/>
        <v/>
      </c>
      <c r="AL12" s="154">
        <f t="shared" si="4"/>
        <v>9.0111111111111111</v>
      </c>
    </row>
    <row r="13" spans="2:38" x14ac:dyDescent="0.45">
      <c r="B13" s="155">
        <f>IF(Attendance!$D12="","",Attendance!$C12)</f>
        <v>8</v>
      </c>
      <c r="C13" s="156" t="str">
        <f>IF(Attendance!$D12="","",Attendance!$D12)</f>
        <v>Shauna Kavanagh</v>
      </c>
      <c r="D13" s="157" t="s">
        <v>255</v>
      </c>
      <c r="E13" s="57">
        <v>8</v>
      </c>
      <c r="F13" s="57">
        <v>9</v>
      </c>
      <c r="G13" s="57">
        <v>9</v>
      </c>
      <c r="H13" s="57">
        <v>11</v>
      </c>
      <c r="I13" s="57">
        <v>8</v>
      </c>
      <c r="J13" s="57">
        <v>8</v>
      </c>
      <c r="K13" s="57">
        <v>6</v>
      </c>
      <c r="L13" s="57">
        <v>2</v>
      </c>
      <c r="M13" s="57">
        <v>10</v>
      </c>
      <c r="N13" s="57">
        <v>6</v>
      </c>
      <c r="O13" s="57">
        <v>6</v>
      </c>
      <c r="P13" s="57">
        <v>8</v>
      </c>
      <c r="Q13" s="57">
        <v>9</v>
      </c>
      <c r="R13" s="57">
        <v>2</v>
      </c>
      <c r="S13" s="57">
        <v>8</v>
      </c>
      <c r="T13" s="57">
        <v>6</v>
      </c>
      <c r="U13" s="57">
        <v>6</v>
      </c>
      <c r="V13" s="57">
        <v>9</v>
      </c>
      <c r="W13" s="57">
        <v>9</v>
      </c>
      <c r="X13" s="57">
        <v>8</v>
      </c>
      <c r="Y13" s="57">
        <v>8</v>
      </c>
      <c r="Z13" s="152">
        <v>10</v>
      </c>
      <c r="AA13" s="57"/>
      <c r="AB13" s="57"/>
      <c r="AC13" s="57"/>
      <c r="AD13" s="57"/>
      <c r="AE13" s="57"/>
      <c r="AF13" s="57"/>
      <c r="AG13" s="153"/>
      <c r="AH13" s="109">
        <f t="shared" si="0"/>
        <v>7.625</v>
      </c>
      <c r="AI13" s="109">
        <f t="shared" si="1"/>
        <v>6.7777777777777777</v>
      </c>
      <c r="AJ13" s="109">
        <f t="shared" si="2"/>
        <v>8.8000000000000007</v>
      </c>
      <c r="AK13" s="109" t="str">
        <f t="shared" si="3"/>
        <v/>
      </c>
      <c r="AL13" s="158">
        <f t="shared" si="4"/>
        <v>7.7342592592592601</v>
      </c>
    </row>
    <row r="14" spans="2:38" x14ac:dyDescent="0.45">
      <c r="B14" s="149">
        <f>IF(Attendance!$D13="","",Attendance!$C13)</f>
        <v>9</v>
      </c>
      <c r="C14" s="150" t="str">
        <f>IF(Attendance!$D13="","",Attendance!$D13)</f>
        <v>Tara Brannigan</v>
      </c>
      <c r="D14" s="151" t="s">
        <v>256</v>
      </c>
      <c r="E14" s="57">
        <v>1</v>
      </c>
      <c r="F14" s="57">
        <v>8</v>
      </c>
      <c r="G14" s="57">
        <v>10</v>
      </c>
      <c r="H14" s="57">
        <v>8</v>
      </c>
      <c r="I14" s="57">
        <v>6</v>
      </c>
      <c r="J14" s="57">
        <v>12</v>
      </c>
      <c r="K14" s="57">
        <v>4</v>
      </c>
      <c r="L14" s="57">
        <v>12</v>
      </c>
      <c r="M14" s="57">
        <v>13</v>
      </c>
      <c r="N14" s="57">
        <v>13</v>
      </c>
      <c r="O14" s="57">
        <v>13</v>
      </c>
      <c r="P14" s="57">
        <v>14</v>
      </c>
      <c r="Q14" s="57">
        <v>12</v>
      </c>
      <c r="R14" s="57">
        <v>14</v>
      </c>
      <c r="S14" s="57">
        <v>13</v>
      </c>
      <c r="T14" s="57">
        <v>14</v>
      </c>
      <c r="U14" s="57">
        <v>16</v>
      </c>
      <c r="V14" s="57">
        <v>14</v>
      </c>
      <c r="W14" s="57">
        <v>14</v>
      </c>
      <c r="X14" s="57">
        <v>14</v>
      </c>
      <c r="Y14" s="57">
        <v>14</v>
      </c>
      <c r="Z14" s="152">
        <v>14</v>
      </c>
      <c r="AA14" s="57"/>
      <c r="AB14" s="57"/>
      <c r="AC14" s="57"/>
      <c r="AD14" s="57"/>
      <c r="AE14" s="57"/>
      <c r="AF14" s="57"/>
      <c r="AG14" s="153"/>
      <c r="AH14" s="35">
        <f t="shared" si="0"/>
        <v>7.625</v>
      </c>
      <c r="AI14" s="35">
        <f t="shared" si="1"/>
        <v>13.555555555555555</v>
      </c>
      <c r="AJ14" s="35">
        <f t="shared" si="2"/>
        <v>14</v>
      </c>
      <c r="AK14" s="35" t="str">
        <f t="shared" si="3"/>
        <v/>
      </c>
      <c r="AL14" s="154">
        <f t="shared" si="4"/>
        <v>11.726851851851853</v>
      </c>
    </row>
    <row r="15" spans="2:38" x14ac:dyDescent="0.45">
      <c r="B15" s="155">
        <f>IF(Attendance!$D14="","",Attendance!$C14)</f>
        <v>10</v>
      </c>
      <c r="C15" s="156" t="str">
        <f>IF(Attendance!$D14="","",Attendance!$D14)</f>
        <v>Semilore Adesanya</v>
      </c>
      <c r="D15" s="157" t="s">
        <v>257</v>
      </c>
      <c r="E15" s="57">
        <v>1</v>
      </c>
      <c r="F15" s="57">
        <v>10</v>
      </c>
      <c r="G15" s="57">
        <v>15</v>
      </c>
      <c r="H15" s="57">
        <v>12</v>
      </c>
      <c r="I15" s="57">
        <v>12</v>
      </c>
      <c r="J15" s="57">
        <v>13</v>
      </c>
      <c r="K15" s="57">
        <v>7</v>
      </c>
      <c r="L15" s="57">
        <v>15</v>
      </c>
      <c r="M15" s="57">
        <v>14</v>
      </c>
      <c r="N15" s="57">
        <v>14</v>
      </c>
      <c r="O15" s="57">
        <v>12</v>
      </c>
      <c r="P15" s="57">
        <v>15</v>
      </c>
      <c r="Q15" s="57">
        <v>14</v>
      </c>
      <c r="R15" s="57">
        <v>18</v>
      </c>
      <c r="S15" s="57">
        <v>14</v>
      </c>
      <c r="T15" s="57">
        <v>15</v>
      </c>
      <c r="U15" s="57">
        <v>16</v>
      </c>
      <c r="V15" s="57">
        <v>12</v>
      </c>
      <c r="W15" s="57">
        <v>12</v>
      </c>
      <c r="X15" s="57">
        <v>12</v>
      </c>
      <c r="Y15" s="57">
        <v>14</v>
      </c>
      <c r="Z15" s="152">
        <v>15</v>
      </c>
      <c r="AA15" s="57"/>
      <c r="AB15" s="57"/>
      <c r="AC15" s="57"/>
      <c r="AD15" s="57"/>
      <c r="AE15" s="57"/>
      <c r="AF15" s="57"/>
      <c r="AG15" s="153"/>
      <c r="AH15" s="109">
        <f t="shared" si="0"/>
        <v>10.625</v>
      </c>
      <c r="AI15" s="109">
        <f t="shared" si="1"/>
        <v>14.666666666666666</v>
      </c>
      <c r="AJ15" s="109">
        <f t="shared" si="2"/>
        <v>13</v>
      </c>
      <c r="AK15" s="109" t="str">
        <f t="shared" si="3"/>
        <v/>
      </c>
      <c r="AL15" s="158">
        <f t="shared" si="4"/>
        <v>12.763888888888888</v>
      </c>
    </row>
    <row r="16" spans="2:38" x14ac:dyDescent="0.45">
      <c r="B16" s="149">
        <f>IF(Attendance!$D15="","",Attendance!$C15)</f>
        <v>11</v>
      </c>
      <c r="C16" s="150" t="str">
        <f>IF(Attendance!$D15="","",Attendance!$D15)</f>
        <v>Hannah Fleming</v>
      </c>
      <c r="D16" s="151" t="s">
        <v>258</v>
      </c>
      <c r="E16" s="57">
        <v>10</v>
      </c>
      <c r="F16" s="57">
        <v>12</v>
      </c>
      <c r="G16" s="57">
        <v>11</v>
      </c>
      <c r="H16" s="57">
        <v>13</v>
      </c>
      <c r="I16" s="57">
        <v>13</v>
      </c>
      <c r="J16" s="57">
        <v>11</v>
      </c>
      <c r="K16" s="57">
        <v>8</v>
      </c>
      <c r="L16" s="57">
        <v>8</v>
      </c>
      <c r="M16" s="57">
        <v>12</v>
      </c>
      <c r="N16" s="57">
        <v>13</v>
      </c>
      <c r="O16" s="57">
        <v>12</v>
      </c>
      <c r="P16" s="57">
        <v>14</v>
      </c>
      <c r="Q16" s="57">
        <v>14</v>
      </c>
      <c r="R16" s="57">
        <v>15</v>
      </c>
      <c r="S16" s="57">
        <v>12</v>
      </c>
      <c r="T16" s="57">
        <v>12</v>
      </c>
      <c r="U16" s="57">
        <v>14</v>
      </c>
      <c r="V16" s="57">
        <v>13</v>
      </c>
      <c r="W16" s="57">
        <v>13</v>
      </c>
      <c r="X16" s="57">
        <v>12</v>
      </c>
      <c r="Y16" s="57">
        <v>13</v>
      </c>
      <c r="Z16" s="152">
        <v>13</v>
      </c>
      <c r="AA16" s="57"/>
      <c r="AB16" s="57"/>
      <c r="AC16" s="57"/>
      <c r="AD16" s="57"/>
      <c r="AE16" s="57"/>
      <c r="AF16" s="57"/>
      <c r="AG16" s="153"/>
      <c r="AH16" s="35">
        <f t="shared" si="0"/>
        <v>10.75</v>
      </c>
      <c r="AI16" s="35">
        <f t="shared" si="1"/>
        <v>13.111111111111111</v>
      </c>
      <c r="AJ16" s="35">
        <f t="shared" si="2"/>
        <v>12.8</v>
      </c>
      <c r="AK16" s="35" t="str">
        <f t="shared" si="3"/>
        <v/>
      </c>
      <c r="AL16" s="154">
        <f t="shared" si="4"/>
        <v>12.22037037037037</v>
      </c>
    </row>
    <row r="17" spans="2:38" x14ac:dyDescent="0.45">
      <c r="B17" s="155">
        <f>IF(Attendance!$D16="","",Attendance!$C16)</f>
        <v>12</v>
      </c>
      <c r="C17" s="156" t="str">
        <f>IF(Attendance!$D16="","",Attendance!$D16)</f>
        <v>Emma Kelly</v>
      </c>
      <c r="D17" s="157" t="s">
        <v>259</v>
      </c>
      <c r="E17" s="57">
        <v>4</v>
      </c>
      <c r="F17" s="57">
        <v>10</v>
      </c>
      <c r="G17" s="57">
        <v>14</v>
      </c>
      <c r="H17" s="57">
        <v>10</v>
      </c>
      <c r="I17" s="57">
        <v>8</v>
      </c>
      <c r="J17" s="57">
        <v>14</v>
      </c>
      <c r="K17" s="57">
        <v>4</v>
      </c>
      <c r="L17" s="57">
        <v>16</v>
      </c>
      <c r="M17" s="57">
        <v>16</v>
      </c>
      <c r="N17" s="57">
        <v>15</v>
      </c>
      <c r="O17" s="57">
        <v>13</v>
      </c>
      <c r="P17" s="57">
        <v>18</v>
      </c>
      <c r="Q17" s="57">
        <v>14</v>
      </c>
      <c r="R17" s="57">
        <v>18</v>
      </c>
      <c r="S17" s="57">
        <v>12</v>
      </c>
      <c r="T17" s="57">
        <v>18</v>
      </c>
      <c r="U17" s="57">
        <v>18</v>
      </c>
      <c r="V17" s="57">
        <v>16</v>
      </c>
      <c r="W17" s="57">
        <v>16</v>
      </c>
      <c r="X17" s="57">
        <v>15</v>
      </c>
      <c r="Y17" s="57">
        <v>15</v>
      </c>
      <c r="Z17" s="152">
        <v>15</v>
      </c>
      <c r="AA17" s="57"/>
      <c r="AB17" s="57"/>
      <c r="AC17" s="57"/>
      <c r="AD17" s="57"/>
      <c r="AE17" s="57"/>
      <c r="AF17" s="57"/>
      <c r="AG17" s="153"/>
      <c r="AH17" s="109">
        <f t="shared" si="0"/>
        <v>10</v>
      </c>
      <c r="AI17" s="109">
        <f t="shared" si="1"/>
        <v>15.777777777777779</v>
      </c>
      <c r="AJ17" s="109">
        <f t="shared" si="2"/>
        <v>15.4</v>
      </c>
      <c r="AK17" s="109" t="str">
        <f t="shared" si="3"/>
        <v/>
      </c>
      <c r="AL17" s="158">
        <f t="shared" si="4"/>
        <v>13.725925925925926</v>
      </c>
    </row>
    <row r="18" spans="2:38" x14ac:dyDescent="0.45">
      <c r="B18" s="149">
        <f>IF(Attendance!$D17="","",Attendance!$C17)</f>
        <v>13</v>
      </c>
      <c r="C18" s="150" t="str">
        <f>IF(Attendance!$D17="","",Attendance!$D17)</f>
        <v>Roma Memon</v>
      </c>
      <c r="D18" s="151" t="s">
        <v>256</v>
      </c>
      <c r="E18" s="57">
        <v>1</v>
      </c>
      <c r="F18" s="57">
        <v>5</v>
      </c>
      <c r="G18" s="57">
        <v>10</v>
      </c>
      <c r="H18" s="57">
        <v>10</v>
      </c>
      <c r="I18" s="57">
        <v>3</v>
      </c>
      <c r="J18" s="57">
        <v>10</v>
      </c>
      <c r="K18" s="57">
        <v>4</v>
      </c>
      <c r="L18" s="57">
        <v>13</v>
      </c>
      <c r="M18" s="57">
        <v>13</v>
      </c>
      <c r="N18" s="57">
        <v>13</v>
      </c>
      <c r="O18" s="57">
        <v>8</v>
      </c>
      <c r="P18" s="57">
        <v>15</v>
      </c>
      <c r="Q18" s="57">
        <v>8</v>
      </c>
      <c r="R18" s="57">
        <v>15</v>
      </c>
      <c r="S18" s="57">
        <v>12</v>
      </c>
      <c r="T18" s="57">
        <v>14</v>
      </c>
      <c r="U18" s="57">
        <v>16</v>
      </c>
      <c r="V18" s="57">
        <v>10</v>
      </c>
      <c r="W18" s="57">
        <v>10</v>
      </c>
      <c r="X18" s="57">
        <v>15</v>
      </c>
      <c r="Y18" s="57">
        <v>13</v>
      </c>
      <c r="Z18" s="152">
        <v>13</v>
      </c>
      <c r="AA18" s="57"/>
      <c r="AB18" s="57"/>
      <c r="AC18" s="57"/>
      <c r="AD18" s="57"/>
      <c r="AE18" s="57"/>
      <c r="AF18" s="57"/>
      <c r="AG18" s="153"/>
      <c r="AH18" s="35">
        <f t="shared" si="0"/>
        <v>7</v>
      </c>
      <c r="AI18" s="35">
        <f t="shared" si="1"/>
        <v>12.666666666666666</v>
      </c>
      <c r="AJ18" s="35">
        <f t="shared" si="2"/>
        <v>12.2</v>
      </c>
      <c r="AK18" s="35" t="str">
        <f t="shared" si="3"/>
        <v/>
      </c>
      <c r="AL18" s="154">
        <f t="shared" si="4"/>
        <v>10.622222222222222</v>
      </c>
    </row>
    <row r="19" spans="2:38" x14ac:dyDescent="0.45">
      <c r="B19" s="155">
        <f>IF(Attendance!$D18="","",Attendance!$C18)</f>
        <v>14</v>
      </c>
      <c r="C19" s="156" t="str">
        <f>IF(Attendance!$D18="","",Attendance!$D18)</f>
        <v>Emma Dromgoole</v>
      </c>
      <c r="D19" s="157" t="s">
        <v>260</v>
      </c>
      <c r="E19" s="57">
        <v>1</v>
      </c>
      <c r="F19" s="57">
        <v>8</v>
      </c>
      <c r="G19" s="57">
        <v>6</v>
      </c>
      <c r="H19" s="57">
        <v>9</v>
      </c>
      <c r="I19" s="57">
        <v>6</v>
      </c>
      <c r="J19" s="57">
        <v>8</v>
      </c>
      <c r="K19" s="57">
        <v>4</v>
      </c>
      <c r="L19" s="57">
        <v>5</v>
      </c>
      <c r="M19" s="57">
        <v>8</v>
      </c>
      <c r="N19" s="57">
        <v>10</v>
      </c>
      <c r="O19" s="57">
        <v>10</v>
      </c>
      <c r="P19" s="57">
        <v>15</v>
      </c>
      <c r="Q19" s="57">
        <v>10</v>
      </c>
      <c r="R19" s="57">
        <v>15</v>
      </c>
      <c r="S19" s="57">
        <v>15</v>
      </c>
      <c r="T19" s="57">
        <v>14</v>
      </c>
      <c r="U19" s="57">
        <v>12</v>
      </c>
      <c r="V19" s="57">
        <v>11</v>
      </c>
      <c r="W19" s="57">
        <v>11</v>
      </c>
      <c r="X19" s="57">
        <v>11</v>
      </c>
      <c r="Y19" s="57">
        <v>10</v>
      </c>
      <c r="Z19" s="152">
        <v>12</v>
      </c>
      <c r="AA19" s="57"/>
      <c r="AB19" s="57"/>
      <c r="AC19" s="57"/>
      <c r="AD19" s="57"/>
      <c r="AE19" s="57"/>
      <c r="AF19" s="57"/>
      <c r="AG19" s="153"/>
      <c r="AH19" s="109">
        <f t="shared" si="0"/>
        <v>5.875</v>
      </c>
      <c r="AI19" s="109">
        <f t="shared" si="1"/>
        <v>12.111111111111111</v>
      </c>
      <c r="AJ19" s="109">
        <f t="shared" si="2"/>
        <v>11</v>
      </c>
      <c r="AK19" s="109" t="str">
        <f t="shared" si="3"/>
        <v/>
      </c>
      <c r="AL19" s="158">
        <f t="shared" si="4"/>
        <v>9.6620370370370363</v>
      </c>
    </row>
    <row r="20" spans="2:38" x14ac:dyDescent="0.45">
      <c r="B20" s="149">
        <f>IF(Attendance!$D19="","",Attendance!$C19)</f>
        <v>15</v>
      </c>
      <c r="C20" s="150" t="str">
        <f>IF(Attendance!$D19="","",Attendance!$D19)</f>
        <v>Elsie Morrison</v>
      </c>
      <c r="D20" s="151" t="s">
        <v>261</v>
      </c>
      <c r="E20" s="57">
        <v>9</v>
      </c>
      <c r="F20" s="57">
        <v>12</v>
      </c>
      <c r="G20" s="57">
        <v>12</v>
      </c>
      <c r="H20" s="57">
        <v>12</v>
      </c>
      <c r="I20" s="57">
        <v>12</v>
      </c>
      <c r="J20" s="57">
        <v>10</v>
      </c>
      <c r="K20" s="57">
        <v>12</v>
      </c>
      <c r="L20" s="57">
        <v>5</v>
      </c>
      <c r="M20" s="57">
        <v>13</v>
      </c>
      <c r="N20" s="57">
        <v>12</v>
      </c>
      <c r="O20" s="57">
        <v>10</v>
      </c>
      <c r="P20" s="57">
        <v>12</v>
      </c>
      <c r="Q20" s="57">
        <v>11</v>
      </c>
      <c r="R20" s="57">
        <v>9</v>
      </c>
      <c r="S20" s="57">
        <v>13</v>
      </c>
      <c r="T20" s="57">
        <v>13</v>
      </c>
      <c r="U20" s="57">
        <v>12</v>
      </c>
      <c r="V20" s="57">
        <v>12</v>
      </c>
      <c r="W20" s="57">
        <v>12</v>
      </c>
      <c r="X20" s="57">
        <v>10</v>
      </c>
      <c r="Y20" s="57">
        <v>10</v>
      </c>
      <c r="Z20" s="152">
        <v>12</v>
      </c>
      <c r="AA20" s="57">
        <v>10</v>
      </c>
      <c r="AB20" s="57">
        <v>8</v>
      </c>
      <c r="AC20" s="57">
        <v>10</v>
      </c>
      <c r="AD20" s="57">
        <v>8</v>
      </c>
      <c r="AE20" s="57">
        <v>8</v>
      </c>
      <c r="AF20" s="57">
        <v>8</v>
      </c>
      <c r="AG20" s="153"/>
      <c r="AH20" s="35">
        <f t="shared" si="0"/>
        <v>10.5</v>
      </c>
      <c r="AI20" s="35">
        <f t="shared" si="1"/>
        <v>11.666666666666666</v>
      </c>
      <c r="AJ20" s="35">
        <f t="shared" si="2"/>
        <v>11.2</v>
      </c>
      <c r="AK20" s="35">
        <f t="shared" si="3"/>
        <v>8.6666666666666661</v>
      </c>
      <c r="AL20" s="154">
        <f t="shared" si="4"/>
        <v>10.508333333333331</v>
      </c>
    </row>
    <row r="21" spans="2:38" x14ac:dyDescent="0.45">
      <c r="B21" s="155">
        <f>IF(Attendance!$D20="","",Attendance!$C20)</f>
        <v>16</v>
      </c>
      <c r="C21" s="156" t="str">
        <f>IF(Attendance!$D20="","",Attendance!$D20)</f>
        <v>Zara Freeman</v>
      </c>
      <c r="D21" s="157" t="s">
        <v>262</v>
      </c>
      <c r="E21" s="57">
        <v>5</v>
      </c>
      <c r="F21" s="57">
        <v>10</v>
      </c>
      <c r="G21" s="57">
        <v>14</v>
      </c>
      <c r="H21" s="57">
        <v>16</v>
      </c>
      <c r="I21" s="57">
        <v>15</v>
      </c>
      <c r="J21" s="57">
        <v>12</v>
      </c>
      <c r="K21" s="57">
        <v>14</v>
      </c>
      <c r="L21" s="57">
        <v>8</v>
      </c>
      <c r="M21" s="57">
        <v>15</v>
      </c>
      <c r="N21" s="57">
        <v>15</v>
      </c>
      <c r="O21" s="57">
        <v>12</v>
      </c>
      <c r="P21" s="57">
        <v>13</v>
      </c>
      <c r="Q21" s="57">
        <v>13</v>
      </c>
      <c r="R21" s="57">
        <v>10</v>
      </c>
      <c r="S21" s="57">
        <v>16</v>
      </c>
      <c r="T21" s="57">
        <v>14</v>
      </c>
      <c r="U21" s="57">
        <v>13</v>
      </c>
      <c r="V21" s="57">
        <v>10</v>
      </c>
      <c r="W21" s="57">
        <v>10</v>
      </c>
      <c r="X21" s="57">
        <v>10</v>
      </c>
      <c r="Y21" s="57">
        <v>10</v>
      </c>
      <c r="Z21" s="152">
        <v>12</v>
      </c>
      <c r="AA21" s="57"/>
      <c r="AB21" s="57"/>
      <c r="AC21" s="57"/>
      <c r="AD21" s="57"/>
      <c r="AE21" s="57"/>
      <c r="AF21" s="57"/>
      <c r="AG21" s="153"/>
      <c r="AH21" s="109">
        <f t="shared" si="0"/>
        <v>11.75</v>
      </c>
      <c r="AI21" s="109">
        <f t="shared" si="1"/>
        <v>13.444444444444445</v>
      </c>
      <c r="AJ21" s="109">
        <f t="shared" si="2"/>
        <v>10.4</v>
      </c>
      <c r="AK21" s="109" t="str">
        <f t="shared" si="3"/>
        <v/>
      </c>
      <c r="AL21" s="158">
        <f t="shared" si="4"/>
        <v>11.864814814814814</v>
      </c>
    </row>
    <row r="22" spans="2:38" x14ac:dyDescent="0.45">
      <c r="B22" s="149">
        <f>IF(Attendance!$D21="","",Attendance!$C21)</f>
        <v>17</v>
      </c>
      <c r="C22" s="150" t="str">
        <f>IF(Attendance!$D21="","",Attendance!$D21)</f>
        <v>Mariana Soares</v>
      </c>
      <c r="D22" s="151" t="s">
        <v>263</v>
      </c>
      <c r="E22" s="57">
        <v>1</v>
      </c>
      <c r="F22" s="57">
        <v>10</v>
      </c>
      <c r="G22" s="57">
        <v>13</v>
      </c>
      <c r="H22" s="57">
        <v>5</v>
      </c>
      <c r="I22" s="57">
        <v>5</v>
      </c>
      <c r="J22" s="57">
        <v>12</v>
      </c>
      <c r="K22" s="57">
        <v>1</v>
      </c>
      <c r="L22" s="57">
        <v>15</v>
      </c>
      <c r="M22" s="57">
        <v>15</v>
      </c>
      <c r="N22" s="57">
        <v>15</v>
      </c>
      <c r="O22" s="57">
        <v>14</v>
      </c>
      <c r="P22" s="57">
        <v>14</v>
      </c>
      <c r="Q22" s="57">
        <v>15</v>
      </c>
      <c r="R22" s="57">
        <v>15</v>
      </c>
      <c r="S22" s="57">
        <v>10</v>
      </c>
      <c r="T22" s="57">
        <v>15</v>
      </c>
      <c r="U22" s="57">
        <v>14</v>
      </c>
      <c r="V22" s="57">
        <v>12</v>
      </c>
      <c r="W22" s="57">
        <v>12</v>
      </c>
      <c r="X22" s="57">
        <v>8</v>
      </c>
      <c r="Y22" s="57">
        <v>8</v>
      </c>
      <c r="Z22" s="152">
        <v>8</v>
      </c>
      <c r="AA22" s="57"/>
      <c r="AB22" s="57"/>
      <c r="AC22" s="57"/>
      <c r="AD22" s="57"/>
      <c r="AE22" s="57"/>
      <c r="AF22" s="57"/>
      <c r="AG22" s="153"/>
      <c r="AH22" s="35">
        <f t="shared" si="0"/>
        <v>7.75</v>
      </c>
      <c r="AI22" s="35">
        <f t="shared" si="1"/>
        <v>14.111111111111111</v>
      </c>
      <c r="AJ22" s="35">
        <f t="shared" si="2"/>
        <v>9.6</v>
      </c>
      <c r="AK22" s="35" t="str">
        <f t="shared" si="3"/>
        <v/>
      </c>
      <c r="AL22" s="154">
        <f t="shared" si="4"/>
        <v>10.487037037037036</v>
      </c>
    </row>
    <row r="23" spans="2:38" x14ac:dyDescent="0.45">
      <c r="B23" s="155">
        <f>IF(Attendance!$D22="","",Attendance!$C22)</f>
        <v>18</v>
      </c>
      <c r="C23" s="156" t="str">
        <f>IF(Attendance!$D22="","",Attendance!$D22)</f>
        <v>Rama Abuowda</v>
      </c>
      <c r="D23" s="157" t="s">
        <v>499</v>
      </c>
      <c r="E23" s="355">
        <v>12</v>
      </c>
      <c r="F23" s="355">
        <v>12</v>
      </c>
      <c r="G23" s="355">
        <v>15</v>
      </c>
      <c r="H23" s="355">
        <v>15</v>
      </c>
      <c r="I23" s="355">
        <v>14</v>
      </c>
      <c r="J23" s="355">
        <v>16</v>
      </c>
      <c r="K23" s="355">
        <v>10</v>
      </c>
      <c r="L23" s="355">
        <v>10</v>
      </c>
      <c r="M23" s="355">
        <v>16</v>
      </c>
      <c r="N23" s="355">
        <v>16</v>
      </c>
      <c r="O23" s="355">
        <v>15</v>
      </c>
      <c r="P23" s="355">
        <v>15</v>
      </c>
      <c r="Q23" s="355">
        <v>15</v>
      </c>
      <c r="R23" s="355">
        <v>12</v>
      </c>
      <c r="S23" s="355">
        <v>15</v>
      </c>
      <c r="T23" s="355">
        <v>15</v>
      </c>
      <c r="U23" s="355">
        <v>15</v>
      </c>
      <c r="V23" s="355">
        <v>13</v>
      </c>
      <c r="W23" s="355">
        <v>13</v>
      </c>
      <c r="X23" s="355">
        <v>13</v>
      </c>
      <c r="Y23" s="355">
        <v>13</v>
      </c>
      <c r="Z23" s="355">
        <v>13</v>
      </c>
      <c r="AA23" s="355"/>
      <c r="AB23" s="355"/>
      <c r="AC23" s="355"/>
      <c r="AD23" s="355"/>
      <c r="AE23" s="355"/>
      <c r="AF23" s="355"/>
      <c r="AG23" s="153"/>
      <c r="AH23" s="109">
        <f t="shared" si="0"/>
        <v>13</v>
      </c>
      <c r="AI23" s="109">
        <f t="shared" si="1"/>
        <v>14.888888888888889</v>
      </c>
      <c r="AJ23" s="109">
        <f t="shared" si="2"/>
        <v>13</v>
      </c>
      <c r="AK23" s="109" t="str">
        <f t="shared" si="3"/>
        <v/>
      </c>
      <c r="AL23" s="158">
        <f t="shared" si="4"/>
        <v>13.629629629629628</v>
      </c>
    </row>
    <row r="24" spans="2:38" x14ac:dyDescent="0.45">
      <c r="B24" s="149">
        <v>19</v>
      </c>
      <c r="C24" s="150" t="str">
        <f>IF(Attendance!$D23="","",Attendance!$D23)</f>
        <v/>
      </c>
      <c r="D24" s="151"/>
      <c r="E24" s="159"/>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3"/>
      <c r="AH24" s="35" t="str">
        <f t="shared" si="0"/>
        <v/>
      </c>
      <c r="AI24" s="35" t="str">
        <f t="shared" si="1"/>
        <v/>
      </c>
      <c r="AJ24" s="35" t="str">
        <f t="shared" si="2"/>
        <v/>
      </c>
      <c r="AK24" s="35" t="str">
        <f t="shared" si="3"/>
        <v/>
      </c>
      <c r="AL24" s="154" t="str">
        <f t="shared" si="4"/>
        <v/>
      </c>
    </row>
    <row r="25" spans="2:38" x14ac:dyDescent="0.45">
      <c r="B25" s="160">
        <v>20</v>
      </c>
      <c r="C25" s="161" t="str">
        <f>IF(Attendance!$D24="","",Attendance!$D24)</f>
        <v/>
      </c>
      <c r="D25" s="162"/>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66"/>
      <c r="AH25" s="115" t="str">
        <f t="shared" si="0"/>
        <v/>
      </c>
      <c r="AI25" s="115" t="str">
        <f t="shared" si="1"/>
        <v/>
      </c>
      <c r="AJ25" s="115" t="str">
        <f t="shared" si="2"/>
        <v/>
      </c>
      <c r="AK25" s="115" t="str">
        <f t="shared" si="3"/>
        <v/>
      </c>
      <c r="AL25" s="164" t="str">
        <f t="shared" si="4"/>
        <v/>
      </c>
    </row>
    <row r="27" spans="2:38" x14ac:dyDescent="0.45">
      <c r="D27" s="120" t="s">
        <v>264</v>
      </c>
      <c r="E27" s="165">
        <f t="shared" ref="E27:AF27" si="5">IFERROR(AVERAGE(E6:E25),"")</f>
        <v>4.5555555555555554</v>
      </c>
      <c r="F27" s="165">
        <f t="shared" si="5"/>
        <v>8</v>
      </c>
      <c r="G27" s="165">
        <f t="shared" si="5"/>
        <v>11.388888888888889</v>
      </c>
      <c r="H27" s="165">
        <f t="shared" si="5"/>
        <v>9.5555555555555554</v>
      </c>
      <c r="I27" s="165">
        <f t="shared" si="5"/>
        <v>8.2777777777777786</v>
      </c>
      <c r="J27" s="165">
        <f t="shared" si="5"/>
        <v>11.055555555555555</v>
      </c>
      <c r="K27" s="165">
        <f t="shared" si="5"/>
        <v>5.8888888888888893</v>
      </c>
      <c r="L27" s="165">
        <f t="shared" si="5"/>
        <v>8</v>
      </c>
      <c r="M27" s="165">
        <f t="shared" si="5"/>
        <v>12.388888888888889</v>
      </c>
      <c r="N27" s="165">
        <f t="shared" si="5"/>
        <v>12</v>
      </c>
      <c r="O27" s="165">
        <f t="shared" si="5"/>
        <v>11.111111111111111</v>
      </c>
      <c r="P27" s="165">
        <f t="shared" si="5"/>
        <v>12.888888888888889</v>
      </c>
      <c r="Q27" s="165">
        <f t="shared" si="5"/>
        <v>11.777777777777779</v>
      </c>
      <c r="R27" s="165">
        <f t="shared" si="5"/>
        <v>12.222222222222221</v>
      </c>
      <c r="S27" s="165">
        <f t="shared" si="5"/>
        <v>11.166666666666666</v>
      </c>
      <c r="T27" s="165">
        <f t="shared" si="5"/>
        <v>12.666666666666666</v>
      </c>
      <c r="U27" s="165">
        <f t="shared" si="5"/>
        <v>12.5</v>
      </c>
      <c r="V27" s="165">
        <f t="shared" si="5"/>
        <v>11.111111111111111</v>
      </c>
      <c r="W27" s="165">
        <f t="shared" si="5"/>
        <v>11</v>
      </c>
      <c r="X27" s="165">
        <f t="shared" si="5"/>
        <v>10.833333333333334</v>
      </c>
      <c r="Y27" s="165">
        <f t="shared" si="5"/>
        <v>11.277777777777779</v>
      </c>
      <c r="Z27" s="165">
        <f t="shared" si="5"/>
        <v>11.722222222222221</v>
      </c>
      <c r="AA27" s="165">
        <f t="shared" si="5"/>
        <v>9</v>
      </c>
      <c r="AB27" s="165">
        <f t="shared" si="5"/>
        <v>8</v>
      </c>
      <c r="AC27" s="165">
        <f t="shared" si="5"/>
        <v>9</v>
      </c>
      <c r="AD27" s="165">
        <f t="shared" si="5"/>
        <v>8</v>
      </c>
      <c r="AE27" s="165">
        <f t="shared" si="5"/>
        <v>8</v>
      </c>
      <c r="AF27" s="165">
        <f t="shared" si="5"/>
        <v>8</v>
      </c>
      <c r="AG27" s="165"/>
      <c r="AH27" s="165">
        <f>IFERROR(AVERAGE(AH6:AH25),"")</f>
        <v>8.3402777777777786</v>
      </c>
      <c r="AI27" s="165">
        <f>IFERROR(AVERAGE(AI6:AI25),"")</f>
        <v>12.080246913580247</v>
      </c>
      <c r="AJ27" s="165">
        <f>IFERROR(AVERAGE(AJ6:AJ25),"")</f>
        <v>11.188888888888888</v>
      </c>
      <c r="AK27" s="165">
        <f>IFERROR(AVERAGE(AK6:AK25),"")</f>
        <v>8.3333333333333321</v>
      </c>
      <c r="AL27" s="165">
        <f>IFERROR(AVERAGE(AL6:AL25),"")</f>
        <v>10.526363168724279</v>
      </c>
    </row>
    <row r="30" spans="2:38" x14ac:dyDescent="0.45">
      <c r="B30" s="436" t="s">
        <v>265</v>
      </c>
      <c r="C30" s="436"/>
      <c r="D30" s="436"/>
    </row>
    <row r="31" spans="2:38" x14ac:dyDescent="0.45">
      <c r="C31" s="121" t="s">
        <v>266</v>
      </c>
      <c r="D31" s="166" t="s">
        <v>217</v>
      </c>
    </row>
    <row r="32" spans="2:38" x14ac:dyDescent="0.45">
      <c r="C32" s="167" t="s">
        <v>250</v>
      </c>
      <c r="D32" s="168" t="s">
        <v>267</v>
      </c>
    </row>
    <row r="33" spans="2:8" x14ac:dyDescent="0.45">
      <c r="C33" s="167" t="s">
        <v>252</v>
      </c>
      <c r="D33" s="168" t="s">
        <v>268</v>
      </c>
    </row>
    <row r="34" spans="2:8" x14ac:dyDescent="0.45">
      <c r="C34" s="167" t="s">
        <v>269</v>
      </c>
      <c r="D34" s="168" t="s">
        <v>270</v>
      </c>
    </row>
    <row r="35" spans="2:8" x14ac:dyDescent="0.45">
      <c r="C35" s="167" t="s">
        <v>259</v>
      </c>
      <c r="D35" s="168" t="s">
        <v>271</v>
      </c>
    </row>
    <row r="36" spans="2:8" x14ac:dyDescent="0.45">
      <c r="C36" s="167" t="s">
        <v>272</v>
      </c>
      <c r="D36" s="168" t="s">
        <v>273</v>
      </c>
    </row>
    <row r="37" spans="2:8" x14ac:dyDescent="0.45">
      <c r="C37" s="167" t="s">
        <v>274</v>
      </c>
      <c r="D37" s="168" t="s">
        <v>275</v>
      </c>
    </row>
    <row r="38" spans="2:8" x14ac:dyDescent="0.45">
      <c r="C38" s="167" t="s">
        <v>276</v>
      </c>
      <c r="D38" s="168" t="s">
        <v>277</v>
      </c>
    </row>
    <row r="39" spans="2:8" x14ac:dyDescent="0.45">
      <c r="C39" s="167" t="s">
        <v>278</v>
      </c>
      <c r="D39" s="168" t="s">
        <v>279</v>
      </c>
    </row>
    <row r="40" spans="2:8" x14ac:dyDescent="0.45">
      <c r="C40" s="167" t="s">
        <v>280</v>
      </c>
      <c r="D40" s="168" t="s">
        <v>281</v>
      </c>
    </row>
    <row r="41" spans="2:8" x14ac:dyDescent="0.45">
      <c r="C41" s="169" t="s">
        <v>282</v>
      </c>
      <c r="D41" s="170" t="s">
        <v>283</v>
      </c>
    </row>
    <row r="43" spans="2:8" x14ac:dyDescent="0.45">
      <c r="B43" s="457" t="s">
        <v>284</v>
      </c>
      <c r="C43" s="457"/>
      <c r="D43" s="457"/>
      <c r="E43" s="457"/>
      <c r="F43" s="457"/>
      <c r="G43" s="457"/>
      <c r="H43" s="457"/>
    </row>
  </sheetData>
  <mergeCells count="9">
    <mergeCell ref="AA4:AF4"/>
    <mergeCell ref="AH4:AL4"/>
    <mergeCell ref="B30:D30"/>
    <mergeCell ref="B43:H43"/>
    <mergeCell ref="B2:D2"/>
    <mergeCell ref="B3:H3"/>
    <mergeCell ref="E4:L4"/>
    <mergeCell ref="M4:U4"/>
    <mergeCell ref="V4:Z4"/>
  </mergeCells>
  <conditionalFormatting sqref="E6:AF25">
    <cfRule type="colorScale" priority="4">
      <colorScale>
        <cfvo type="num" val="1"/>
        <cfvo type="num" val="10.5"/>
        <cfvo type="num" val="20"/>
        <color rgb="FFF8696B"/>
        <color rgb="FFFFEB84"/>
        <color rgb="FF63BE7B"/>
      </colorScale>
    </cfRule>
  </conditionalFormatting>
  <conditionalFormatting sqref="AA6:AF23">
    <cfRule type="expression" dxfId="34" priority="5">
      <formula>ISERROR(SEARCH("GK",$D6))</formula>
    </cfRule>
  </conditionalFormatting>
  <dataValidations count="2">
    <dataValidation type="decimal" allowBlank="1" showInputMessage="1" showErrorMessage="1" sqref="E23:AF25" xr:uid="{00000000-0002-0000-0300-000000000000}">
      <formula1>1</formula1>
      <formula2>20</formula2>
    </dataValidation>
    <dataValidation type="whole" allowBlank="1" showInputMessage="1" showErrorMessage="1" errorTitle="Grade out of range" error="Please enter a whole number from 1 to 20." promptTitle="Player grade" prompt="Grade 1 (poor) to 20 (excellent)." sqref="E6:AF22" xr:uid="{00000000-0002-0000-0300-000001000000}">
      <formula1>1</formula1>
      <formula2>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B216"/>
  <sheetViews>
    <sheetView tabSelected="1" zoomScaleNormal="100" workbookViewId="0">
      <pane xSplit="1" ySplit="6" topLeftCell="F7" activePane="bottomRight" state="frozen"/>
      <selection pane="topRight" activeCell="B1" sqref="B1"/>
      <selection pane="bottomLeft" activeCell="A39" sqref="A39"/>
      <selection pane="bottomRight" activeCell="L6" sqref="L6"/>
    </sheetView>
  </sheetViews>
  <sheetFormatPr defaultColWidth="8.53125" defaultRowHeight="14.25" outlineLevelRow="1" x14ac:dyDescent="0.45"/>
  <cols>
    <col min="2" max="2" width="6" customWidth="1"/>
    <col min="3" max="3" width="23.1328125" customWidth="1"/>
    <col min="4" max="4" width="16" customWidth="1"/>
    <col min="5" max="5" width="12.3984375" customWidth="1"/>
    <col min="6" max="6" width="26.73046875" customWidth="1"/>
    <col min="7" max="9" width="13.86328125" customWidth="1"/>
    <col min="10" max="10" width="11.3984375" customWidth="1"/>
    <col min="11" max="29" width="9.265625" customWidth="1"/>
  </cols>
  <sheetData>
    <row r="2" spans="2:21" ht="18" customHeight="1" x14ac:dyDescent="0.55000000000000004">
      <c r="B2" s="456" t="s">
        <v>285</v>
      </c>
      <c r="C2" s="456"/>
      <c r="D2" s="456"/>
      <c r="E2" s="456"/>
      <c r="F2" s="456"/>
    </row>
    <row r="3" spans="2:21" x14ac:dyDescent="0.45">
      <c r="B3" s="457" t="s">
        <v>286</v>
      </c>
      <c r="C3" s="457"/>
      <c r="D3" s="457"/>
      <c r="E3" s="457"/>
      <c r="F3" s="457"/>
      <c r="G3" s="457"/>
      <c r="H3" s="457"/>
      <c r="I3" s="457"/>
      <c r="J3" s="457"/>
      <c r="K3" s="457"/>
      <c r="L3" s="457"/>
    </row>
    <row r="4" spans="2:21" ht="18" customHeight="1" x14ac:dyDescent="0.45">
      <c r="B4" s="171" t="s">
        <v>287</v>
      </c>
      <c r="C4" s="172" t="s">
        <v>288</v>
      </c>
      <c r="D4" s="172" t="s">
        <v>289</v>
      </c>
      <c r="E4" s="172" t="s">
        <v>290</v>
      </c>
      <c r="F4" s="172" t="s">
        <v>291</v>
      </c>
      <c r="G4" s="173"/>
      <c r="H4" s="172" t="s">
        <v>292</v>
      </c>
      <c r="I4" s="172" t="s">
        <v>293</v>
      </c>
      <c r="J4" s="173"/>
      <c r="K4" s="172" t="s">
        <v>294</v>
      </c>
      <c r="L4" s="173"/>
      <c r="N4" s="174" t="s">
        <v>295</v>
      </c>
      <c r="O4" s="175" t="s">
        <v>296</v>
      </c>
      <c r="Q4" s="176" t="s">
        <v>297</v>
      </c>
    </row>
    <row r="5" spans="2:21" ht="26.25" customHeight="1" x14ac:dyDescent="0.45">
      <c r="B5" s="177" t="s">
        <v>298</v>
      </c>
      <c r="C5" s="178" t="s">
        <v>299</v>
      </c>
      <c r="D5" s="178" t="s">
        <v>300</v>
      </c>
      <c r="E5" s="178" t="s">
        <v>301</v>
      </c>
      <c r="F5" s="178" t="s">
        <v>302</v>
      </c>
      <c r="G5" s="178" t="s">
        <v>303</v>
      </c>
      <c r="H5" s="178" t="s">
        <v>304</v>
      </c>
      <c r="I5" s="179"/>
      <c r="J5" s="180" t="s">
        <v>305</v>
      </c>
      <c r="K5" s="181" t="s">
        <v>306</v>
      </c>
      <c r="L5" s="181" t="s">
        <v>484</v>
      </c>
      <c r="M5" s="182" t="s">
        <v>307</v>
      </c>
      <c r="N5" s="182" t="s">
        <v>308</v>
      </c>
      <c r="O5" s="182" t="s">
        <v>309</v>
      </c>
    </row>
    <row r="6" spans="2:21" x14ac:dyDescent="0.45">
      <c r="B6" s="183">
        <v>1</v>
      </c>
      <c r="C6" s="184" t="str">
        <f t="array" ref="C6">IFERROR(IF($B$6="","",IF(LEN(INDEX(Attendance!$CP$3:$FY$3,1,($B$6-1)*4+1))=0,"",INDEX(Attendance!$CP$3:$FY$3,1,($B$6-1)*4+1))),"")</f>
        <v>Stamullen FC</v>
      </c>
      <c r="D6" s="184" t="str">
        <f t="array" ref="D6">IFERROR(IF($B$6="","",IF(LEN(INDEX(Attendance!$CP$3:$FY$3,1,($B$6-1)*4+4))=0,"",INDEX(Attendance!$CP$3:$FY$3,1,($B$6-1)*4+4))),"")</f>
        <v>A</v>
      </c>
      <c r="E6" s="185">
        <f t="array" ref="E6">IFERROR(IF($B$6="","",IF(LEN(INDEX(Attendance!$CP$2:$FY$2,1,($B$6-1)*4+1))=0,"",INDEX(Attendance!$CP$2:$FY$2,1,($B$6-1)*4+1))),"")</f>
        <v>46264</v>
      </c>
      <c r="F6" s="186">
        <f t="array" ref="F6">IFERROR(IF($B$6="","",IF(LEN(INDEX(Attendance!$CP$26:$FY$26,1,($B$6-1)*4+1))=0,"",INDEX(Attendance!$CP$26:$FY$26,1,($B$6-1)*4+1))),"")</f>
        <v>9</v>
      </c>
      <c r="G6" s="186">
        <f t="array" ref="G6">IFERROR(IF($B$6="","",IF(LEN(INDEX(Attendance!$CP$27:$FY$27,1,($B$6-1)*4+1))=0,"",INDEX(Attendance!$CP$27:$FY$27,1,($B$6-1)*4+1))),"")</f>
        <v>1</v>
      </c>
      <c r="H6" s="184" t="str">
        <f t="array" ref="H6">IFERROR(IF($B$6="","",IF(LEN(INDEX(Attendance!$CP$28:$FY$28,1,($B$6-1)*4+1))=0,"",INDEX(Attendance!$CP$28:$FY$28,1,($B$6-1)*4+1))),"")</f>
        <v>W</v>
      </c>
      <c r="I6" s="187"/>
      <c r="J6" s="188" t="s">
        <v>310</v>
      </c>
      <c r="K6" s="189">
        <v>2</v>
      </c>
      <c r="L6" s="352" t="s">
        <v>490</v>
      </c>
      <c r="M6" s="190" t="str">
        <f>$D$139</f>
        <v>16 of 18</v>
      </c>
      <c r="N6" s="191">
        <f>$D$140</f>
        <v>2</v>
      </c>
      <c r="O6" s="191">
        <f>$D$141</f>
        <v>0</v>
      </c>
    </row>
    <row r="8" spans="2:21" ht="14.25" customHeight="1" thickBot="1" x14ac:dyDescent="0.5">
      <c r="B8" s="436" t="s">
        <v>311</v>
      </c>
      <c r="C8" s="436"/>
      <c r="D8" s="436"/>
      <c r="E8" s="436"/>
      <c r="F8" s="436"/>
      <c r="G8" s="458" t="str">
        <f>"2. STARTING XI — "&amp;$L$6&amp;" SHAPE"</f>
        <v>2. STARTING XI — 3-5-2 SHAPE</v>
      </c>
      <c r="H8" s="458"/>
      <c r="I8" s="458"/>
      <c r="J8" s="458"/>
      <c r="K8" s="458"/>
      <c r="L8" s="458"/>
      <c r="M8" s="458"/>
      <c r="N8" s="458"/>
      <c r="O8" s="458"/>
      <c r="P8" s="458"/>
      <c r="Q8" s="458"/>
      <c r="R8" s="458"/>
      <c r="S8" s="458"/>
      <c r="T8" s="458"/>
      <c r="U8" s="458"/>
    </row>
    <row r="9" spans="2:21" ht="14.25" customHeight="1" thickTop="1" x14ac:dyDescent="0.45">
      <c r="G9" s="442" t="str">
        <f>IF($L$6="3-5-2","",$AA$98)</f>
        <v/>
      </c>
      <c r="H9" s="443"/>
      <c r="I9" s="444"/>
      <c r="J9" s="442" t="str">
        <f>IF($L$6="3-5-2",$AA$97,"")</f>
        <v>ST</v>
      </c>
      <c r="K9" s="443"/>
      <c r="L9" s="444"/>
      <c r="M9" s="442" t="str">
        <f>IF($L$6="3-5-2","",$AA$97)</f>
        <v/>
      </c>
      <c r="N9" s="443"/>
      <c r="O9" s="444"/>
      <c r="P9" s="442" t="str">
        <f>IF($L$6="3-5-2",$AA$98,"")</f>
        <v>ST</v>
      </c>
      <c r="Q9" s="443"/>
      <c r="R9" s="444"/>
      <c r="S9" s="442" t="str">
        <f>IF($L$6="3-5-2","",$AA$96)</f>
        <v/>
      </c>
      <c r="T9" s="443"/>
      <c r="U9" s="444"/>
    </row>
    <row r="10" spans="2:21" x14ac:dyDescent="0.45">
      <c r="B10" s="453" t="s">
        <v>298</v>
      </c>
      <c r="C10" s="453"/>
      <c r="D10" s="454" t="str">
        <f>IF($B$6="","","GW "&amp;$B$6&amp;" of 22")</f>
        <v>GW 1 of 22</v>
      </c>
      <c r="E10" s="454"/>
      <c r="F10" s="455"/>
      <c r="G10" s="445" t="str">
        <f>IF($L$6="3-5-2","",IF($D$35="","—",$D$35))</f>
        <v/>
      </c>
      <c r="H10" s="446"/>
      <c r="I10" s="447"/>
      <c r="J10" s="445" t="str">
        <f>IF($L$6="3-5-2",IF($D$34="","—",$D$34),"")</f>
        <v>Zara Freeman</v>
      </c>
      <c r="K10" s="446"/>
      <c r="L10" s="447"/>
      <c r="M10" s="445" t="str">
        <f>IF($L$6="3-5-2","",IF($D$34="","—",$D$34))</f>
        <v/>
      </c>
      <c r="N10" s="446"/>
      <c r="O10" s="447"/>
      <c r="P10" s="445" t="str">
        <f>IF($L$6="3-5-2",IF($D$35="","—",$D$35),"")</f>
        <v>Amber Kilalee</v>
      </c>
      <c r="Q10" s="446"/>
      <c r="R10" s="447"/>
      <c r="S10" s="445" t="str">
        <f>IF($L$6="3-5-2","",IF($D$33="","—",$D$33))</f>
        <v/>
      </c>
      <c r="T10" s="446"/>
      <c r="U10" s="447"/>
    </row>
    <row r="11" spans="2:21" ht="14.65" thickBot="1" x14ac:dyDescent="0.5">
      <c r="B11" s="450" t="s">
        <v>299</v>
      </c>
      <c r="C11" s="450"/>
      <c r="D11" s="451" t="str">
        <f>IF($C$6="","(not set)",$C$6)</f>
        <v>Stamullen FC</v>
      </c>
      <c r="E11" s="451"/>
      <c r="F11" s="451"/>
      <c r="G11" s="193"/>
      <c r="H11" s="192"/>
      <c r="I11" s="192"/>
      <c r="J11" s="192"/>
      <c r="K11" s="192"/>
      <c r="L11" s="192"/>
      <c r="M11" s="192"/>
      <c r="N11" s="192"/>
      <c r="O11" s="192"/>
      <c r="P11" s="192"/>
      <c r="Q11" s="192"/>
      <c r="R11" s="192"/>
      <c r="S11" s="192"/>
      <c r="T11" s="192"/>
      <c r="U11" s="194"/>
    </row>
    <row r="12" spans="2:21" ht="14.65" thickTop="1" x14ac:dyDescent="0.45">
      <c r="B12" s="450" t="s">
        <v>300</v>
      </c>
      <c r="C12" s="450"/>
      <c r="D12" s="451" t="str">
        <f>IF($D$6="","(not set)",IF($D$6="H","Home","Away"))</f>
        <v>Away</v>
      </c>
      <c r="E12" s="451"/>
      <c r="F12" s="452"/>
      <c r="G12" s="442" t="str">
        <f>IF($L$6="3-5-2",$AA$93,"")</f>
        <v>LWB</v>
      </c>
      <c r="H12" s="443"/>
      <c r="I12" s="444"/>
      <c r="J12" s="442" t="str">
        <f>IF($L$6="3-5-2",$AA$94,$AA$93)</f>
        <v>CM</v>
      </c>
      <c r="K12" s="443"/>
      <c r="L12" s="444"/>
      <c r="M12" s="442" t="str">
        <f>IF($L$6="3-5-2",$AA$95,$AA$94)</f>
        <v>CM</v>
      </c>
      <c r="N12" s="443"/>
      <c r="O12" s="444"/>
      <c r="P12" s="442" t="str">
        <f>IF($L$6="3-5-2",$AA$96,$AA$95)</f>
        <v>CM</v>
      </c>
      <c r="Q12" s="443"/>
      <c r="R12" s="444"/>
      <c r="S12" s="442" t="str">
        <f>IF($L$6="3-5-2",$AA$92,"")</f>
        <v>RWB</v>
      </c>
      <c r="T12" s="443"/>
      <c r="U12" s="444"/>
    </row>
    <row r="13" spans="2:21" x14ac:dyDescent="0.45">
      <c r="B13" s="450" t="s">
        <v>301</v>
      </c>
      <c r="C13" s="450"/>
      <c r="D13" s="451" t="str">
        <f>IF($E$6="","(not set)",TEXT($E$6,"dd-mmm-yyyy"))</f>
        <v>30-Aug-2026</v>
      </c>
      <c r="E13" s="451"/>
      <c r="F13" s="452"/>
      <c r="G13" s="445" t="str">
        <f>IF($L$6="3-5-2",IF($D$30="","—",$D$30),"")</f>
        <v>Hannah Fleming</v>
      </c>
      <c r="H13" s="446"/>
      <c r="I13" s="447"/>
      <c r="J13" s="445" t="str">
        <f>IF($L$6="3-5-2",IF($D$31="","—",$D$31),IF($D$30="","—",$D$30))</f>
        <v>Roisin Offenhausen</v>
      </c>
      <c r="K13" s="446"/>
      <c r="L13" s="447"/>
      <c r="M13" s="445" t="str">
        <f>IF($L$6="3-5-2",IF($D$32="","—",$D$32),IF($D$31="","—",$D$31))</f>
        <v>Semilore Adesanya</v>
      </c>
      <c r="N13" s="446"/>
      <c r="O13" s="447"/>
      <c r="P13" s="445" t="str">
        <f>IF($L$6="3-5-2",IF($D$33="","—",$D$33),IF($D$32="","—",$D$32))</f>
        <v>Tara Brannigan</v>
      </c>
      <c r="Q13" s="446"/>
      <c r="R13" s="447"/>
      <c r="S13" s="445" t="str">
        <f>IF($L$6="3-5-2",IF($D$29="","—",$D$29),"")</f>
        <v>Rama Abuowda</v>
      </c>
      <c r="T13" s="446"/>
      <c r="U13" s="447"/>
    </row>
    <row r="14" spans="2:21" ht="14.65" thickBot="1" x14ac:dyDescent="0.5">
      <c r="B14" s="448" t="s">
        <v>304</v>
      </c>
      <c r="C14" s="448"/>
      <c r="D14" s="449" t="str">
        <f>IF($H$6="","Not played",$H$6&amp;"  "&amp;$F$6&amp;"-"&amp;$G$6)</f>
        <v>W  9-1</v>
      </c>
      <c r="E14" s="449"/>
      <c r="F14" s="449"/>
      <c r="G14" s="193"/>
      <c r="H14" s="192"/>
      <c r="I14" s="192"/>
      <c r="J14" s="192"/>
      <c r="K14" s="192"/>
      <c r="L14" s="192"/>
      <c r="M14" s="192"/>
      <c r="N14" s="192"/>
      <c r="O14" s="192"/>
      <c r="P14" s="192"/>
      <c r="Q14" s="192"/>
      <c r="R14" s="192"/>
      <c r="S14" s="192"/>
      <c r="T14" s="192"/>
      <c r="U14" s="194"/>
    </row>
    <row r="15" spans="2:21" ht="14.65" thickTop="1" x14ac:dyDescent="0.45">
      <c r="G15" s="442" t="str">
        <f>IF($L$6="3-5-2","",$AA$92)</f>
        <v/>
      </c>
      <c r="H15" s="443"/>
      <c r="I15" s="444"/>
      <c r="J15" s="442" t="str">
        <f>IF($L$6="3-5-2",$AA$89,$AA$91)</f>
        <v>CB</v>
      </c>
      <c r="K15" s="443"/>
      <c r="L15" s="444"/>
      <c r="M15" s="442" t="str">
        <f>IF($L$6="3-5-2",$AA$90,"")</f>
        <v>CB</v>
      </c>
      <c r="N15" s="443"/>
      <c r="O15" s="444"/>
      <c r="P15" s="442" t="str">
        <f>IF($L$6="3-5-2",$AA$91,$AA$90)</f>
        <v>CB</v>
      </c>
      <c r="Q15" s="443"/>
      <c r="R15" s="444"/>
      <c r="S15" s="442" t="str">
        <f>IF($L$6="3-5-2","",$AA$89)</f>
        <v/>
      </c>
      <c r="T15" s="443"/>
      <c r="U15" s="444"/>
    </row>
    <row r="16" spans="2:21" x14ac:dyDescent="0.45">
      <c r="G16" s="445" t="str">
        <f>IF($L$6="3-5-2","",IF($D$29="","—",$D$29))</f>
        <v/>
      </c>
      <c r="H16" s="446"/>
      <c r="I16" s="447"/>
      <c r="J16" s="445" t="str">
        <f>IF($L$6="3-5-2",IF($D$26="","—",$D$26),IF($D$28="","—",$D$28))</f>
        <v>Stella McEvoy</v>
      </c>
      <c r="K16" s="446"/>
      <c r="L16" s="447"/>
      <c r="M16" s="445" t="str">
        <f>IF($L$6="3-5-2",IF($D$27="","—",$D$27),"")</f>
        <v>Emma Kelly</v>
      </c>
      <c r="N16" s="446"/>
      <c r="O16" s="447"/>
      <c r="P16" s="445" t="str">
        <f>IF($L$6="3-5-2",IF($D$28="","—",$D$28),IF($D$27="","—",$D$27))</f>
        <v>Mariana Soares</v>
      </c>
      <c r="Q16" s="446"/>
      <c r="R16" s="447"/>
      <c r="S16" s="445" t="str">
        <f>IF($L$6="3-5-2","",IF($D$26="","—",$D$26))</f>
        <v/>
      </c>
      <c r="T16" s="446"/>
      <c r="U16" s="447"/>
    </row>
    <row r="17" spans="2:21" x14ac:dyDescent="0.45">
      <c r="G17" s="193"/>
      <c r="H17" s="192"/>
      <c r="I17" s="192"/>
      <c r="J17" s="192"/>
      <c r="K17" s="192"/>
      <c r="L17" s="192"/>
      <c r="M17" s="192"/>
      <c r="N17" s="192"/>
      <c r="O17" s="192"/>
      <c r="P17" s="192"/>
      <c r="Q17" s="192"/>
      <c r="R17" s="192"/>
      <c r="S17" s="192"/>
      <c r="T17" s="192"/>
      <c r="U17" s="194"/>
    </row>
    <row r="18" spans="2:21" x14ac:dyDescent="0.45">
      <c r="G18" s="193"/>
      <c r="H18" s="192"/>
      <c r="I18" s="192"/>
      <c r="J18" s="192"/>
      <c r="K18" s="192"/>
      <c r="L18" s="192"/>
      <c r="M18" s="438" t="str">
        <f>$AA$88</f>
        <v>GK</v>
      </c>
      <c r="N18" s="438"/>
      <c r="O18" s="438"/>
      <c r="P18" s="192"/>
      <c r="Q18" s="192"/>
      <c r="R18" s="192"/>
      <c r="S18" s="192"/>
      <c r="T18" s="192"/>
      <c r="U18" s="194"/>
    </row>
    <row r="19" spans="2:21" x14ac:dyDescent="0.45">
      <c r="G19" s="193"/>
      <c r="H19" s="192"/>
      <c r="I19" s="192"/>
      <c r="J19" s="192"/>
      <c r="K19" s="192"/>
      <c r="L19" s="192"/>
      <c r="M19" s="439" t="str">
        <f>IF($D$25="","—",$D$25)</f>
        <v>Elsie Morrison</v>
      </c>
      <c r="N19" s="439"/>
      <c r="O19" s="439"/>
      <c r="P19" s="192"/>
      <c r="Q19" s="192"/>
      <c r="R19" s="192"/>
      <c r="S19" s="192"/>
      <c r="T19" s="192"/>
      <c r="U19" s="194"/>
    </row>
    <row r="20" spans="2:21" ht="14.25" customHeight="1" x14ac:dyDescent="0.45">
      <c r="G20" s="195"/>
      <c r="H20" s="196"/>
      <c r="I20" s="196"/>
      <c r="J20" s="196"/>
      <c r="K20" s="196"/>
      <c r="L20" s="196"/>
      <c r="M20" s="196"/>
      <c r="N20" s="196"/>
      <c r="O20" s="196"/>
      <c r="P20" s="196"/>
      <c r="Q20" s="196"/>
      <c r="R20" s="196"/>
      <c r="S20" s="196"/>
      <c r="T20" s="196"/>
      <c r="U20" s="197"/>
    </row>
    <row r="21" spans="2:21" ht="14.25" customHeight="1" x14ac:dyDescent="0.45"/>
    <row r="23" spans="2:21" x14ac:dyDescent="0.45">
      <c r="B23" s="436" t="str">
        <f>"3. SELECTED XI — "&amp;$L$6&amp;"  (auto-filled best fit, skipping unavailable and already-picked players)"</f>
        <v>3. SELECTED XI — 3-5-2  (auto-filled best fit, skipping unavailable and already-picked players)</v>
      </c>
      <c r="C23" s="436"/>
      <c r="D23" s="436"/>
      <c r="E23" s="436"/>
      <c r="F23" s="436"/>
      <c r="G23" s="436"/>
      <c r="H23" s="436"/>
    </row>
    <row r="24" spans="2:21" x14ac:dyDescent="0.45">
      <c r="B24" s="198" t="s">
        <v>312</v>
      </c>
      <c r="C24" s="199" t="s">
        <v>217</v>
      </c>
      <c r="D24" s="199" t="s">
        <v>18</v>
      </c>
      <c r="E24" s="199" t="s">
        <v>313</v>
      </c>
      <c r="F24" s="199" t="s">
        <v>24</v>
      </c>
      <c r="G24" s="199" t="s">
        <v>314</v>
      </c>
      <c r="H24" s="424" t="s">
        <v>598</v>
      </c>
      <c r="I24" s="425" t="s">
        <v>599</v>
      </c>
    </row>
    <row r="25" spans="2:21" x14ac:dyDescent="0.45">
      <c r="B25" s="149">
        <v>1</v>
      </c>
      <c r="C25" s="200" t="str">
        <f>$AA$88</f>
        <v>GK</v>
      </c>
      <c r="D25" s="201" t="str" cm="1">
        <f t="array" ref="D25">IF($L$6="3-5-2",INDEX($F$146:$F$156,$B25),INDEX($F$160:$F$170,$B25))</f>
        <v>Elsie Morrison</v>
      </c>
      <c r="E25" s="202">
        <f>IFERROR(INDEX($R$64:$AA$83,MATCH($D25,$C$64:$C$83,0),MATCH($AB$88,$R$63:$AA$63,0)),"")</f>
        <v>10.942424242424241</v>
      </c>
      <c r="F25" s="203">
        <f t="shared" ref="F25:F35" si="0">IFERROR(INDEX($AB$64:$AB$83,MATCH($D25,$C$64:$C$83,0)),"")</f>
        <v>0.76666666666666661</v>
      </c>
      <c r="G25" s="202">
        <f t="shared" ref="G25:G35" si="1">IFERROR(INDEX($AC$64:$AC$83,MATCH($D25,$C$64:$C$83,0)),"")</f>
        <v>10.508333333333331</v>
      </c>
      <c r="H25" s="204"/>
      <c r="I25" s="426"/>
    </row>
    <row r="26" spans="2:21" x14ac:dyDescent="0.45">
      <c r="B26" s="155">
        <v>2</v>
      </c>
      <c r="C26" s="205" t="str">
        <f>$AA$89</f>
        <v>CB</v>
      </c>
      <c r="D26" s="206" t="str" cm="1">
        <f t="array" ref="D26">IF($L$6="3-5-2",INDEX($F$146:$F$156,$B26),INDEX($F$160:$F$170,$B26))</f>
        <v>Stella McEvoy</v>
      </c>
      <c r="E26" s="207">
        <f>IFERROR(INDEX($R$64:$AA$83,MATCH($D26,$C$64:$C$83,0),MATCH($AB$89,$R$63:$AA$63,0)),"")</f>
        <v>14.11869918699187</v>
      </c>
      <c r="F26" s="208">
        <f t="shared" si="0"/>
        <v>0.76666666666666661</v>
      </c>
      <c r="G26" s="207">
        <f t="shared" si="1"/>
        <v>11.135185185185186</v>
      </c>
      <c r="H26" s="209" t="s">
        <v>57</v>
      </c>
      <c r="I26" s="427"/>
    </row>
    <row r="27" spans="2:21" x14ac:dyDescent="0.45">
      <c r="B27" s="149">
        <v>3</v>
      </c>
      <c r="C27" s="200" t="str">
        <f>$AA$90</f>
        <v>CB</v>
      </c>
      <c r="D27" s="201" t="str" cm="1">
        <f t="array" ref="D27">IF($L$6="3-5-2",INDEX($F$146:$F$156,$B27),INDEX($F$160:$F$170,$B27))</f>
        <v>Emma Kelly</v>
      </c>
      <c r="E27" s="202">
        <f>IFERROR(INDEX($R$64:$AA$83,MATCH($D27,$C$64:$C$83,0),MATCH($AB$90,$R$63:$AA$63,0)),"")</f>
        <v>15.918428184281842</v>
      </c>
      <c r="F27" s="203">
        <f t="shared" si="0"/>
        <v>0.60555555555555551</v>
      </c>
      <c r="G27" s="202">
        <f t="shared" si="1"/>
        <v>13.725925925925926</v>
      </c>
      <c r="H27" s="204" t="s">
        <v>81</v>
      </c>
      <c r="I27" s="426"/>
    </row>
    <row r="28" spans="2:21" x14ac:dyDescent="0.45">
      <c r="B28" s="155">
        <v>4</v>
      </c>
      <c r="C28" s="205" t="str">
        <f>$AA$91</f>
        <v>CB</v>
      </c>
      <c r="D28" s="206" t="str" cm="1">
        <f t="array" ref="D28">IF($L$6="3-5-2",INDEX($F$146:$F$156,$B28),INDEX($F$160:$F$170,$B28))</f>
        <v>Mariana Soares</v>
      </c>
      <c r="E28" s="207">
        <f>IFERROR(INDEX($R$64:$AA$83,MATCH($D28,$C$64:$C$83,0),MATCH($AB$91,$R$63:$AA$63,0)),"")</f>
        <v>13.484552845528455</v>
      </c>
      <c r="F28" s="208">
        <f t="shared" si="0"/>
        <v>0.76666666666666661</v>
      </c>
      <c r="G28" s="207">
        <f t="shared" si="1"/>
        <v>10.487037037037036</v>
      </c>
      <c r="H28" s="209" t="s">
        <v>501</v>
      </c>
      <c r="I28" s="427"/>
    </row>
    <row r="29" spans="2:21" x14ac:dyDescent="0.45">
      <c r="B29" s="149">
        <v>5</v>
      </c>
      <c r="C29" s="200" t="str">
        <f>$AA$92</f>
        <v>RWB</v>
      </c>
      <c r="D29" s="201" t="str" cm="1">
        <f t="array" ref="D29">IF($L$6="3-5-2",INDEX($F$146:$F$156,$B29),INDEX($F$160:$F$170,$B29))</f>
        <v>Rama Abuowda</v>
      </c>
      <c r="E29" s="202" t="str">
        <f>IFERROR(INDEX($R$64:$AA$83,MATCH($D29,$C$64:$C$83,0),MATCH($AB$92,$R$63:$AA$63,0)),"")</f>
        <v/>
      </c>
      <c r="F29" s="203">
        <f t="shared" si="0"/>
        <v>0.76666666666666661</v>
      </c>
      <c r="G29" s="202">
        <f t="shared" si="1"/>
        <v>13.629629629629628</v>
      </c>
      <c r="H29" s="204" t="s">
        <v>500</v>
      </c>
      <c r="I29" s="426"/>
    </row>
    <row r="30" spans="2:21" x14ac:dyDescent="0.45">
      <c r="B30" s="155">
        <v>6</v>
      </c>
      <c r="C30" s="205" t="str">
        <f>$AA$93</f>
        <v>LWB</v>
      </c>
      <c r="D30" s="206" t="str" cm="1">
        <f t="array" ref="D30">IF($L$6="3-5-2",INDEX($F$146:$F$156,$B30),INDEX($F$160:$F$170,$B30))</f>
        <v>Hannah Fleming</v>
      </c>
      <c r="E30" s="207">
        <f>IFERROR(INDEX($R$64:$AA$83,MATCH($D30,$C$64:$C$83,0),MATCH($AB$93,$R$63:$AA$63,0)),"")</f>
        <v>13.133333333333333</v>
      </c>
      <c r="F30" s="208">
        <f t="shared" si="0"/>
        <v>0.76666666666666661</v>
      </c>
      <c r="G30" s="207">
        <f t="shared" si="1"/>
        <v>12.22037037037037</v>
      </c>
      <c r="H30" s="209"/>
      <c r="I30" s="427"/>
    </row>
    <row r="31" spans="2:21" x14ac:dyDescent="0.45">
      <c r="B31" s="149">
        <v>7</v>
      </c>
      <c r="C31" s="200" t="str">
        <f>$AA$94</f>
        <v>CM</v>
      </c>
      <c r="D31" s="201" t="str" cm="1">
        <f t="array" ref="D31">IF($L$6="3-5-2",INDEX($F$146:$F$156,$B31),INDEX($F$160:$F$170,$B31))</f>
        <v>Roisin Offenhausen</v>
      </c>
      <c r="E31" s="202">
        <f>IFERROR(INDEX($R$64:$AA$83,MATCH($D31,$C$64:$C$83,0),MATCH($AB$94,$R$63:$AA$63,0)),"")</f>
        <v>12.933786848072561</v>
      </c>
      <c r="F31" s="203">
        <f t="shared" si="0"/>
        <v>0.84444444444444433</v>
      </c>
      <c r="G31" s="202">
        <f t="shared" si="1"/>
        <v>11.965740740740742</v>
      </c>
      <c r="H31" s="204"/>
      <c r="I31" s="426"/>
    </row>
    <row r="32" spans="2:21" x14ac:dyDescent="0.45">
      <c r="B32" s="155">
        <v>8</v>
      </c>
      <c r="C32" s="205" t="str">
        <f>$AA$95</f>
        <v>CM</v>
      </c>
      <c r="D32" s="206" t="str" cm="1">
        <f t="array" ref="D32">IF($L$6="3-5-2",INDEX($F$146:$F$156,$B32),INDEX($F$160:$F$170,$B32))</f>
        <v>Semilore Adesanya</v>
      </c>
      <c r="E32" s="207">
        <f>IFERROR(INDEX($R$64:$AA$83,MATCH($D32,$C$64:$C$83,0),MATCH($AB$95,$R$63:$AA$63,0)),"")</f>
        <v>13.678344671201813</v>
      </c>
      <c r="F32" s="208">
        <f t="shared" si="0"/>
        <v>0.68611111111111112</v>
      </c>
      <c r="G32" s="207">
        <f t="shared" si="1"/>
        <v>12.763888888888888</v>
      </c>
      <c r="H32" s="209" t="s">
        <v>76</v>
      </c>
      <c r="I32" s="427"/>
    </row>
    <row r="33" spans="2:9" x14ac:dyDescent="0.45">
      <c r="B33" s="149">
        <v>9</v>
      </c>
      <c r="C33" s="200" t="str">
        <f>$AA$96</f>
        <v>CM</v>
      </c>
      <c r="D33" s="201" t="str" cm="1">
        <f t="array" ref="D33">IF($L$6="3-5-2",INDEX($F$146:$F$156,$B33),INDEX($F$160:$F$170,$B33))</f>
        <v>Tara Brannigan</v>
      </c>
      <c r="E33" s="202">
        <f>IFERROR(INDEX($R$64:$AA$83,MATCH($D33,$C$64:$C$83,0),MATCH($AB$96,$R$63:$AA$63,0)),"")</f>
        <v>12.676190476190476</v>
      </c>
      <c r="F33" s="203">
        <f t="shared" si="0"/>
        <v>0.76666666666666661</v>
      </c>
      <c r="G33" s="202">
        <f t="shared" si="1"/>
        <v>11.726851851851853</v>
      </c>
      <c r="H33" s="204"/>
      <c r="I33" s="426"/>
    </row>
    <row r="34" spans="2:9" x14ac:dyDescent="0.45">
      <c r="B34" s="155">
        <v>10</v>
      </c>
      <c r="C34" s="205" t="str">
        <f>$AA$97</f>
        <v>ST</v>
      </c>
      <c r="D34" s="206" t="str" cm="1">
        <f t="array" ref="D34">IF($L$6="3-5-2",INDEX($F$146:$F$156,$B34),INDEX($F$160:$F$170,$B34))</f>
        <v>Zara Freeman</v>
      </c>
      <c r="E34" s="207">
        <f>IFERROR(INDEX($R$64:$AA$83,MATCH($D34,$C$64:$C$83,0),MATCH($AB$97,$R$63:$AA$63,0)),"")</f>
        <v>12.855555555555554</v>
      </c>
      <c r="F34" s="208">
        <f t="shared" si="0"/>
        <v>0.62777777777777777</v>
      </c>
      <c r="G34" s="207">
        <f t="shared" si="1"/>
        <v>11.864814814814814</v>
      </c>
      <c r="H34" s="209"/>
      <c r="I34" s="427"/>
    </row>
    <row r="35" spans="2:9" x14ac:dyDescent="0.45">
      <c r="B35" s="210">
        <v>11</v>
      </c>
      <c r="C35" s="211" t="str">
        <f>$AA$98</f>
        <v>ST</v>
      </c>
      <c r="D35" s="212" t="str" cm="1">
        <f t="array" ref="D35">IF($L$6="3-5-2",INDEX($F$146:$F$156,$B35),INDEX($F$160:$F$170,$B35))</f>
        <v>Amber Kilalee</v>
      </c>
      <c r="E35" s="213">
        <f>IFERROR(INDEX($R$64:$AA$83,MATCH($D35,$C$64:$C$83,0),MATCH($AB$98,$R$63:$AA$63,0)),"")</f>
        <v>9.5733333333333324</v>
      </c>
      <c r="F35" s="214">
        <f t="shared" si="0"/>
        <v>0.76666666666666661</v>
      </c>
      <c r="G35" s="213">
        <f t="shared" si="1"/>
        <v>9.0111111111111111</v>
      </c>
      <c r="H35" s="215"/>
      <c r="I35" s="426"/>
    </row>
    <row r="38" spans="2:9" x14ac:dyDescent="0.45">
      <c r="B38" s="440" t="s">
        <v>315</v>
      </c>
      <c r="C38" s="440"/>
      <c r="D38" s="440"/>
      <c r="E38" s="440"/>
      <c r="F38" s="440"/>
      <c r="G38" s="440"/>
    </row>
    <row r="39" spans="2:9" x14ac:dyDescent="0.45">
      <c r="B39" s="182" t="s">
        <v>153</v>
      </c>
      <c r="C39" s="182" t="s">
        <v>18</v>
      </c>
      <c r="D39" s="182" t="s">
        <v>217</v>
      </c>
      <c r="E39" s="182" t="s">
        <v>314</v>
      </c>
      <c r="F39" s="182" t="s">
        <v>24</v>
      </c>
      <c r="G39" s="182" t="s">
        <v>316</v>
      </c>
    </row>
    <row r="40" spans="2:9" x14ac:dyDescent="0.45">
      <c r="B40" s="216">
        <f>IF($C40="","",ROWS($B$40:B40))</f>
        <v>1</v>
      </c>
      <c r="C40" s="217" t="str">
        <f t="array" ref="C40">IFERROR(INDEX($C$64:$C$83,_xlfn.AGGREGATE(15,6,(ROW($C$64:$C$83)-63)/(($C$64:$C$83&lt;&gt;"")*(COUNTIF($D$25:$D$35,$C$64:$C$83)=0)),ROWS($C$40:C40))),"")</f>
        <v>Aoife Kennan</v>
      </c>
      <c r="D40" s="37" t="str">
        <f t="shared" ref="D40:D59" si="2">IF($C40="","",IFERROR(INDEX($D$64:$D$83,MATCH($C40,$C$64:$C$83,0)),""))</f>
        <v>GK</v>
      </c>
      <c r="E40" s="218">
        <f t="shared" ref="E40:E59" si="3">IF($C40="","",IFERROR(INDEX($AC$64:$AC$83,MATCH($C40,$C$64:$C$83,0)),""))</f>
        <v>6.7041666666666666</v>
      </c>
      <c r="F40" s="219">
        <f t="shared" ref="F40:F59" si="4">IF($C40="","",IFERROR(INDEX($AB$64:$AB$83,MATCH($C40,$C$64:$C$83,0)),""))</f>
        <v>0.76666666666666661</v>
      </c>
      <c r="G40" s="37" t="str">
        <f t="shared" ref="G40:G59" si="5">IF($C40="","",IF(INDEX($E$64:$E$83,MATCH($C40,$C$64:$C$83,0))="Yes","Available","Unavailable — "&amp;INDEX($F$64:$F$83,MATCH($C40,$C$64:$C$83,0))))</f>
        <v>Available</v>
      </c>
    </row>
    <row r="41" spans="2:9" x14ac:dyDescent="0.45">
      <c r="B41" s="220">
        <f>IF($C41="","",ROWS($B$40:B41))</f>
        <v>2</v>
      </c>
      <c r="C41" s="221" t="str">
        <f t="array" ref="C41">IFERROR(INDEX($C$64:$C$83,_xlfn.AGGREGATE(15,6,(ROW($C$64:$C$83)-63)/(($C$64:$C$83&lt;&gt;"")*(COUNTIF($D$25:$D$35,$C$64:$C$83)=0)),ROWS($C$40:C41))),"")</f>
        <v>Zara Power</v>
      </c>
      <c r="D41" s="222" t="str">
        <f t="shared" si="2"/>
        <v>RB</v>
      </c>
      <c r="E41" s="223">
        <f t="shared" si="3"/>
        <v>10.538888888888888</v>
      </c>
      <c r="F41" s="224">
        <f t="shared" si="4"/>
        <v>0</v>
      </c>
      <c r="G41" s="222" t="str">
        <f t="shared" si="5"/>
        <v>Unavailable — Injured - Ankle injury - 6 week recovery plan (back 2 Oct)</v>
      </c>
    </row>
    <row r="42" spans="2:9" x14ac:dyDescent="0.45">
      <c r="B42" s="216">
        <f>IF($C42="","",ROWS($B$40:B42))</f>
        <v>3</v>
      </c>
      <c r="C42" s="217" t="str">
        <f t="array" ref="C42">IFERROR(INDEX($C$64:$C$83,_xlfn.AGGREGATE(15,6,(ROW($C$64:$C$83)-63)/(($C$64:$C$83&lt;&gt;"")*(COUNTIF($D$25:$D$35,$C$64:$C$83)=0)),ROWS($C$40:C42))),"")</f>
        <v>Heidi Cerubini Dunne</v>
      </c>
      <c r="D42" s="37" t="str">
        <f t="shared" si="2"/>
        <v>LB / RB</v>
      </c>
      <c r="E42" s="218">
        <f t="shared" si="3"/>
        <v>4.1879629629629633</v>
      </c>
      <c r="F42" s="219">
        <f t="shared" si="4"/>
        <v>0</v>
      </c>
      <c r="G42" s="37" t="str">
        <f t="shared" si="5"/>
        <v>Available</v>
      </c>
    </row>
    <row r="43" spans="2:9" x14ac:dyDescent="0.45">
      <c r="B43" s="220">
        <f>IF($C43="","",ROWS($B$40:B43))</f>
        <v>4</v>
      </c>
      <c r="C43" s="221" t="str">
        <f t="array" ref="C43">IFERROR(INDEX($C$64:$C$83,_xlfn.AGGREGATE(15,6,(ROW($C$64:$C$83)-63)/(($C$64:$C$83&lt;&gt;"")*(COUNTIF($D$25:$D$35,$C$64:$C$83)=0)),ROWS($C$40:C43))),"")</f>
        <v>Naomi Adewoyin</v>
      </c>
      <c r="D43" s="222" t="str">
        <f t="shared" si="2"/>
        <v>CM / ACM</v>
      </c>
      <c r="E43" s="223">
        <f t="shared" si="3"/>
        <v>10.986111111111112</v>
      </c>
      <c r="F43" s="224">
        <f t="shared" si="4"/>
        <v>0.76666666666666661</v>
      </c>
      <c r="G43" s="222" t="str">
        <f t="shared" si="5"/>
        <v>Available</v>
      </c>
    </row>
    <row r="44" spans="2:9" x14ac:dyDescent="0.45">
      <c r="B44" s="216">
        <f>IF($C44="","",ROWS($B$40:B44))</f>
        <v>5</v>
      </c>
      <c r="C44" s="217" t="str">
        <f t="array" ref="C44">IFERROR(INDEX($C$64:$C$83,_xlfn.AGGREGATE(15,6,(ROW($C$64:$C$83)-63)/(($C$64:$C$83&lt;&gt;"")*(COUNTIF($D$25:$D$35,$C$64:$C$83)=0)),ROWS($C$40:C44))),"")</f>
        <v>Shauna Kavanagh</v>
      </c>
      <c r="D44" s="37" t="str">
        <f t="shared" si="2"/>
        <v>ST / RW</v>
      </c>
      <c r="E44" s="218">
        <f t="shared" si="3"/>
        <v>7.7342592592592601</v>
      </c>
      <c r="F44" s="219">
        <f t="shared" si="4"/>
        <v>0.72777777777777775</v>
      </c>
      <c r="G44" s="37" t="str">
        <f t="shared" si="5"/>
        <v>Available</v>
      </c>
    </row>
    <row r="45" spans="2:9" x14ac:dyDescent="0.45">
      <c r="B45" s="220">
        <f>IF($C45="","",ROWS($B$40:B45))</f>
        <v>6</v>
      </c>
      <c r="C45" s="221" t="str">
        <f t="array" ref="C45">IFERROR(INDEX($C$64:$C$83,_xlfn.AGGREGATE(15,6,(ROW($C$64:$C$83)-63)/(($C$64:$C$83&lt;&gt;"")*(COUNTIF($D$25:$D$35,$C$64:$C$83)=0)),ROWS($C$40:C45))),"")</f>
        <v>Roma Memon</v>
      </c>
      <c r="D45" s="222" t="str">
        <f t="shared" si="2"/>
        <v>DM / CM</v>
      </c>
      <c r="E45" s="223">
        <f t="shared" si="3"/>
        <v>10.622222222222222</v>
      </c>
      <c r="F45" s="224">
        <f t="shared" si="4"/>
        <v>0.62777777777777777</v>
      </c>
      <c r="G45" s="222" t="str">
        <f t="shared" si="5"/>
        <v>Available</v>
      </c>
    </row>
    <row r="46" spans="2:9" x14ac:dyDescent="0.45">
      <c r="B46" s="216">
        <f>IF($C46="","",ROWS($B$40:B46))</f>
        <v>7</v>
      </c>
      <c r="C46" s="217" t="str">
        <f t="array" ref="C46">IFERROR(INDEX($C$64:$C$83,_xlfn.AGGREGATE(15,6,(ROW($C$64:$C$83)-63)/(($C$64:$C$83&lt;&gt;"")*(COUNTIF($D$25:$D$35,$C$64:$C$83)=0)),ROWS($C$40:C46))),"")</f>
        <v>Emma Dromgoole</v>
      </c>
      <c r="D46" s="37" t="str">
        <f t="shared" si="2"/>
        <v>RW / ST</v>
      </c>
      <c r="E46" s="218">
        <f t="shared" si="3"/>
        <v>9.6620370370370363</v>
      </c>
      <c r="F46" s="219">
        <f t="shared" si="4"/>
        <v>0.76666666666666661</v>
      </c>
      <c r="G46" s="37" t="str">
        <f t="shared" si="5"/>
        <v>Unavailable — Injured - Knee injury  (back 28 Aug)</v>
      </c>
    </row>
    <row r="47" spans="2:9" x14ac:dyDescent="0.45">
      <c r="B47" s="220" t="str">
        <f>IF($C47="","",ROWS($B$40:B47))</f>
        <v/>
      </c>
      <c r="C47" s="221" t="str">
        <f t="array" ref="C47">IFERROR(INDEX($C$64:$C$83,_xlfn.AGGREGATE(15,6,(ROW($C$64:$C$83)-63)/(($C$64:$C$83&lt;&gt;"")*(COUNTIF($D$25:$D$35,$C$64:$C$83)=0)),ROWS($C$40:C47))),"")</f>
        <v/>
      </c>
      <c r="D47" s="222" t="str">
        <f t="shared" si="2"/>
        <v/>
      </c>
      <c r="E47" s="223" t="str">
        <f t="shared" si="3"/>
        <v/>
      </c>
      <c r="F47" s="224" t="str">
        <f t="shared" si="4"/>
        <v/>
      </c>
      <c r="G47" s="222" t="str">
        <f t="shared" si="5"/>
        <v/>
      </c>
    </row>
    <row r="48" spans="2:9" x14ac:dyDescent="0.45">
      <c r="B48" s="216" t="str">
        <f>IF($C48="","",ROWS($B$40:B48))</f>
        <v/>
      </c>
      <c r="C48" s="217" t="str">
        <f t="array" ref="C48">IFERROR(INDEX($C$64:$C$83,_xlfn.AGGREGATE(15,6,(ROW($C$64:$C$83)-63)/(($C$64:$C$83&lt;&gt;"")*(COUNTIF($D$25:$D$35,$C$64:$C$83)=0)),ROWS($C$40:C48))),"")</f>
        <v/>
      </c>
      <c r="D48" s="37" t="str">
        <f t="shared" si="2"/>
        <v/>
      </c>
      <c r="E48" s="218" t="str">
        <f t="shared" si="3"/>
        <v/>
      </c>
      <c r="F48" s="219" t="str">
        <f t="shared" si="4"/>
        <v/>
      </c>
      <c r="G48" s="37" t="str">
        <f t="shared" si="5"/>
        <v/>
      </c>
    </row>
    <row r="49" spans="2:54" x14ac:dyDescent="0.45">
      <c r="B49" s="220" t="str">
        <f>IF($C49="","",ROWS($B$40:B49))</f>
        <v/>
      </c>
      <c r="C49" s="221" t="str">
        <f t="array" ref="C49">IFERROR(INDEX($C$64:$C$83,_xlfn.AGGREGATE(15,6,(ROW($C$64:$C$83)-63)/(($C$64:$C$83&lt;&gt;"")*(COUNTIF($D$25:$D$35,$C$64:$C$83)=0)),ROWS($C$40:C49))),"")</f>
        <v/>
      </c>
      <c r="D49" s="222" t="str">
        <f t="shared" si="2"/>
        <v/>
      </c>
      <c r="E49" s="223" t="str">
        <f t="shared" si="3"/>
        <v/>
      </c>
      <c r="F49" s="224" t="str">
        <f t="shared" si="4"/>
        <v/>
      </c>
      <c r="G49" s="222" t="str">
        <f t="shared" si="5"/>
        <v/>
      </c>
    </row>
    <row r="50" spans="2:54" x14ac:dyDescent="0.45">
      <c r="B50" s="216" t="str">
        <f>IF($C50="","",ROWS($B$40:B50))</f>
        <v/>
      </c>
      <c r="C50" s="217" t="str">
        <f t="array" ref="C50">IFERROR(INDEX($C$64:$C$83,_xlfn.AGGREGATE(15,6,(ROW($C$64:$C$83)-63)/(($C$64:$C$83&lt;&gt;"")*(COUNTIF($D$25:$D$35,$C$64:$C$83)=0)),ROWS($C$40:C50))),"")</f>
        <v/>
      </c>
      <c r="D50" s="37" t="str">
        <f t="shared" si="2"/>
        <v/>
      </c>
      <c r="E50" s="218" t="str">
        <f t="shared" si="3"/>
        <v/>
      </c>
      <c r="F50" s="219" t="str">
        <f t="shared" si="4"/>
        <v/>
      </c>
      <c r="G50" s="37" t="str">
        <f t="shared" si="5"/>
        <v/>
      </c>
    </row>
    <row r="51" spans="2:54" x14ac:dyDescent="0.45">
      <c r="B51" s="220" t="str">
        <f>IF($C51="","",ROWS($B$40:B51))</f>
        <v/>
      </c>
      <c r="C51" s="221" t="str">
        <f t="array" ref="C51">IFERROR(INDEX($C$64:$C$83,_xlfn.AGGREGATE(15,6,(ROW($C$64:$C$83)-63)/(($C$64:$C$83&lt;&gt;"")*(COUNTIF($D$25:$D$35,$C$64:$C$83)=0)),ROWS($C$40:C51))),"")</f>
        <v/>
      </c>
      <c r="D51" s="222" t="str">
        <f t="shared" si="2"/>
        <v/>
      </c>
      <c r="E51" s="223" t="str">
        <f t="shared" si="3"/>
        <v/>
      </c>
      <c r="F51" s="224" t="str">
        <f t="shared" si="4"/>
        <v/>
      </c>
      <c r="G51" s="222" t="str">
        <f t="shared" si="5"/>
        <v/>
      </c>
    </row>
    <row r="52" spans="2:54" x14ac:dyDescent="0.45">
      <c r="B52" s="216" t="str">
        <f>IF($C52="","",ROWS($B$40:B52))</f>
        <v/>
      </c>
      <c r="C52" s="217" t="str">
        <f t="array" ref="C52">IFERROR(INDEX($C$64:$C$83,_xlfn.AGGREGATE(15,6,(ROW($C$64:$C$83)-63)/(($C$64:$C$83&lt;&gt;"")*(COUNTIF($D$25:$D$35,$C$64:$C$83)=0)),ROWS($C$40:C52))),"")</f>
        <v/>
      </c>
      <c r="D52" s="37" t="str">
        <f t="shared" si="2"/>
        <v/>
      </c>
      <c r="E52" s="218" t="str">
        <f t="shared" si="3"/>
        <v/>
      </c>
      <c r="F52" s="219" t="str">
        <f t="shared" si="4"/>
        <v/>
      </c>
      <c r="G52" s="37" t="str">
        <f t="shared" si="5"/>
        <v/>
      </c>
    </row>
    <row r="53" spans="2:54" x14ac:dyDescent="0.45">
      <c r="B53" s="220" t="str">
        <f>IF($C53="","",ROWS($B$40:B53))</f>
        <v/>
      </c>
      <c r="C53" s="221" t="str">
        <f t="array" ref="C53">IFERROR(INDEX($C$64:$C$83,_xlfn.AGGREGATE(15,6,(ROW($C$64:$C$83)-63)/(($C$64:$C$83&lt;&gt;"")*(COUNTIF($D$25:$D$35,$C$64:$C$83)=0)),ROWS($C$40:C53))),"")</f>
        <v/>
      </c>
      <c r="D53" s="222" t="str">
        <f t="shared" si="2"/>
        <v/>
      </c>
      <c r="E53" s="223" t="str">
        <f t="shared" si="3"/>
        <v/>
      </c>
      <c r="F53" s="224" t="str">
        <f t="shared" si="4"/>
        <v/>
      </c>
      <c r="G53" s="222" t="str">
        <f t="shared" si="5"/>
        <v/>
      </c>
    </row>
    <row r="54" spans="2:54" x14ac:dyDescent="0.45">
      <c r="B54" s="216" t="str">
        <f>IF($C54="","",ROWS($B$40:B54))</f>
        <v/>
      </c>
      <c r="C54" s="217" t="str">
        <f t="array" ref="C54">IFERROR(INDEX($C$64:$C$83,_xlfn.AGGREGATE(15,6,(ROW($C$64:$C$83)-63)/(($C$64:$C$83&lt;&gt;"")*(COUNTIF($D$25:$D$35,$C$64:$C$83)=0)),ROWS($C$40:C54))),"")</f>
        <v/>
      </c>
      <c r="D54" s="37" t="str">
        <f t="shared" si="2"/>
        <v/>
      </c>
      <c r="E54" s="218" t="str">
        <f t="shared" si="3"/>
        <v/>
      </c>
      <c r="F54" s="219" t="str">
        <f t="shared" si="4"/>
        <v/>
      </c>
      <c r="G54" s="37" t="str">
        <f t="shared" si="5"/>
        <v/>
      </c>
    </row>
    <row r="55" spans="2:54" x14ac:dyDescent="0.45">
      <c r="B55" s="220" t="str">
        <f>IF($C55="","",ROWS($B$40:B55))</f>
        <v/>
      </c>
      <c r="C55" s="221" t="str">
        <f t="array" ref="C55">IFERROR(INDEX($C$64:$C$83,_xlfn.AGGREGATE(15,6,(ROW($C$64:$C$83)-63)/(($C$64:$C$83&lt;&gt;"")*(COUNTIF($D$25:$D$35,$C$64:$C$83)=0)),ROWS($C$40:C55))),"")</f>
        <v/>
      </c>
      <c r="D55" s="222" t="str">
        <f t="shared" si="2"/>
        <v/>
      </c>
      <c r="E55" s="223" t="str">
        <f t="shared" si="3"/>
        <v/>
      </c>
      <c r="F55" s="224" t="str">
        <f t="shared" si="4"/>
        <v/>
      </c>
      <c r="G55" s="222" t="str">
        <f t="shared" si="5"/>
        <v/>
      </c>
    </row>
    <row r="56" spans="2:54" x14ac:dyDescent="0.45">
      <c r="B56" s="216" t="str">
        <f>IF($C56="","",ROWS($B$40:B56))</f>
        <v/>
      </c>
      <c r="C56" s="217" t="str">
        <f t="array" ref="C56">IFERROR(INDEX($C$64:$C$83,_xlfn.AGGREGATE(15,6,(ROW($C$64:$C$83)-63)/(($C$64:$C$83&lt;&gt;"")*(COUNTIF($D$25:$D$35,$C$64:$C$83)=0)),ROWS($C$40:C56))),"")</f>
        <v/>
      </c>
      <c r="D56" s="37" t="str">
        <f t="shared" si="2"/>
        <v/>
      </c>
      <c r="E56" s="218" t="str">
        <f t="shared" si="3"/>
        <v/>
      </c>
      <c r="F56" s="219" t="str">
        <f t="shared" si="4"/>
        <v/>
      </c>
      <c r="G56" s="37" t="str">
        <f t="shared" si="5"/>
        <v/>
      </c>
    </row>
    <row r="57" spans="2:54" x14ac:dyDescent="0.45">
      <c r="B57" s="220" t="str">
        <f>IF($C57="","",ROWS($B$40:B57))</f>
        <v/>
      </c>
      <c r="C57" s="221" t="str">
        <f t="array" ref="C57">IFERROR(INDEX($C$64:$C$83,_xlfn.AGGREGATE(15,6,(ROW($C$64:$C$83)-63)/(($C$64:$C$83&lt;&gt;"")*(COUNTIF($D$25:$D$35,$C$64:$C$83)=0)),ROWS($C$40:C57))),"")</f>
        <v/>
      </c>
      <c r="D57" s="222" t="str">
        <f t="shared" si="2"/>
        <v/>
      </c>
      <c r="E57" s="223" t="str">
        <f t="shared" si="3"/>
        <v/>
      </c>
      <c r="F57" s="224" t="str">
        <f t="shared" si="4"/>
        <v/>
      </c>
      <c r="G57" s="222" t="str">
        <f t="shared" si="5"/>
        <v/>
      </c>
    </row>
    <row r="58" spans="2:54" x14ac:dyDescent="0.45">
      <c r="B58" s="216" t="str">
        <f>IF($C58="","",ROWS($B$40:B58))</f>
        <v/>
      </c>
      <c r="C58" s="217" t="str">
        <f t="array" ref="C58">IFERROR(INDEX($C$64:$C$83,_xlfn.AGGREGATE(15,6,(ROW($C$64:$C$83)-63)/(($C$64:$C$83&lt;&gt;"")*(COUNTIF($D$25:$D$35,$C$64:$C$83)=0)),ROWS($C$40:C58))),"")</f>
        <v/>
      </c>
      <c r="D58" s="37" t="str">
        <f t="shared" si="2"/>
        <v/>
      </c>
      <c r="E58" s="218" t="str">
        <f t="shared" si="3"/>
        <v/>
      </c>
      <c r="F58" s="219" t="str">
        <f t="shared" si="4"/>
        <v/>
      </c>
      <c r="G58" s="37" t="str">
        <f t="shared" si="5"/>
        <v/>
      </c>
    </row>
    <row r="59" spans="2:54" x14ac:dyDescent="0.45">
      <c r="B59" s="220" t="str">
        <f>IF($C59="","",ROWS($B$40:B59))</f>
        <v/>
      </c>
      <c r="C59" s="221" t="str">
        <f t="array" ref="C59">IFERROR(INDEX($C$64:$C$83,_xlfn.AGGREGATE(15,6,(ROW($C$64:$C$83)-63)/(($C$64:$C$83&lt;&gt;"")*(COUNTIF($D$25:$D$35,$C$64:$C$83)=0)),ROWS($C$40:C59))),"")</f>
        <v/>
      </c>
      <c r="D59" s="222" t="str">
        <f t="shared" si="2"/>
        <v/>
      </c>
      <c r="E59" s="223" t="str">
        <f t="shared" si="3"/>
        <v/>
      </c>
      <c r="F59" s="224" t="str">
        <f t="shared" si="4"/>
        <v/>
      </c>
      <c r="G59" s="222" t="str">
        <f t="shared" si="5"/>
        <v/>
      </c>
    </row>
    <row r="61" spans="2:54" x14ac:dyDescent="0.45">
      <c r="AE61" s="421" t="s">
        <v>595</v>
      </c>
      <c r="AF61">
        <v>1</v>
      </c>
      <c r="AG61">
        <v>2</v>
      </c>
      <c r="AH61">
        <v>3</v>
      </c>
      <c r="AI61">
        <v>4</v>
      </c>
      <c r="AJ61">
        <v>5</v>
      </c>
      <c r="AK61">
        <v>6</v>
      </c>
      <c r="AL61">
        <v>7</v>
      </c>
      <c r="AM61">
        <v>8</v>
      </c>
      <c r="AN61">
        <v>9</v>
      </c>
      <c r="AO61">
        <v>10</v>
      </c>
      <c r="AP61">
        <v>11</v>
      </c>
      <c r="AQ61" s="421" t="s">
        <v>597</v>
      </c>
      <c r="AR61">
        <v>1</v>
      </c>
      <c r="AS61">
        <v>2</v>
      </c>
      <c r="AT61">
        <v>3</v>
      </c>
      <c r="AU61">
        <v>4</v>
      </c>
      <c r="AV61">
        <v>5</v>
      </c>
      <c r="AW61">
        <v>6</v>
      </c>
      <c r="AX61">
        <v>7</v>
      </c>
      <c r="AY61">
        <v>8</v>
      </c>
      <c r="AZ61">
        <v>9</v>
      </c>
      <c r="BA61">
        <v>10</v>
      </c>
      <c r="BB61">
        <v>11</v>
      </c>
    </row>
    <row r="62" spans="2:54" x14ac:dyDescent="0.45">
      <c r="B62" s="441" t="s">
        <v>317</v>
      </c>
      <c r="C62" s="441"/>
      <c r="D62" s="441"/>
      <c r="E62" s="441"/>
      <c r="F62" s="441"/>
      <c r="G62" s="441"/>
      <c r="H62" s="441"/>
      <c r="I62" s="441"/>
      <c r="J62" s="441"/>
      <c r="K62" s="441"/>
      <c r="L62" s="441"/>
      <c r="M62" s="441"/>
      <c r="N62" s="441"/>
      <c r="O62" s="441"/>
      <c r="P62" s="441"/>
      <c r="Q62" s="225"/>
      <c r="R62" s="434" t="s">
        <v>318</v>
      </c>
      <c r="S62" s="434"/>
      <c r="T62" s="434"/>
      <c r="U62" s="434"/>
      <c r="V62" s="434"/>
      <c r="W62" s="434"/>
      <c r="X62" s="434"/>
      <c r="Y62" s="434"/>
      <c r="Z62" s="434"/>
      <c r="AA62" s="434"/>
      <c r="AE62" s="422" t="s">
        <v>217</v>
      </c>
      <c r="AF62" t="str" cm="1">
        <f t="array" ref="AF62">INDEX($Z$88:$Z$98,AF$61)</f>
        <v>GK</v>
      </c>
      <c r="AG62" t="str" cm="1">
        <f t="array" ref="AG62">INDEX($Z$88:$Z$98,AG$61)</f>
        <v>CB</v>
      </c>
      <c r="AH62" t="str" cm="1">
        <f t="array" ref="AH62">INDEX($Z$88:$Z$98,AH$61)</f>
        <v>CB</v>
      </c>
      <c r="AI62" t="str" cm="1">
        <f t="array" ref="AI62">INDEX($Z$88:$Z$98,AI$61)</f>
        <v>CB</v>
      </c>
      <c r="AJ62" t="str" cm="1">
        <f t="array" ref="AJ62">INDEX($Z$88:$Z$98,AJ$61)</f>
        <v>RWB</v>
      </c>
      <c r="AK62" t="str" cm="1">
        <f t="array" ref="AK62">INDEX($Z$88:$Z$98,AK$61)</f>
        <v>LWB</v>
      </c>
      <c r="AL62" t="str" cm="1">
        <f t="array" ref="AL62">INDEX($Z$88:$Z$98,AL$61)</f>
        <v>CM</v>
      </c>
      <c r="AM62" t="str" cm="1">
        <f t="array" ref="AM62">INDEX($Z$88:$Z$98,AM$61)</f>
        <v>CM</v>
      </c>
      <c r="AN62" t="str" cm="1">
        <f t="array" ref="AN62">INDEX($Z$88:$Z$98,AN$61)</f>
        <v>CM</v>
      </c>
      <c r="AO62" t="str" cm="1">
        <f t="array" ref="AO62">INDEX($Z$88:$Z$98,AO$61)</f>
        <v>ST</v>
      </c>
      <c r="AP62" t="str" cm="1">
        <f t="array" ref="AP62">INDEX($Z$88:$Z$98,AP$61)</f>
        <v>ST</v>
      </c>
      <c r="AQ62" s="422" t="s">
        <v>217</v>
      </c>
      <c r="AR62" t="str" cm="1">
        <f t="array" ref="AR62">INDEX($Y$88:$Y$98,AR$61)</f>
        <v>GK</v>
      </c>
      <c r="AS62" t="str" cm="1">
        <f t="array" ref="AS62">INDEX($Y$88:$Y$98,AS$61)</f>
        <v>RB</v>
      </c>
      <c r="AT62" t="str" cm="1">
        <f t="array" ref="AT62">INDEX($Y$88:$Y$98,AT$61)</f>
        <v>CB</v>
      </c>
      <c r="AU62" t="str" cm="1">
        <f t="array" ref="AU62">INDEX($Y$88:$Y$98,AU$61)</f>
        <v>CB</v>
      </c>
      <c r="AV62" t="str" cm="1">
        <f t="array" ref="AV62">INDEX($Y$88:$Y$98,AV$61)</f>
        <v>LB</v>
      </c>
      <c r="AW62" t="str" cm="1">
        <f t="array" ref="AW62">INDEX($Y$88:$Y$98,AW$61)</f>
        <v>DM</v>
      </c>
      <c r="AX62" t="str" cm="1">
        <f t="array" ref="AX62">INDEX($Y$88:$Y$98,AX$61)</f>
        <v>CM</v>
      </c>
      <c r="AY62" t="str" cm="1">
        <f t="array" ref="AY62">INDEX($Y$88:$Y$98,AY$61)</f>
        <v>ACM</v>
      </c>
      <c r="AZ62" t="str" cm="1">
        <f t="array" ref="AZ62">INDEX($Y$88:$Y$98,AZ$61)</f>
        <v>RW</v>
      </c>
      <c r="BA62" t="str" cm="1">
        <f t="array" ref="BA62">INDEX($Y$88:$Y$98,BA$61)</f>
        <v>ST</v>
      </c>
      <c r="BB62" t="str" cm="1">
        <f t="array" ref="BB62">INDEX($Y$88:$Y$98,BB$61)</f>
        <v>LW</v>
      </c>
    </row>
    <row r="63" spans="2:54" ht="31.5" hidden="1" customHeight="1" outlineLevel="1" x14ac:dyDescent="0.45">
      <c r="B63" s="226" t="s">
        <v>153</v>
      </c>
      <c r="C63" s="146" t="s">
        <v>18</v>
      </c>
      <c r="D63" s="146" t="s">
        <v>217</v>
      </c>
      <c r="E63" s="146" t="s">
        <v>319</v>
      </c>
      <c r="F63" s="146" t="s">
        <v>168</v>
      </c>
      <c r="G63" s="146" t="s">
        <v>250</v>
      </c>
      <c r="H63" s="146" t="s">
        <v>252</v>
      </c>
      <c r="I63" s="146" t="s">
        <v>259</v>
      </c>
      <c r="J63" s="146" t="s">
        <v>269</v>
      </c>
      <c r="K63" s="146" t="s">
        <v>272</v>
      </c>
      <c r="L63" s="146" t="s">
        <v>274</v>
      </c>
      <c r="M63" s="146" t="s">
        <v>276</v>
      </c>
      <c r="N63" s="146" t="s">
        <v>278</v>
      </c>
      <c r="O63" s="146" t="s">
        <v>280</v>
      </c>
      <c r="P63" s="146" t="s">
        <v>282</v>
      </c>
      <c r="Q63" s="146"/>
      <c r="R63" s="146" t="s">
        <v>250</v>
      </c>
      <c r="S63" s="146" t="s">
        <v>252</v>
      </c>
      <c r="T63" s="146" t="s">
        <v>259</v>
      </c>
      <c r="U63" s="146" t="s">
        <v>269</v>
      </c>
      <c r="V63" s="146" t="s">
        <v>272</v>
      </c>
      <c r="W63" s="146" t="s">
        <v>274</v>
      </c>
      <c r="X63" s="146" t="s">
        <v>276</v>
      </c>
      <c r="Y63" s="146" t="s">
        <v>278</v>
      </c>
      <c r="Z63" s="146" t="s">
        <v>280</v>
      </c>
      <c r="AA63" s="146" t="s">
        <v>282</v>
      </c>
      <c r="AB63" s="146" t="s">
        <v>320</v>
      </c>
      <c r="AC63" s="148" t="s">
        <v>314</v>
      </c>
      <c r="AD63" s="227" t="s">
        <v>321</v>
      </c>
      <c r="AE63" s="423" t="s">
        <v>596</v>
      </c>
      <c r="AF63" t="str">
        <f>IF(AF62="RWB","RB",IF(AF62="LWB","LB",AF62))</f>
        <v>GK</v>
      </c>
      <c r="AG63" t="str">
        <f t="shared" ref="AG63:AP63" si="6">IF(AG62="RWB","RB",IF(AG62="LWB","LB",AG62))</f>
        <v>CB</v>
      </c>
      <c r="AH63" t="str">
        <f t="shared" si="6"/>
        <v>CB</v>
      </c>
      <c r="AI63" t="str">
        <f t="shared" si="6"/>
        <v>CB</v>
      </c>
      <c r="AJ63" t="str">
        <f t="shared" si="6"/>
        <v>RB</v>
      </c>
      <c r="AK63" t="str">
        <f t="shared" si="6"/>
        <v>LB</v>
      </c>
      <c r="AL63" t="str">
        <f t="shared" si="6"/>
        <v>CM</v>
      </c>
      <c r="AM63" t="str">
        <f t="shared" si="6"/>
        <v>CM</v>
      </c>
      <c r="AN63" t="str">
        <f t="shared" si="6"/>
        <v>CM</v>
      </c>
      <c r="AO63" t="str">
        <f t="shared" si="6"/>
        <v>ST</v>
      </c>
      <c r="AP63" t="str">
        <f t="shared" si="6"/>
        <v>ST</v>
      </c>
      <c r="AQ63" s="422" t="s">
        <v>596</v>
      </c>
      <c r="AR63" t="str">
        <f>IF(AR62="RWB","RB",IF(AR62="LWB","LB",AR62))</f>
        <v>GK</v>
      </c>
      <c r="AS63" t="str">
        <f t="shared" ref="AS63:BB63" si="7">IF(AS62="RWB","RB",IF(AS62="LWB","LB",AS62))</f>
        <v>RB</v>
      </c>
      <c r="AT63" t="str">
        <f t="shared" si="7"/>
        <v>CB</v>
      </c>
      <c r="AU63" t="str">
        <f t="shared" si="7"/>
        <v>CB</v>
      </c>
      <c r="AV63" t="str">
        <f t="shared" si="7"/>
        <v>LB</v>
      </c>
      <c r="AW63" t="str">
        <f t="shared" si="7"/>
        <v>DM</v>
      </c>
      <c r="AX63" t="str">
        <f t="shared" si="7"/>
        <v>CM</v>
      </c>
      <c r="AY63" t="str">
        <f t="shared" si="7"/>
        <v>ACM</v>
      </c>
      <c r="AZ63" t="str">
        <f t="shared" si="7"/>
        <v>RW</v>
      </c>
      <c r="BA63" t="str">
        <f t="shared" si="7"/>
        <v>ST</v>
      </c>
      <c r="BB63" t="str">
        <f t="shared" si="7"/>
        <v>LW</v>
      </c>
    </row>
    <row r="64" spans="2:54" hidden="1" outlineLevel="1" x14ac:dyDescent="0.45">
      <c r="B64" s="228">
        <f>IF($C64="","",Attendance!$C5)</f>
        <v>1</v>
      </c>
      <c r="C64" s="229" t="str">
        <f>IF(Attendance!$D5="","",Attendance!$D5)</f>
        <v>Aoife Kennan</v>
      </c>
      <c r="D64" s="32" t="str">
        <f>IF($C64="","",'Player Grading'!$D6)</f>
        <v>GK</v>
      </c>
      <c r="E64" s="32" t="str">
        <f>IF($C64="","",IF($E118="",IF(Attendance!$GP5="","Yes",Attendance!$GP5),IF($E118="Available","Yes","No")))</f>
        <v>Yes</v>
      </c>
      <c r="F64" s="230" t="str">
        <f>IF($C64="","",IF($E118="",Attendance!$GQ5&amp;"",IF($E118="Available","",$E118&amp;IF($F118="",""," - "&amp;$F118)&amp;IF($I118="",""," (back "&amp;TEXT($I118,"d mmm")&amp;")"))))</f>
        <v/>
      </c>
      <c r="G64" s="35">
        <f t="array" ref="G64">IF($C64="","",IF(NOT(ISNUMBER(SEARCH(" GK "," "&amp;SUBSTITUTE($D64,"/"," ")&amp;" "))),"",IFERROR(SUMPRODUCT('Player Grading'!$E6:$AF6,$C$104:$AD$104)/SUMPRODUCT(($C$104:$AD$104)*('Player Grading'!$E6:$AF6&lt;&gt;"")),"")))</f>
        <v>8.4318181818181817</v>
      </c>
      <c r="H64" s="35" t="str">
        <f t="array" ref="H64">IF($C64="","",IF(NOT(ISNUMBER(SEARCH(" RB "," "&amp;SUBSTITUTE($D64,"/"," ")&amp;" "))),"",IFERROR(SUMPRODUCT('Player Grading'!$E6:$AF6,$C$105:$AD$105)/SUMPRODUCT(($C$105:$AD$105)*('Player Grading'!$E6:$AF6&lt;&gt;"")),"")))</f>
        <v/>
      </c>
      <c r="I64" s="35" t="str">
        <f t="array" ref="I64">IF($C64="","",IF(NOT(ISNUMBER(SEARCH(" CB "," "&amp;SUBSTITUTE($D64,"/"," ")&amp;" "))),"",IFERROR(SUMPRODUCT('Player Grading'!$E6:$AF6,$C$106:$AD$106)/SUMPRODUCT(($C$106:$AD$106)*('Player Grading'!$E6:$AF6&lt;&gt;"")),"")))</f>
        <v/>
      </c>
      <c r="J64" s="35" t="str">
        <f t="array" ref="J64">IF($C64="","",IF(NOT(ISNUMBER(SEARCH(" LB "," "&amp;SUBSTITUTE($D64,"/"," ")&amp;" "))),"",IFERROR(SUMPRODUCT('Player Grading'!$E6:$AF6,$C$107:$AD$107)/SUMPRODUCT(($C$107:$AD$107)*('Player Grading'!$E6:$AF6&lt;&gt;"")),"")))</f>
        <v/>
      </c>
      <c r="K64" s="35" t="str">
        <f t="array" ref="K64">IF($C64="","",IF(NOT(ISNUMBER(SEARCH(" DM "," "&amp;SUBSTITUTE($D64,"/"," ")&amp;" "))),"",IFERROR(SUMPRODUCT('Player Grading'!$E6:$AF6,$C$108:$AD$108)/SUMPRODUCT(($C$108:$AD$108)*('Player Grading'!$E6:$AF6&lt;&gt;"")),"")))</f>
        <v/>
      </c>
      <c r="L64" s="35" t="str">
        <f t="array" ref="L64">IF($C64="","",IF(NOT(ISNUMBER(SEARCH(" CM "," "&amp;SUBSTITUTE($D64,"/"," ")&amp;" "))),"",IFERROR(SUMPRODUCT('Player Grading'!$E6:$AF6,$C$109:$AD$109)/SUMPRODUCT(($C$109:$AD$109)*('Player Grading'!$E6:$AF6&lt;&gt;"")),"")))</f>
        <v/>
      </c>
      <c r="M64" s="35" t="str">
        <f t="array" ref="M64">IF($C64="","",IF(NOT(ISNUMBER(SEARCH(" ACM "," "&amp;SUBSTITUTE($D64,"/"," ")&amp;" "))),"",IFERROR(SUMPRODUCT('Player Grading'!$E6:$AF6,$C$110:$AD$110)/SUMPRODUCT(($C$110:$AD$110)*('Player Grading'!$E6:$AF6&lt;&gt;"")),"")))</f>
        <v/>
      </c>
      <c r="N64" s="35" t="str">
        <f t="array" ref="N64">IF($C64="","",IF(NOT(ISNUMBER(SEARCH(" RW "," "&amp;SUBSTITUTE($D64,"/"," ")&amp;" "))),"",IFERROR(SUMPRODUCT('Player Grading'!$E6:$AF6,$C$111:$AD$111)/SUMPRODUCT(($C$111:$AD$111)*('Player Grading'!$E6:$AF6&lt;&gt;"")),"")))</f>
        <v/>
      </c>
      <c r="O64" s="35" t="str">
        <f t="array" ref="O64">IF($C64="","",IF(NOT(ISNUMBER(SEARCH(" LW "," "&amp;SUBSTITUTE($D64,"/"," ")&amp;" "))),"",IFERROR(SUMPRODUCT('Player Grading'!$E6:$AF6,$C$112:$AD$112)/SUMPRODUCT(($C$112:$AD$112)*('Player Grading'!$E6:$AF6&lt;&gt;"")),"")))</f>
        <v/>
      </c>
      <c r="P64" s="35" t="str">
        <f t="array" ref="P64">IF($C64="","",IF(NOT(ISNUMBER(SEARCH(" ST "," "&amp;SUBSTITUTE($D64,"/"," ")&amp;" "))),"",IFERROR(SUMPRODUCT('Player Grading'!$E6:$AF6,$C$113:$AD$113)/SUMPRODUCT(($C$113:$AD$113)*('Player Grading'!$E6:$AF6&lt;&gt;"")),"")))</f>
        <v/>
      </c>
      <c r="Q64" s="32"/>
      <c r="R64" s="35">
        <f t="shared" ref="R64:R83" si="8">IF(G64="","",IF(AND($J$6="On",ISNUMBER($AB64)),MEDIAN(1,G64+($AB64-0.5)*$K$6,20),G64))</f>
        <v>8.9651515151515149</v>
      </c>
      <c r="S64" s="35" t="str">
        <f t="shared" ref="S64:S83" si="9">IF(H64="","",IF(AND($J$6="On",ISNUMBER($AB64)),MEDIAN(1,H64+($AB64-0.5)*$K$6,20),H64))</f>
        <v/>
      </c>
      <c r="T64" s="35" t="str">
        <f t="shared" ref="T64:T83" si="10">IF(I64="","",IF(AND($J$6="On",ISNUMBER($AB64)),MEDIAN(1,I64+($AB64-0.5)*$K$6,20),I64))</f>
        <v/>
      </c>
      <c r="U64" s="35" t="str">
        <f t="shared" ref="U64:U83" si="11">IF(J64="","",IF(AND($J$6="On",ISNUMBER($AB64)),MEDIAN(1,J64+($AB64-0.5)*$K$6,20),J64))</f>
        <v/>
      </c>
      <c r="V64" s="35" t="str">
        <f t="shared" ref="V64:V83" si="12">IF(K64="","",IF(AND($J$6="On",ISNUMBER($AB64)),MEDIAN(1,K64+($AB64-0.5)*$K$6,20),K64))</f>
        <v/>
      </c>
      <c r="W64" s="35" t="str">
        <f t="shared" ref="W64:W83" si="13">IF(L64="","",IF(AND($J$6="On",ISNUMBER($AB64)),MEDIAN(1,L64+($AB64-0.5)*$K$6,20),L64))</f>
        <v/>
      </c>
      <c r="X64" s="35" t="str">
        <f t="shared" ref="X64:X83" si="14">IF(M64="","",IF(AND($J$6="On",ISNUMBER($AB64)),MEDIAN(1,M64+($AB64-0.5)*$K$6,20),M64))</f>
        <v/>
      </c>
      <c r="Y64" s="35" t="str">
        <f t="shared" ref="Y64:Y83" si="15">IF(N64="","",IF(AND($J$6="On",ISNUMBER($AB64)),MEDIAN(1,N64+($AB64-0.5)*$K$6,20),N64))</f>
        <v/>
      </c>
      <c r="Z64" s="35" t="str">
        <f t="shared" ref="Z64:Z83" si="16">IF(O64="","",IF(AND($J$6="On",ISNUMBER($AB64)),MEDIAN(1,O64+($AB64-0.5)*$K$6,20),O64))</f>
        <v/>
      </c>
      <c r="AA64" s="35" t="str">
        <f t="shared" ref="AA64:AA83" si="17">IF(P64="","",IF(AND($J$6="On",ISNUMBER($AB64)),MEDIAN(1,P64+($AB64-0.5)*$K$6,20),P64))</f>
        <v/>
      </c>
      <c r="AB64" s="100">
        <f>IF($C64="","",IF(OR(N(Attendance!$GB5)&gt;0,N(Attendance!$GF5)&gt;0),IFERROR(Attendance!$GN5,""),IFERROR(INDEX(Workings!$AT$6:$AT$25,MATCH($C64,Workings!$AO$6:$AO$25,0)),"")))</f>
        <v>0.76666666666666661</v>
      </c>
      <c r="AC64" s="231">
        <f>IF($C64="","",IFERROR('Player Grading'!$AL6,""))</f>
        <v>6.7041666666666666</v>
      </c>
      <c r="AD64" t="str">
        <f>IF($C64="","",IF(OR(N(Attendance!$GB5)&gt;0,N(Attendance!$GF5)&gt;0),"In-season",IF(ISNUMBER($AB64),"Pre-season","None")))</f>
        <v>In-season</v>
      </c>
      <c r="AF64">
        <f>IF(OR($C64="",INDEX($R64:$AA64,MATCH(AF$63,$R$63:$AA$63,0))="",$E64&lt;&gt;"Yes",COUNTIF($H$25:$H$35,$C64)&gt;0),"",INDEX($R64:$AA64,MATCH(AF$63,$R$63:$AA$63,0)))</f>
        <v>8.9651515151515149</v>
      </c>
      <c r="AG64" t="str">
        <f>IF(OR($C64="",INDEX($R64:$AA64,MATCH(AG$63,$R$63:$AA$63,0))="",$E64&lt;&gt;"Yes",COUNTIF($H$25:$H$35,$C64)&gt;0,COUNTIF($F$146:$F$146,$C64)&gt;0),"",INDEX($R64:$AA64,MATCH(AG$63,$R$63:$AA$63,0)))</f>
        <v/>
      </c>
      <c r="AH64" t="str">
        <f>IF(OR($C64="",INDEX($R64:$AA64,MATCH(AH$63,$R$63:$AA$63,0))="",$E64&lt;&gt;"Yes",COUNTIF($H$25:$H$35,$C64)&gt;0,COUNTIF($F$146:$F$147,$C64)&gt;0),"",INDEX($R64:$AA64,MATCH(AH$63,$R$63:$AA$63,0)))</f>
        <v/>
      </c>
      <c r="AI64" t="str">
        <f>IF(OR($C64="",INDEX($R64:$AA64,MATCH(AI$63,$R$63:$AA$63,0))="",$E64&lt;&gt;"Yes",COUNTIF($H$25:$H$35,$C64)&gt;0,COUNTIF($F$146:$F$148,$C64)&gt;0),"",INDEX($R64:$AA64,MATCH(AI$63,$R$63:$AA$63,0)))</f>
        <v/>
      </c>
      <c r="AJ64" t="str">
        <f>IF(OR($C64="",INDEX($R64:$AA64,MATCH(AJ$63,$R$63:$AA$63,0))="",$E64&lt;&gt;"Yes",COUNTIF($H$25:$H$35,$C64)&gt;0,COUNTIF($F$146:$F$149,$C64)&gt;0),"",INDEX($R64:$AA64,MATCH(AJ$63,$R$63:$AA$63,0)))</f>
        <v/>
      </c>
      <c r="AK64" t="str">
        <f>IF(OR($C64="",INDEX($R64:$AA64,MATCH(AK$63,$R$63:$AA$63,0))="",$E64&lt;&gt;"Yes",COUNTIF($H$25:$H$35,$C64)&gt;0,COUNTIF($F$146:$F$150,$C64)&gt;0),"",INDEX($R64:$AA64,MATCH(AK$63,$R$63:$AA$63,0)))</f>
        <v/>
      </c>
      <c r="AL64" t="str">
        <f>IF(OR($C64="",INDEX($R64:$AA64,MATCH(AL$63,$R$63:$AA$63,0))="",$E64&lt;&gt;"Yes",COUNTIF($H$25:$H$35,$C64)&gt;0,COUNTIF($F$146:$F$151,$C64)&gt;0),"",INDEX($R64:$AA64,MATCH(AL$63,$R$63:$AA$63,0)))</f>
        <v/>
      </c>
      <c r="AM64" t="str">
        <f>IF(OR($C64="",INDEX($R64:$AA64,MATCH(AM$63,$R$63:$AA$63,0))="",$E64&lt;&gt;"Yes",COUNTIF($H$25:$H$35,$C64)&gt;0,COUNTIF($F$146:$F$152,$C64)&gt;0),"",INDEX($R64:$AA64,MATCH(AM$63,$R$63:$AA$63,0)))</f>
        <v/>
      </c>
      <c r="AN64" t="str">
        <f>IF(OR($C64="",INDEX($R64:$AA64,MATCH(AN$63,$R$63:$AA$63,0))="",$E64&lt;&gt;"Yes",COUNTIF($H$25:$H$35,$C64)&gt;0,COUNTIF($F$146:$F$153,$C64)&gt;0),"",INDEX($R64:$AA64,MATCH(AN$63,$R$63:$AA$63,0)))</f>
        <v/>
      </c>
      <c r="AO64" t="str">
        <f>IF(OR($C64="",INDEX($R64:$AA64,MATCH(AO$63,$R$63:$AA$63,0))="",$E64&lt;&gt;"Yes",COUNTIF($H$25:$H$35,$C64)&gt;0,COUNTIF($F$146:$F$154,$C64)&gt;0),"",INDEX($R64:$AA64,MATCH(AO$63,$R$63:$AA$63,0)))</f>
        <v/>
      </c>
      <c r="AP64" t="str">
        <f>IF(OR($C64="",INDEX($R64:$AA64,MATCH(AP$63,$R$63:$AA$63,0))="",$E64&lt;&gt;"Yes",COUNTIF($H$25:$H$35,$C64)&gt;0,COUNTIF($F$146:$F$155,$C64)&gt;0),"",INDEX($R64:$AA64,MATCH(AP$63,$R$63:$AA$63,0)))</f>
        <v/>
      </c>
      <c r="AR64">
        <f>IF(OR($C64="",INDEX($R64:$AA64,MATCH(AR$63,$R$63:$AA$63,0))="",$E64&lt;&gt;"Yes",COUNTIF($I$25:$I$35,$C64)&gt;0),"",INDEX($R64:$AA64,MATCH(AR$63,$R$63:$AA$63,0)))</f>
        <v>8.9651515151515149</v>
      </c>
      <c r="AS64" t="str">
        <f>IF(OR($C64="",INDEX($R64:$AA64,MATCH(AS$63,$R$63:$AA$63,0))="",$E64&lt;&gt;"Yes",COUNTIF($I$25:$I$35,$C64)&gt;0,COUNTIF($F$160:$F$160,$C64)&gt;0),"",INDEX($R64:$AA64,MATCH(AS$63,$R$63:$AA$63,0)))</f>
        <v/>
      </c>
      <c r="AT64" t="str">
        <f>IF(OR($C64="",INDEX($R64:$AA64,MATCH(AT$63,$R$63:$AA$63,0))="",$E64&lt;&gt;"Yes",COUNTIF($I$25:$I$35,$C64)&gt;0,COUNTIF($F$160:$F$161,$C64)&gt;0),"",INDEX($R64:$AA64,MATCH(AT$63,$R$63:$AA$63,0)))</f>
        <v/>
      </c>
      <c r="AU64" t="str">
        <f>IF(OR($C64="",INDEX($R64:$AA64,MATCH(AU$63,$R$63:$AA$63,0))="",$E64&lt;&gt;"Yes",COUNTIF($I$25:$I$35,$C64)&gt;0,COUNTIF($F$160:$F$162,$C64)&gt;0),"",INDEX($R64:$AA64,MATCH(AU$63,$R$63:$AA$63,0)))</f>
        <v/>
      </c>
      <c r="AV64" t="str">
        <f>IF(OR($C64="",INDEX($R64:$AA64,MATCH(AV$63,$R$63:$AA$63,0))="",$E64&lt;&gt;"Yes",COUNTIF($I$25:$I$35,$C64)&gt;0,COUNTIF($F$160:$F$163,$C64)&gt;0),"",INDEX($R64:$AA64,MATCH(AV$63,$R$63:$AA$63,0)))</f>
        <v/>
      </c>
      <c r="AW64" t="str">
        <f>IF(OR($C64="",INDEX($R64:$AA64,MATCH(AW$63,$R$63:$AA$63,0))="",$E64&lt;&gt;"Yes",COUNTIF($I$25:$I$35,$C64)&gt;0,COUNTIF($F$160:$F$164,$C64)&gt;0),"",INDEX($R64:$AA64,MATCH(AW$63,$R$63:$AA$63,0)))</f>
        <v/>
      </c>
      <c r="AX64" t="str">
        <f>IF(OR($C64="",INDEX($R64:$AA64,MATCH(AX$63,$R$63:$AA$63,0))="",$E64&lt;&gt;"Yes",COUNTIF($I$25:$I$35,$C64)&gt;0,COUNTIF($F$160:$F$165,$C64)&gt;0),"",INDEX($R64:$AA64,MATCH(AX$63,$R$63:$AA$63,0)))</f>
        <v/>
      </c>
      <c r="AY64" t="str">
        <f>IF(OR($C64="",INDEX($R64:$AA64,MATCH(AY$63,$R$63:$AA$63,0))="",$E64&lt;&gt;"Yes",COUNTIF($I$25:$I$35,$C64)&gt;0,COUNTIF($F$160:$F$166,$C64)&gt;0),"",INDEX($R64:$AA64,MATCH(AY$63,$R$63:$AA$63,0)))</f>
        <v/>
      </c>
      <c r="AZ64" t="str">
        <f>IF(OR($C64="",INDEX($R64:$AA64,MATCH(AZ$63,$R$63:$AA$63,0))="",$E64&lt;&gt;"Yes",COUNTIF($I$25:$I$35,$C64)&gt;0,COUNTIF($F$160:$F$167,$C64)&gt;0),"",INDEX($R64:$AA64,MATCH(AZ$63,$R$63:$AA$63,0)))</f>
        <v/>
      </c>
      <c r="BA64" t="str">
        <f>IF(OR($C64="",INDEX($R64:$AA64,MATCH(BA$63,$R$63:$AA$63,0))="",$E64&lt;&gt;"Yes",COUNTIF($I$25:$I$35,$C64)&gt;0,COUNTIF($F$160:$F$168,$C64)&gt;0),"",INDEX($R64:$AA64,MATCH(BA$63,$R$63:$AA$63,0)))</f>
        <v/>
      </c>
      <c r="BB64" t="str">
        <f>IF(OR($C64="",INDEX($R64:$AA64,MATCH(BB$63,$R$63:$AA$63,0))="",$E64&lt;&gt;"Yes",COUNTIF($I$25:$I$35,$C64)&gt;0,COUNTIF($F$160:$F$169,$C64)&gt;0),"",INDEX($R64:$AA64,MATCH(BB$63,$R$63:$AA$63,0)))</f>
        <v/>
      </c>
    </row>
    <row r="65" spans="2:54" hidden="1" outlineLevel="1" x14ac:dyDescent="0.45">
      <c r="B65" s="232">
        <f>IF($C65="","",Attendance!$C6)</f>
        <v>2</v>
      </c>
      <c r="C65" s="233" t="str">
        <f>IF(Attendance!$D6="","",Attendance!$D6)</f>
        <v>Stella McEvoy</v>
      </c>
      <c r="D65" s="234" t="str">
        <f>IF($C65="","",'Player Grading'!$D7)</f>
        <v>LB / RB / CB</v>
      </c>
      <c r="E65" s="234" t="str">
        <f>IF($C65="","",IF($E119="",IF(Attendance!$GP6="","Yes",Attendance!$GP6),IF($E119="Available","Yes","No")))</f>
        <v>Yes</v>
      </c>
      <c r="F65" s="235" t="str">
        <f>IF($C65="","",IF($E119="",Attendance!$GQ6&amp;"",IF($E119="Available","",$E119&amp;IF($F119="",""," - "&amp;$F119)&amp;IF($I119="",""," (back "&amp;TEXT($I119,"d mmm")&amp;")"))))</f>
        <v/>
      </c>
      <c r="G65" s="109" t="str">
        <f t="array" ref="G65">IF($C65="","",IF(NOT(ISNUMBER(SEARCH(" GK "," "&amp;SUBSTITUTE($D65,"/"," ")&amp;" "))),"",IFERROR(SUMPRODUCT('Player Grading'!$E7:$AF7,$C$104:$AD$104)/SUMPRODUCT(($C$104:$AD$104)*('Player Grading'!$E7:$AF7&lt;&gt;"")),"")))</f>
        <v/>
      </c>
      <c r="H65" s="109">
        <f t="array" ref="H65">IF($C65="","",IF(NOT(ISNUMBER(SEARCH(" RB "," "&amp;SUBSTITUTE($D65,"/"," ")&amp;" "))),"",IFERROR(SUMPRODUCT('Player Grading'!$E7:$AF7,$C$105:$AD$105)/SUMPRODUCT(($C$105:$AD$105)*('Player Grading'!$E7:$AF7&lt;&gt;"")),"")))</f>
        <v>12.133333333333333</v>
      </c>
      <c r="I65" s="109">
        <f t="array" ref="I65">IF($C65="","",IF(NOT(ISNUMBER(SEARCH(" CB "," "&amp;SUBSTITUTE($D65,"/"," ")&amp;" "))),"",IFERROR(SUMPRODUCT('Player Grading'!$E7:$AF7,$C$106:$AD$106)/SUMPRODUCT(($C$106:$AD$106)*('Player Grading'!$E7:$AF7&lt;&gt;"")),"")))</f>
        <v>13.585365853658537</v>
      </c>
      <c r="J65" s="109">
        <f t="array" ref="J65">IF($C65="","",IF(NOT(ISNUMBER(SEARCH(" LB "," "&amp;SUBSTITUTE($D65,"/"," ")&amp;" "))),"",IFERROR(SUMPRODUCT('Player Grading'!$E7:$AF7,$C$107:$AD$107)/SUMPRODUCT(($C$107:$AD$107)*('Player Grading'!$E7:$AF7&lt;&gt;"")),"")))</f>
        <v>12.133333333333333</v>
      </c>
      <c r="K65" s="109" t="str">
        <f t="array" ref="K65">IF($C65="","",IF(NOT(ISNUMBER(SEARCH(" DM "," "&amp;SUBSTITUTE($D65,"/"," ")&amp;" "))),"",IFERROR(SUMPRODUCT('Player Grading'!$E7:$AF7,$C$108:$AD$108)/SUMPRODUCT(($C$108:$AD$108)*('Player Grading'!$E7:$AF7&lt;&gt;"")),"")))</f>
        <v/>
      </c>
      <c r="L65" s="109" t="str">
        <f t="array" ref="L65">IF($C65="","",IF(NOT(ISNUMBER(SEARCH(" CM "," "&amp;SUBSTITUTE($D65,"/"," ")&amp;" "))),"",IFERROR(SUMPRODUCT('Player Grading'!$E7:$AF7,$C$109:$AD$109)/SUMPRODUCT(($C$109:$AD$109)*('Player Grading'!$E7:$AF7&lt;&gt;"")),"")))</f>
        <v/>
      </c>
      <c r="M65" s="109" t="str">
        <f t="array" ref="M65">IF($C65="","",IF(NOT(ISNUMBER(SEARCH(" ACM "," "&amp;SUBSTITUTE($D65,"/"," ")&amp;" "))),"",IFERROR(SUMPRODUCT('Player Grading'!$E7:$AF7,$C$110:$AD$110)/SUMPRODUCT(($C$110:$AD$110)*('Player Grading'!$E7:$AF7&lt;&gt;"")),"")))</f>
        <v/>
      </c>
      <c r="N65" s="109" t="str">
        <f t="array" ref="N65">IF($C65="","",IF(NOT(ISNUMBER(SEARCH(" RW "," "&amp;SUBSTITUTE($D65,"/"," ")&amp;" "))),"",IFERROR(SUMPRODUCT('Player Grading'!$E7:$AF7,$C$111:$AD$111)/SUMPRODUCT(($C$111:$AD$111)*('Player Grading'!$E7:$AF7&lt;&gt;"")),"")))</f>
        <v/>
      </c>
      <c r="O65" s="109" t="str">
        <f t="array" ref="O65">IF($C65="","",IF(NOT(ISNUMBER(SEARCH(" LW "," "&amp;SUBSTITUTE($D65,"/"," ")&amp;" "))),"",IFERROR(SUMPRODUCT('Player Grading'!$E7:$AF7,$C$112:$AD$112)/SUMPRODUCT(($C$112:$AD$112)*('Player Grading'!$E7:$AF7&lt;&gt;"")),"")))</f>
        <v/>
      </c>
      <c r="P65" s="109" t="str">
        <f t="array" ref="P65">IF($C65="","",IF(NOT(ISNUMBER(SEARCH(" ST "," "&amp;SUBSTITUTE($D65,"/"," ")&amp;" "))),"",IFERROR(SUMPRODUCT('Player Grading'!$E7:$AF7,$C$113:$AD$113)/SUMPRODUCT(($C$113:$AD$113)*('Player Grading'!$E7:$AF7&lt;&gt;"")),"")))</f>
        <v/>
      </c>
      <c r="Q65" s="234"/>
      <c r="R65" s="109" t="str">
        <f t="shared" si="8"/>
        <v/>
      </c>
      <c r="S65" s="109">
        <f t="shared" si="9"/>
        <v>12.666666666666666</v>
      </c>
      <c r="T65" s="109">
        <f t="shared" si="10"/>
        <v>14.11869918699187</v>
      </c>
      <c r="U65" s="109">
        <f t="shared" si="11"/>
        <v>12.666666666666666</v>
      </c>
      <c r="V65" s="109" t="str">
        <f t="shared" si="12"/>
        <v/>
      </c>
      <c r="W65" s="109" t="str">
        <f t="shared" si="13"/>
        <v/>
      </c>
      <c r="X65" s="109" t="str">
        <f t="shared" si="14"/>
        <v/>
      </c>
      <c r="Y65" s="109" t="str">
        <f t="shared" si="15"/>
        <v/>
      </c>
      <c r="Z65" s="109" t="str">
        <f t="shared" si="16"/>
        <v/>
      </c>
      <c r="AA65" s="109" t="str">
        <f t="shared" si="17"/>
        <v/>
      </c>
      <c r="AB65" s="108">
        <f>IF($C65="","",IF(OR(N(Attendance!$GB6)&gt;0,N(Attendance!$GF6)&gt;0),IFERROR(Attendance!$GN6,""),IFERROR(INDEX(Workings!$AT$6:$AT$25,MATCH($C65,Workings!$AO$6:$AO$25,0)),"")))</f>
        <v>0.76666666666666661</v>
      </c>
      <c r="AC65" s="236">
        <f>IF($C65="","",IFERROR('Player Grading'!$AL7,""))</f>
        <v>11.135185185185186</v>
      </c>
      <c r="AD65" t="str">
        <f>IF($C65="","",IF(OR(N(Attendance!$GB6)&gt;0,N(Attendance!$GF6)&gt;0),"In-season",IF(ISNUMBER($AB65),"Pre-season","None")))</f>
        <v>In-season</v>
      </c>
      <c r="AF65" t="str">
        <f t="shared" ref="AF65:AF83" si="18">IF(OR($C65="",INDEX($R65:$AA65,MATCH(AF$63,$R$63:$AA$63,0))="",$E65&lt;&gt;"Yes",COUNTIF($H$25:$H$35,$C65)&gt;0),"",INDEX($R65:$AA65,MATCH(AF$63,$R$63:$AA$63,0)))</f>
        <v/>
      </c>
      <c r="AG65" t="str">
        <f t="shared" ref="AG65:AG83" si="19">IF(OR($C65="",INDEX($R65:$AA65,MATCH(AG$63,$R$63:$AA$63,0))="",$E65&lt;&gt;"Yes",COUNTIF($H$25:$H$35,$C65)&gt;0,COUNTIF($F$146:$F$146,$C65)&gt;0),"",INDEX($R65:$AA65,MATCH(AG$63,$R$63:$AA$63,0)))</f>
        <v/>
      </c>
      <c r="AH65" t="str">
        <f t="shared" ref="AH65:AH83" si="20">IF(OR($C65="",INDEX($R65:$AA65,MATCH(AH$63,$R$63:$AA$63,0))="",$E65&lt;&gt;"Yes",COUNTIF($H$25:$H$35,$C65)&gt;0,COUNTIF($F$146:$F$147,$C65)&gt;0),"",INDEX($R65:$AA65,MATCH(AH$63,$R$63:$AA$63,0)))</f>
        <v/>
      </c>
      <c r="AI65" t="str">
        <f t="shared" ref="AI65:AI83" si="21">IF(OR($C65="",INDEX($R65:$AA65,MATCH(AI$63,$R$63:$AA$63,0))="",$E65&lt;&gt;"Yes",COUNTIF($H$25:$H$35,$C65)&gt;0,COUNTIF($F$146:$F$148,$C65)&gt;0),"",INDEX($R65:$AA65,MATCH(AI$63,$R$63:$AA$63,0)))</f>
        <v/>
      </c>
      <c r="AJ65" t="str">
        <f t="shared" ref="AJ65:AJ83" si="22">IF(OR($C65="",INDEX($R65:$AA65,MATCH(AJ$63,$R$63:$AA$63,0))="",$E65&lt;&gt;"Yes",COUNTIF($H$25:$H$35,$C65)&gt;0,COUNTIF($F$146:$F$149,$C65)&gt;0),"",INDEX($R65:$AA65,MATCH(AJ$63,$R$63:$AA$63,0)))</f>
        <v/>
      </c>
      <c r="AK65" t="str">
        <f t="shared" ref="AK65:AK83" si="23">IF(OR($C65="",INDEX($R65:$AA65,MATCH(AK$63,$R$63:$AA$63,0))="",$E65&lt;&gt;"Yes",COUNTIF($H$25:$H$35,$C65)&gt;0,COUNTIF($F$146:$F$150,$C65)&gt;0),"",INDEX($R65:$AA65,MATCH(AK$63,$R$63:$AA$63,0)))</f>
        <v/>
      </c>
      <c r="AL65" t="str">
        <f t="shared" ref="AL65:AL83" si="24">IF(OR($C65="",INDEX($R65:$AA65,MATCH(AL$63,$R$63:$AA$63,0))="",$E65&lt;&gt;"Yes",COUNTIF($H$25:$H$35,$C65)&gt;0,COUNTIF($F$146:$F$151,$C65)&gt;0),"",INDEX($R65:$AA65,MATCH(AL$63,$R$63:$AA$63,0)))</f>
        <v/>
      </c>
      <c r="AM65" t="str">
        <f t="shared" ref="AM65:AM83" si="25">IF(OR($C65="",INDEX($R65:$AA65,MATCH(AM$63,$R$63:$AA$63,0))="",$E65&lt;&gt;"Yes",COUNTIF($H$25:$H$35,$C65)&gt;0,COUNTIF($F$146:$F$152,$C65)&gt;0),"",INDEX($R65:$AA65,MATCH(AM$63,$R$63:$AA$63,0)))</f>
        <v/>
      </c>
      <c r="AN65" t="str">
        <f t="shared" ref="AN65:AN83" si="26">IF(OR($C65="",INDEX($R65:$AA65,MATCH(AN$63,$R$63:$AA$63,0))="",$E65&lt;&gt;"Yes",COUNTIF($H$25:$H$35,$C65)&gt;0,COUNTIF($F$146:$F$153,$C65)&gt;0),"",INDEX($R65:$AA65,MATCH(AN$63,$R$63:$AA$63,0)))</f>
        <v/>
      </c>
      <c r="AO65" t="str">
        <f t="shared" ref="AO65:AO83" si="27">IF(OR($C65="",INDEX($R65:$AA65,MATCH(AO$63,$R$63:$AA$63,0))="",$E65&lt;&gt;"Yes",COUNTIF($H$25:$H$35,$C65)&gt;0,COUNTIF($F$146:$F$154,$C65)&gt;0),"",INDEX($R65:$AA65,MATCH(AO$63,$R$63:$AA$63,0)))</f>
        <v/>
      </c>
      <c r="AP65" t="str">
        <f t="shared" ref="AP65:AP83" si="28">IF(OR($C65="",INDEX($R65:$AA65,MATCH(AP$63,$R$63:$AA$63,0))="",$E65&lt;&gt;"Yes",COUNTIF($H$25:$H$35,$C65)&gt;0,COUNTIF($F$146:$F$155,$C65)&gt;0),"",INDEX($R65:$AA65,MATCH(AP$63,$R$63:$AA$63,0)))</f>
        <v/>
      </c>
      <c r="AR65" t="str">
        <f t="shared" ref="AR65:AR83" si="29">IF(OR($C65="",INDEX($R65:$AA65,MATCH(AR$63,$R$63:$AA$63,0))="",$E65&lt;&gt;"Yes",COUNTIF($I$25:$I$35,$C65)&gt;0),"",INDEX($R65:$AA65,MATCH(AR$63,$R$63:$AA$63,0)))</f>
        <v/>
      </c>
      <c r="AS65">
        <f t="shared" ref="AS65:AS83" si="30">IF(OR($C65="",INDEX($R65:$AA65,MATCH(AS$63,$R$63:$AA$63,0))="",$E65&lt;&gt;"Yes",COUNTIF($I$25:$I$35,$C65)&gt;0,COUNTIF($F$160:$F$160,$C65)&gt;0),"",INDEX($R65:$AA65,MATCH(AS$63,$R$63:$AA$63,0)))</f>
        <v>12.666666666666666</v>
      </c>
      <c r="AT65" t="str">
        <f t="shared" ref="AT65:AT83" si="31">IF(OR($C65="",INDEX($R65:$AA65,MATCH(AT$63,$R$63:$AA$63,0))="",$E65&lt;&gt;"Yes",COUNTIF($I$25:$I$35,$C65)&gt;0,COUNTIF($F$160:$F$161,$C65)&gt;0),"",INDEX($R65:$AA65,MATCH(AT$63,$R$63:$AA$63,0)))</f>
        <v/>
      </c>
      <c r="AU65" t="str">
        <f t="shared" ref="AU65:AU83" si="32">IF(OR($C65="",INDEX($R65:$AA65,MATCH(AU$63,$R$63:$AA$63,0))="",$E65&lt;&gt;"Yes",COUNTIF($I$25:$I$35,$C65)&gt;0,COUNTIF($F$160:$F$162,$C65)&gt;0),"",INDEX($R65:$AA65,MATCH(AU$63,$R$63:$AA$63,0)))</f>
        <v/>
      </c>
      <c r="AV65" t="str">
        <f t="shared" ref="AV65:AV83" si="33">IF(OR($C65="",INDEX($R65:$AA65,MATCH(AV$63,$R$63:$AA$63,0))="",$E65&lt;&gt;"Yes",COUNTIF($I$25:$I$35,$C65)&gt;0,COUNTIF($F$160:$F$163,$C65)&gt;0),"",INDEX($R65:$AA65,MATCH(AV$63,$R$63:$AA$63,0)))</f>
        <v/>
      </c>
      <c r="AW65" t="str">
        <f t="shared" ref="AW65:AW83" si="34">IF(OR($C65="",INDEX($R65:$AA65,MATCH(AW$63,$R$63:$AA$63,0))="",$E65&lt;&gt;"Yes",COUNTIF($I$25:$I$35,$C65)&gt;0,COUNTIF($F$160:$F$164,$C65)&gt;0),"",INDEX($R65:$AA65,MATCH(AW$63,$R$63:$AA$63,0)))</f>
        <v/>
      </c>
      <c r="AX65" t="str">
        <f t="shared" ref="AX65:AX83" si="35">IF(OR($C65="",INDEX($R65:$AA65,MATCH(AX$63,$R$63:$AA$63,0))="",$E65&lt;&gt;"Yes",COUNTIF($I$25:$I$35,$C65)&gt;0,COUNTIF($F$160:$F$165,$C65)&gt;0),"",INDEX($R65:$AA65,MATCH(AX$63,$R$63:$AA$63,0)))</f>
        <v/>
      </c>
      <c r="AY65" t="str">
        <f t="shared" ref="AY65:AY83" si="36">IF(OR($C65="",INDEX($R65:$AA65,MATCH(AY$63,$R$63:$AA$63,0))="",$E65&lt;&gt;"Yes",COUNTIF($I$25:$I$35,$C65)&gt;0,COUNTIF($F$160:$F$166,$C65)&gt;0),"",INDEX($R65:$AA65,MATCH(AY$63,$R$63:$AA$63,0)))</f>
        <v/>
      </c>
      <c r="AZ65" t="str">
        <f t="shared" ref="AZ65:AZ83" si="37">IF(OR($C65="",INDEX($R65:$AA65,MATCH(AZ$63,$R$63:$AA$63,0))="",$E65&lt;&gt;"Yes",COUNTIF($I$25:$I$35,$C65)&gt;0,COUNTIF($F$160:$F$167,$C65)&gt;0),"",INDEX($R65:$AA65,MATCH(AZ$63,$R$63:$AA$63,0)))</f>
        <v/>
      </c>
      <c r="BA65" t="str">
        <f t="shared" ref="BA65:BA83" si="38">IF(OR($C65="",INDEX($R65:$AA65,MATCH(BA$63,$R$63:$AA$63,0))="",$E65&lt;&gt;"Yes",COUNTIF($I$25:$I$35,$C65)&gt;0,COUNTIF($F$160:$F$168,$C65)&gt;0),"",INDEX($R65:$AA65,MATCH(BA$63,$R$63:$AA$63,0)))</f>
        <v/>
      </c>
      <c r="BB65" t="str">
        <f t="shared" ref="BB65:BB83" si="39">IF(OR($C65="",INDEX($R65:$AA65,MATCH(BB$63,$R$63:$AA$63,0))="",$E65&lt;&gt;"Yes",COUNTIF($I$25:$I$35,$C65)&gt;0,COUNTIF($F$160:$F$169,$C65)&gt;0),"",INDEX($R65:$AA65,MATCH(BB$63,$R$63:$AA$63,0)))</f>
        <v/>
      </c>
    </row>
    <row r="66" spans="2:54" hidden="1" outlineLevel="1" x14ac:dyDescent="0.45">
      <c r="B66" s="228">
        <f>IF($C66="","",Attendance!$C7)</f>
        <v>3</v>
      </c>
      <c r="C66" s="229" t="str">
        <f>IF(Attendance!$D7="","",Attendance!$D7)</f>
        <v>Zara Power</v>
      </c>
      <c r="D66" s="32" t="str">
        <f>IF($C66="","",'Player Grading'!$D8)</f>
        <v>RB</v>
      </c>
      <c r="E66" s="32" t="str">
        <f>IF($C66="","",IF($E120="",IF(Attendance!$GP7="","Yes",Attendance!$GP7),IF($E120="Available","Yes","No")))</f>
        <v>No</v>
      </c>
      <c r="F66" s="230" t="str">
        <f>IF($C66="","",IF($E120="",Attendance!$GQ7&amp;"",IF($E120="Available","",$E120&amp;IF($F120="",""," - "&amp;$F120)&amp;IF($I120="",""," (back "&amp;TEXT($I120,"d mmm")&amp;")"))))</f>
        <v>Injured - Ankle injury - 6 week recovery plan (back 2 Oct)</v>
      </c>
      <c r="G66" s="35" t="str">
        <f t="array" ref="G66">IF($C66="","",IF(NOT(ISNUMBER(SEARCH(" GK "," "&amp;SUBSTITUTE($D66,"/"," ")&amp;" "))),"",IFERROR(SUMPRODUCT('Player Grading'!$E8:$AF8,$C$104:$AD$104)/SUMPRODUCT(($C$104:$AD$104)*('Player Grading'!$E8:$AF8&lt;&gt;"")),"")))</f>
        <v/>
      </c>
      <c r="H66" s="35">
        <f t="array" ref="H66">IF($C66="","",IF(NOT(ISNUMBER(SEARCH(" RB "," "&amp;SUBSTITUTE($D66,"/"," ")&amp;" "))),"",IFERROR(SUMPRODUCT('Player Grading'!$E8:$AF8,$C$105:$AD$105)/SUMPRODUCT(($C$105:$AD$105)*('Player Grading'!$E8:$AF8&lt;&gt;"")),"")))</f>
        <v>11.8</v>
      </c>
      <c r="I66" s="35" t="str">
        <f t="array" ref="I66">IF($C66="","",IF(NOT(ISNUMBER(SEARCH(" CB "," "&amp;SUBSTITUTE($D66,"/"," ")&amp;" "))),"",IFERROR(SUMPRODUCT('Player Grading'!$E8:$AF8,$C$106:$AD$106)/SUMPRODUCT(($C$106:$AD$106)*('Player Grading'!$E8:$AF8&lt;&gt;"")),"")))</f>
        <v/>
      </c>
      <c r="J66" s="35" t="str">
        <f t="array" ref="J66">IF($C66="","",IF(NOT(ISNUMBER(SEARCH(" LB "," "&amp;SUBSTITUTE($D66,"/"," ")&amp;" "))),"",IFERROR(SUMPRODUCT('Player Grading'!$E8:$AF8,$C$107:$AD$107)/SUMPRODUCT(($C$107:$AD$107)*('Player Grading'!$E8:$AF8&lt;&gt;"")),"")))</f>
        <v/>
      </c>
      <c r="K66" s="35" t="str">
        <f t="array" ref="K66">IF($C66="","",IF(NOT(ISNUMBER(SEARCH(" DM "," "&amp;SUBSTITUTE($D66,"/"," ")&amp;" "))),"",IFERROR(SUMPRODUCT('Player Grading'!$E8:$AF8,$C$108:$AD$108)/SUMPRODUCT(($C$108:$AD$108)*('Player Grading'!$E8:$AF8&lt;&gt;"")),"")))</f>
        <v/>
      </c>
      <c r="L66" s="35" t="str">
        <f t="array" ref="L66">IF($C66="","",IF(NOT(ISNUMBER(SEARCH(" CM "," "&amp;SUBSTITUTE($D66,"/"," ")&amp;" "))),"",IFERROR(SUMPRODUCT('Player Grading'!$E8:$AF8,$C$109:$AD$109)/SUMPRODUCT(($C$109:$AD$109)*('Player Grading'!$E8:$AF8&lt;&gt;"")),"")))</f>
        <v/>
      </c>
      <c r="M66" s="35" t="str">
        <f t="array" ref="M66">IF($C66="","",IF(NOT(ISNUMBER(SEARCH(" ACM "," "&amp;SUBSTITUTE($D66,"/"," ")&amp;" "))),"",IFERROR(SUMPRODUCT('Player Grading'!$E8:$AF8,$C$110:$AD$110)/SUMPRODUCT(($C$110:$AD$110)*('Player Grading'!$E8:$AF8&lt;&gt;"")),"")))</f>
        <v/>
      </c>
      <c r="N66" s="35" t="str">
        <f t="array" ref="N66">IF($C66="","",IF(NOT(ISNUMBER(SEARCH(" RW "," "&amp;SUBSTITUTE($D66,"/"," ")&amp;" "))),"",IFERROR(SUMPRODUCT('Player Grading'!$E8:$AF8,$C$111:$AD$111)/SUMPRODUCT(($C$111:$AD$111)*('Player Grading'!$E8:$AF8&lt;&gt;"")),"")))</f>
        <v/>
      </c>
      <c r="O66" s="35" t="str">
        <f t="array" ref="O66">IF($C66="","",IF(NOT(ISNUMBER(SEARCH(" LW "," "&amp;SUBSTITUTE($D66,"/"," ")&amp;" "))),"",IFERROR(SUMPRODUCT('Player Grading'!$E8:$AF8,$C$112:$AD$112)/SUMPRODUCT(($C$112:$AD$112)*('Player Grading'!$E8:$AF8&lt;&gt;"")),"")))</f>
        <v/>
      </c>
      <c r="P66" s="35" t="str">
        <f t="array" ref="P66">IF($C66="","",IF(NOT(ISNUMBER(SEARCH(" ST "," "&amp;SUBSTITUTE($D66,"/"," ")&amp;" "))),"",IFERROR(SUMPRODUCT('Player Grading'!$E8:$AF8,$C$113:$AD$113)/SUMPRODUCT(($C$113:$AD$113)*('Player Grading'!$E8:$AF8&lt;&gt;"")),"")))</f>
        <v/>
      </c>
      <c r="Q66" s="32"/>
      <c r="R66" s="35" t="str">
        <f t="shared" si="8"/>
        <v/>
      </c>
      <c r="S66" s="35">
        <f t="shared" si="9"/>
        <v>10.8</v>
      </c>
      <c r="T66" s="35" t="str">
        <f t="shared" si="10"/>
        <v/>
      </c>
      <c r="U66" s="35" t="str">
        <f t="shared" si="11"/>
        <v/>
      </c>
      <c r="V66" s="35" t="str">
        <f t="shared" si="12"/>
        <v/>
      </c>
      <c r="W66" s="35" t="str">
        <f t="shared" si="13"/>
        <v/>
      </c>
      <c r="X66" s="35" t="str">
        <f t="shared" si="14"/>
        <v/>
      </c>
      <c r="Y66" s="35" t="str">
        <f t="shared" si="15"/>
        <v/>
      </c>
      <c r="Z66" s="35" t="str">
        <f t="shared" si="16"/>
        <v/>
      </c>
      <c r="AA66" s="35" t="str">
        <f t="shared" si="17"/>
        <v/>
      </c>
      <c r="AB66" s="100">
        <f>IF($C66="","",IF(OR(N(Attendance!$GB7)&gt;0,N(Attendance!$GF7)&gt;0),IFERROR(Attendance!$GN7,""),IFERROR(INDEX(Workings!$AT$6:$AT$25,MATCH($C66,Workings!$AO$6:$AO$25,0)),"")))</f>
        <v>0</v>
      </c>
      <c r="AC66" s="231">
        <f>IF($C66="","",IFERROR('Player Grading'!$AL8,""))</f>
        <v>10.538888888888888</v>
      </c>
      <c r="AD66" t="str">
        <f>IF($C66="","",IF(OR(N(Attendance!$GB7)&gt;0,N(Attendance!$GF7)&gt;0),"In-season",IF(ISNUMBER($AB66),"Pre-season","None")))</f>
        <v>In-season</v>
      </c>
      <c r="AF66" t="str">
        <f t="shared" si="18"/>
        <v/>
      </c>
      <c r="AG66" t="str">
        <f t="shared" si="19"/>
        <v/>
      </c>
      <c r="AH66" t="str">
        <f t="shared" si="20"/>
        <v/>
      </c>
      <c r="AI66" t="str">
        <f t="shared" si="21"/>
        <v/>
      </c>
      <c r="AJ66" t="str">
        <f t="shared" si="22"/>
        <v/>
      </c>
      <c r="AK66" t="str">
        <f t="shared" si="23"/>
        <v/>
      </c>
      <c r="AL66" t="str">
        <f t="shared" si="24"/>
        <v/>
      </c>
      <c r="AM66" t="str">
        <f t="shared" si="25"/>
        <v/>
      </c>
      <c r="AN66" t="str">
        <f t="shared" si="26"/>
        <v/>
      </c>
      <c r="AO66" t="str">
        <f t="shared" si="27"/>
        <v/>
      </c>
      <c r="AP66" t="str">
        <f t="shared" si="28"/>
        <v/>
      </c>
      <c r="AR66" t="str">
        <f t="shared" si="29"/>
        <v/>
      </c>
      <c r="AS66" t="str">
        <f t="shared" si="30"/>
        <v/>
      </c>
      <c r="AT66" t="str">
        <f t="shared" si="31"/>
        <v/>
      </c>
      <c r="AU66" t="str">
        <f t="shared" si="32"/>
        <v/>
      </c>
      <c r="AV66" t="str">
        <f t="shared" si="33"/>
        <v/>
      </c>
      <c r="AW66" t="str">
        <f t="shared" si="34"/>
        <v/>
      </c>
      <c r="AX66" t="str">
        <f t="shared" si="35"/>
        <v/>
      </c>
      <c r="AY66" t="str">
        <f t="shared" si="36"/>
        <v/>
      </c>
      <c r="AZ66" t="str">
        <f t="shared" si="37"/>
        <v/>
      </c>
      <c r="BA66" t="str">
        <f t="shared" si="38"/>
        <v/>
      </c>
      <c r="BB66" t="str">
        <f t="shared" si="39"/>
        <v/>
      </c>
    </row>
    <row r="67" spans="2:54" hidden="1" outlineLevel="1" x14ac:dyDescent="0.45">
      <c r="B67" s="232">
        <f>IF($C67="","",Attendance!$C8)</f>
        <v>4</v>
      </c>
      <c r="C67" s="233" t="str">
        <f>IF(Attendance!$D8="","",Attendance!$D8)</f>
        <v>Heidi Cerubini Dunne</v>
      </c>
      <c r="D67" s="234" t="str">
        <f>IF($C67="","",'Player Grading'!$D9)</f>
        <v>LB / RB</v>
      </c>
      <c r="E67" s="234" t="str">
        <f>IF($C67="","",IF($E121="",IF(Attendance!$GP8="","Yes",Attendance!$GP8),IF($E121="Available","Yes","No")))</f>
        <v>Yes</v>
      </c>
      <c r="F67" s="235" t="str">
        <f>IF($C67="","",IF($E121="",Attendance!$GQ8&amp;"",IF($E121="Available","",$E121&amp;IF($F121="",""," - "&amp;$F121)&amp;IF($I121="",""," (back "&amp;TEXT($I121,"d mmm")&amp;")"))))</f>
        <v/>
      </c>
      <c r="G67" s="109" t="str">
        <f t="array" ref="G67">IF($C67="","",IF(NOT(ISNUMBER(SEARCH(" GK "," "&amp;SUBSTITUTE($D67,"/"," ")&amp;" "))),"",IFERROR(SUMPRODUCT('Player Grading'!$E9:$AF9,$C$104:$AD$104)/SUMPRODUCT(($C$104:$AD$104)*('Player Grading'!$E9:$AF9&lt;&gt;"")),"")))</f>
        <v/>
      </c>
      <c r="H67" s="109">
        <f t="array" ref="H67">IF($C67="","",IF(NOT(ISNUMBER(SEARCH(" RB "," "&amp;SUBSTITUTE($D67,"/"," ")&amp;" "))),"",IFERROR(SUMPRODUCT('Player Grading'!$E9:$AF9,$C$105:$AD$105)/SUMPRODUCT(($C$105:$AD$105)*('Player Grading'!$E9:$AF9&lt;&gt;"")),"")))</f>
        <v>4.7555555555555555</v>
      </c>
      <c r="I67" s="109" t="str">
        <f t="array" ref="I67">IF($C67="","",IF(NOT(ISNUMBER(SEARCH(" CB "," "&amp;SUBSTITUTE($D67,"/"," ")&amp;" "))),"",IFERROR(SUMPRODUCT('Player Grading'!$E9:$AF9,$C$106:$AD$106)/SUMPRODUCT(($C$106:$AD$106)*('Player Grading'!$E9:$AF9&lt;&gt;"")),"")))</f>
        <v/>
      </c>
      <c r="J67" s="109">
        <f t="array" ref="J67">IF($C67="","",IF(NOT(ISNUMBER(SEARCH(" LB "," "&amp;SUBSTITUTE($D67,"/"," ")&amp;" "))),"",IFERROR(SUMPRODUCT('Player Grading'!$E9:$AF9,$C$107:$AD$107)/SUMPRODUCT(($C$107:$AD$107)*('Player Grading'!$E9:$AF9&lt;&gt;"")),"")))</f>
        <v>4.7555555555555555</v>
      </c>
      <c r="K67" s="109" t="str">
        <f t="array" ref="K67">IF($C67="","",IF(NOT(ISNUMBER(SEARCH(" DM "," "&amp;SUBSTITUTE($D67,"/"," ")&amp;" "))),"",IFERROR(SUMPRODUCT('Player Grading'!$E9:$AF9,$C$108:$AD$108)/SUMPRODUCT(($C$108:$AD$108)*('Player Grading'!$E9:$AF9&lt;&gt;"")),"")))</f>
        <v/>
      </c>
      <c r="L67" s="109" t="str">
        <f t="array" ref="L67">IF($C67="","",IF(NOT(ISNUMBER(SEARCH(" CM "," "&amp;SUBSTITUTE($D67,"/"," ")&amp;" "))),"",IFERROR(SUMPRODUCT('Player Grading'!$E9:$AF9,$C$109:$AD$109)/SUMPRODUCT(($C$109:$AD$109)*('Player Grading'!$E9:$AF9&lt;&gt;"")),"")))</f>
        <v/>
      </c>
      <c r="M67" s="109" t="str">
        <f t="array" ref="M67">IF($C67="","",IF(NOT(ISNUMBER(SEARCH(" ACM "," "&amp;SUBSTITUTE($D67,"/"," ")&amp;" "))),"",IFERROR(SUMPRODUCT('Player Grading'!$E9:$AF9,$C$110:$AD$110)/SUMPRODUCT(($C$110:$AD$110)*('Player Grading'!$E9:$AF9&lt;&gt;"")),"")))</f>
        <v/>
      </c>
      <c r="N67" s="109" t="str">
        <f t="array" ref="N67">IF($C67="","",IF(NOT(ISNUMBER(SEARCH(" RW "," "&amp;SUBSTITUTE($D67,"/"," ")&amp;" "))),"",IFERROR(SUMPRODUCT('Player Grading'!$E9:$AF9,$C$111:$AD$111)/SUMPRODUCT(($C$111:$AD$111)*('Player Grading'!$E9:$AF9&lt;&gt;"")),"")))</f>
        <v/>
      </c>
      <c r="O67" s="109" t="str">
        <f t="array" ref="O67">IF($C67="","",IF(NOT(ISNUMBER(SEARCH(" LW "," "&amp;SUBSTITUTE($D67,"/"," ")&amp;" "))),"",IFERROR(SUMPRODUCT('Player Grading'!$E9:$AF9,$C$112:$AD$112)/SUMPRODUCT(($C$112:$AD$112)*('Player Grading'!$E9:$AF9&lt;&gt;"")),"")))</f>
        <v/>
      </c>
      <c r="P67" s="109" t="str">
        <f t="array" ref="P67">IF($C67="","",IF(NOT(ISNUMBER(SEARCH(" ST "," "&amp;SUBSTITUTE($D67,"/"," ")&amp;" "))),"",IFERROR(SUMPRODUCT('Player Grading'!$E9:$AF9,$C$113:$AD$113)/SUMPRODUCT(($C$113:$AD$113)*('Player Grading'!$E9:$AF9&lt;&gt;"")),"")))</f>
        <v/>
      </c>
      <c r="Q67" s="234"/>
      <c r="R67" s="109" t="str">
        <f t="shared" si="8"/>
        <v/>
      </c>
      <c r="S67" s="109">
        <f t="shared" si="9"/>
        <v>3.7555555555555555</v>
      </c>
      <c r="T67" s="109" t="str">
        <f t="shared" si="10"/>
        <v/>
      </c>
      <c r="U67" s="109">
        <f t="shared" si="11"/>
        <v>3.7555555555555555</v>
      </c>
      <c r="V67" s="109" t="str">
        <f t="shared" si="12"/>
        <v/>
      </c>
      <c r="W67" s="109" t="str">
        <f t="shared" si="13"/>
        <v/>
      </c>
      <c r="X67" s="109" t="str">
        <f t="shared" si="14"/>
        <v/>
      </c>
      <c r="Y67" s="109" t="str">
        <f t="shared" si="15"/>
        <v/>
      </c>
      <c r="Z67" s="109" t="str">
        <f t="shared" si="16"/>
        <v/>
      </c>
      <c r="AA67" s="109" t="str">
        <f t="shared" si="17"/>
        <v/>
      </c>
      <c r="AB67" s="108">
        <f>IF($C67="","",IF(OR(N(Attendance!$GB8)&gt;0,N(Attendance!$GF8)&gt;0),IFERROR(Attendance!$GN8,""),IFERROR(INDEX(Workings!$AT$6:$AT$25,MATCH($C67,Workings!$AO$6:$AO$25,0)),"")))</f>
        <v>0</v>
      </c>
      <c r="AC67" s="236">
        <f>IF($C67="","",IFERROR('Player Grading'!$AL9,""))</f>
        <v>4.1879629629629633</v>
      </c>
      <c r="AD67" t="str">
        <f>IF($C67="","",IF(OR(N(Attendance!$GB8)&gt;0,N(Attendance!$GF8)&gt;0),"In-season",IF(ISNUMBER($AB67),"Pre-season","None")))</f>
        <v>In-season</v>
      </c>
      <c r="AF67" t="str">
        <f t="shared" si="18"/>
        <v/>
      </c>
      <c r="AG67" t="str">
        <f t="shared" si="19"/>
        <v/>
      </c>
      <c r="AH67" t="str">
        <f t="shared" si="20"/>
        <v/>
      </c>
      <c r="AI67" t="str">
        <f t="shared" si="21"/>
        <v/>
      </c>
      <c r="AJ67">
        <f t="shared" si="22"/>
        <v>3.7555555555555555</v>
      </c>
      <c r="AK67">
        <f t="shared" si="23"/>
        <v>3.7555555555555555</v>
      </c>
      <c r="AL67" t="str">
        <f t="shared" si="24"/>
        <v/>
      </c>
      <c r="AM67" t="str">
        <f t="shared" si="25"/>
        <v/>
      </c>
      <c r="AN67" t="str">
        <f t="shared" si="26"/>
        <v/>
      </c>
      <c r="AO67" t="str">
        <f t="shared" si="27"/>
        <v/>
      </c>
      <c r="AP67" t="str">
        <f t="shared" si="28"/>
        <v/>
      </c>
      <c r="AR67" t="str">
        <f t="shared" si="29"/>
        <v/>
      </c>
      <c r="AS67">
        <f t="shared" si="30"/>
        <v>3.7555555555555555</v>
      </c>
      <c r="AT67" t="str">
        <f t="shared" si="31"/>
        <v/>
      </c>
      <c r="AU67" t="str">
        <f t="shared" si="32"/>
        <v/>
      </c>
      <c r="AV67">
        <f t="shared" si="33"/>
        <v>3.7555555555555555</v>
      </c>
      <c r="AW67" t="str">
        <f t="shared" si="34"/>
        <v/>
      </c>
      <c r="AX67" t="str">
        <f t="shared" si="35"/>
        <v/>
      </c>
      <c r="AY67" t="str">
        <f t="shared" si="36"/>
        <v/>
      </c>
      <c r="AZ67" t="str">
        <f t="shared" si="37"/>
        <v/>
      </c>
      <c r="BA67" t="str">
        <f t="shared" si="38"/>
        <v/>
      </c>
      <c r="BB67" t="str">
        <f t="shared" si="39"/>
        <v/>
      </c>
    </row>
    <row r="68" spans="2:54" hidden="1" outlineLevel="1" x14ac:dyDescent="0.45">
      <c r="B68" s="228">
        <f>IF($C68="","",Attendance!$C9)</f>
        <v>5</v>
      </c>
      <c r="C68" s="229" t="str">
        <f>IF(Attendance!$D9="","",Attendance!$D9)</f>
        <v>Roisin Offenhausen</v>
      </c>
      <c r="D68" s="32" t="str">
        <f>IF($C68="","",'Player Grading'!$D10)</f>
        <v>RW / CM / ST</v>
      </c>
      <c r="E68" s="32" t="str">
        <f>IF($C68="","",IF($E122="",IF(Attendance!$GP9="","Yes",Attendance!$GP9),IF($E122="Available","Yes","No")))</f>
        <v>Yes</v>
      </c>
      <c r="F68" s="230" t="str">
        <f>IF($C68="","",IF($E122="",Attendance!$GQ9&amp;"",IF($E122="Available","",$E122&amp;IF($F122="",""," - "&amp;$F122)&amp;IF($I122="",""," (back "&amp;TEXT($I122,"d mmm")&amp;")"))))</f>
        <v/>
      </c>
      <c r="G68" s="35" t="str">
        <f t="array" ref="G68">IF($C68="","",IF(NOT(ISNUMBER(SEARCH(" GK "," "&amp;SUBSTITUTE($D68,"/"," ")&amp;" "))),"",IFERROR(SUMPRODUCT('Player Grading'!$E10:$AF10,$C$104:$AD$104)/SUMPRODUCT(($C$104:$AD$104)*('Player Grading'!$E10:$AF10&lt;&gt;"")),"")))</f>
        <v/>
      </c>
      <c r="H68" s="35" t="str">
        <f t="array" ref="H68">IF($C68="","",IF(NOT(ISNUMBER(SEARCH(" RB "," "&amp;SUBSTITUTE($D68,"/"," ")&amp;" "))),"",IFERROR(SUMPRODUCT('Player Grading'!$E10:$AF10,$C$105:$AD$105)/SUMPRODUCT(($C$105:$AD$105)*('Player Grading'!$E10:$AF10&lt;&gt;"")),"")))</f>
        <v/>
      </c>
      <c r="I68" s="35" t="str">
        <f t="array" ref="I68">IF($C68="","",IF(NOT(ISNUMBER(SEARCH(" CB "," "&amp;SUBSTITUTE($D68,"/"," ")&amp;" "))),"",IFERROR(SUMPRODUCT('Player Grading'!$E10:$AF10,$C$106:$AD$106)/SUMPRODUCT(($C$106:$AD$106)*('Player Grading'!$E10:$AF10&lt;&gt;"")),"")))</f>
        <v/>
      </c>
      <c r="J68" s="35" t="str">
        <f t="array" ref="J68">IF($C68="","",IF(NOT(ISNUMBER(SEARCH(" LB "," "&amp;SUBSTITUTE($D68,"/"," ")&amp;" "))),"",IFERROR(SUMPRODUCT('Player Grading'!$E10:$AF10,$C$107:$AD$107)/SUMPRODUCT(($C$107:$AD$107)*('Player Grading'!$E10:$AF10&lt;&gt;"")),"")))</f>
        <v/>
      </c>
      <c r="K68" s="35" t="str">
        <f t="array" ref="K68">IF($C68="","",IF(NOT(ISNUMBER(SEARCH(" DM "," "&amp;SUBSTITUTE($D68,"/"," ")&amp;" "))),"",IFERROR(SUMPRODUCT('Player Grading'!$E10:$AF10,$C$108:$AD$108)/SUMPRODUCT(($C$108:$AD$108)*('Player Grading'!$E10:$AF10&lt;&gt;"")),"")))</f>
        <v/>
      </c>
      <c r="L68" s="35">
        <f t="array" ref="L68">IF($C68="","",IF(NOT(ISNUMBER(SEARCH(" CM "," "&amp;SUBSTITUTE($D68,"/"," ")&amp;" "))),"",IFERROR(SUMPRODUCT('Player Grading'!$E10:$AF10,$C$109:$AD$109)/SUMPRODUCT(($C$109:$AD$109)*('Player Grading'!$E10:$AF10&lt;&gt;"")),"")))</f>
        <v>12.244897959183673</v>
      </c>
      <c r="M68" s="35" t="str">
        <f t="array" ref="M68">IF($C68="","",IF(NOT(ISNUMBER(SEARCH(" ACM "," "&amp;SUBSTITUTE($D68,"/"," ")&amp;" "))),"",IFERROR(SUMPRODUCT('Player Grading'!$E10:$AF10,$C$110:$AD$110)/SUMPRODUCT(($C$110:$AD$110)*('Player Grading'!$E10:$AF10&lt;&gt;"")),"")))</f>
        <v/>
      </c>
      <c r="N68" s="35">
        <f t="array" ref="N68">IF($C68="","",IF(NOT(ISNUMBER(SEARCH(" RW "," "&amp;SUBSTITUTE($D68,"/"," ")&amp;" "))),"",IFERROR(SUMPRODUCT('Player Grading'!$E10:$AF10,$C$111:$AD$111)/SUMPRODUCT(($C$111:$AD$111)*('Player Grading'!$E10:$AF10&lt;&gt;"")),"")))</f>
        <v>12.422222222222222</v>
      </c>
      <c r="O68" s="35" t="str">
        <f t="array" ref="O68">IF($C68="","",IF(NOT(ISNUMBER(SEARCH(" LW "," "&amp;SUBSTITUTE($D68,"/"," ")&amp;" "))),"",IFERROR(SUMPRODUCT('Player Grading'!$E10:$AF10,$C$112:$AD$112)/SUMPRODUCT(($C$112:$AD$112)*('Player Grading'!$E10:$AF10&lt;&gt;"")),"")))</f>
        <v/>
      </c>
      <c r="P68" s="35">
        <f t="array" ref="P68">IF($C68="","",IF(NOT(ISNUMBER(SEARCH(" ST "," "&amp;SUBSTITUTE($D68,"/"," ")&amp;" "))),"",IFERROR(SUMPRODUCT('Player Grading'!$E10:$AF10,$C$113:$AD$113)/SUMPRODUCT(($C$113:$AD$113)*('Player Grading'!$E10:$AF10&lt;&gt;"")),"")))</f>
        <v>11.82</v>
      </c>
      <c r="Q68" s="32"/>
      <c r="R68" s="35" t="str">
        <f t="shared" si="8"/>
        <v/>
      </c>
      <c r="S68" s="35" t="str">
        <f t="shared" si="9"/>
        <v/>
      </c>
      <c r="T68" s="35" t="str">
        <f t="shared" si="10"/>
        <v/>
      </c>
      <c r="U68" s="35" t="str">
        <f t="shared" si="11"/>
        <v/>
      </c>
      <c r="V68" s="35" t="str">
        <f t="shared" si="12"/>
        <v/>
      </c>
      <c r="W68" s="35">
        <f t="shared" si="13"/>
        <v>12.933786848072561</v>
      </c>
      <c r="X68" s="35" t="str">
        <f t="shared" si="14"/>
        <v/>
      </c>
      <c r="Y68" s="35">
        <f t="shared" si="15"/>
        <v>13.111111111111111</v>
      </c>
      <c r="Z68" s="35" t="str">
        <f t="shared" si="16"/>
        <v/>
      </c>
      <c r="AA68" s="35">
        <f t="shared" si="17"/>
        <v>12.508888888888889</v>
      </c>
      <c r="AB68" s="100">
        <f>IF($C68="","",IF(OR(N(Attendance!$GB9)&gt;0,N(Attendance!$GF9)&gt;0),IFERROR(Attendance!$GN9,""),IFERROR(INDEX(Workings!$AT$6:$AT$25,MATCH($C68,Workings!$AO$6:$AO$25,0)),"")))</f>
        <v>0.84444444444444433</v>
      </c>
      <c r="AC68" s="231">
        <f>IF($C68="","",IFERROR('Player Grading'!$AL10,""))</f>
        <v>11.965740740740742</v>
      </c>
      <c r="AD68" t="str">
        <f>IF($C68="","",IF(OR(N(Attendance!$GB9)&gt;0,N(Attendance!$GF9)&gt;0),"In-season",IF(ISNUMBER($AB68),"Pre-season","None")))</f>
        <v>In-season</v>
      </c>
      <c r="AF68" t="str">
        <f t="shared" si="18"/>
        <v/>
      </c>
      <c r="AG68" t="str">
        <f t="shared" si="19"/>
        <v/>
      </c>
      <c r="AH68" t="str">
        <f t="shared" si="20"/>
        <v/>
      </c>
      <c r="AI68" t="str">
        <f t="shared" si="21"/>
        <v/>
      </c>
      <c r="AJ68" t="str">
        <f t="shared" si="22"/>
        <v/>
      </c>
      <c r="AK68" t="str">
        <f t="shared" si="23"/>
        <v/>
      </c>
      <c r="AL68">
        <f t="shared" si="24"/>
        <v>12.933786848072561</v>
      </c>
      <c r="AM68" t="str">
        <f t="shared" si="25"/>
        <v/>
      </c>
      <c r="AN68" t="str">
        <f t="shared" si="26"/>
        <v/>
      </c>
      <c r="AO68" t="str">
        <f t="shared" si="27"/>
        <v/>
      </c>
      <c r="AP68" t="str">
        <f t="shared" si="28"/>
        <v/>
      </c>
      <c r="AR68" t="str">
        <f t="shared" si="29"/>
        <v/>
      </c>
      <c r="AS68" t="str">
        <f t="shared" si="30"/>
        <v/>
      </c>
      <c r="AT68" t="str">
        <f t="shared" si="31"/>
        <v/>
      </c>
      <c r="AU68" t="str">
        <f t="shared" si="32"/>
        <v/>
      </c>
      <c r="AV68" t="str">
        <f t="shared" si="33"/>
        <v/>
      </c>
      <c r="AW68" t="str">
        <f t="shared" si="34"/>
        <v/>
      </c>
      <c r="AX68">
        <f t="shared" si="35"/>
        <v>12.933786848072561</v>
      </c>
      <c r="AY68" t="str">
        <f t="shared" si="36"/>
        <v/>
      </c>
      <c r="AZ68" t="str">
        <f t="shared" si="37"/>
        <v/>
      </c>
      <c r="BA68" t="str">
        <f t="shared" si="38"/>
        <v/>
      </c>
      <c r="BB68" t="str">
        <f t="shared" si="39"/>
        <v/>
      </c>
    </row>
    <row r="69" spans="2:54" hidden="1" outlineLevel="1" x14ac:dyDescent="0.45">
      <c r="B69" s="232">
        <f>IF($C69="","",Attendance!$C10)</f>
        <v>6</v>
      </c>
      <c r="C69" s="233" t="str">
        <f>IF(Attendance!$D10="","",Attendance!$D10)</f>
        <v>Naomi Adewoyin</v>
      </c>
      <c r="D69" s="234" t="str">
        <f>IF($C69="","",'Player Grading'!$D11)</f>
        <v>CM / ACM</v>
      </c>
      <c r="E69" s="234" t="str">
        <f>IF($C69="","",IF($E123="",IF(Attendance!$GP10="","Yes",Attendance!$GP10),IF($E123="Available","Yes","No")))</f>
        <v>Yes</v>
      </c>
      <c r="F69" s="235" t="str">
        <f>IF($C69="","",IF($E123="",Attendance!$GQ10&amp;"",IF($E123="Available","",$E123&amp;IF($F123="",""," - "&amp;$F123)&amp;IF($I123="",""," (back "&amp;TEXT($I123,"d mmm")&amp;")"))))</f>
        <v/>
      </c>
      <c r="G69" s="109" t="str">
        <f t="array" ref="G69">IF($C69="","",IF(NOT(ISNUMBER(SEARCH(" GK "," "&amp;SUBSTITUTE($D69,"/"," ")&amp;" "))),"",IFERROR(SUMPRODUCT('Player Grading'!$E11:$AF11,$C$104:$AD$104)/SUMPRODUCT(($C$104:$AD$104)*('Player Grading'!$E11:$AF11&lt;&gt;"")),"")))</f>
        <v/>
      </c>
      <c r="H69" s="109" t="str">
        <f t="array" ref="H69">IF($C69="","",IF(NOT(ISNUMBER(SEARCH(" RB "," "&amp;SUBSTITUTE($D69,"/"," ")&amp;" "))),"",IFERROR(SUMPRODUCT('Player Grading'!$E11:$AF11,$C$105:$AD$105)/SUMPRODUCT(($C$105:$AD$105)*('Player Grading'!$E11:$AF11&lt;&gt;"")),"")))</f>
        <v/>
      </c>
      <c r="I69" s="109" t="str">
        <f t="array" ref="I69">IF($C69="","",IF(NOT(ISNUMBER(SEARCH(" CB "," "&amp;SUBSTITUTE($D69,"/"," ")&amp;" "))),"",IFERROR(SUMPRODUCT('Player Grading'!$E11:$AF11,$C$106:$AD$106)/SUMPRODUCT(($C$106:$AD$106)*('Player Grading'!$E11:$AF11&lt;&gt;"")),"")))</f>
        <v/>
      </c>
      <c r="J69" s="109" t="str">
        <f t="array" ref="J69">IF($C69="","",IF(NOT(ISNUMBER(SEARCH(" LB "," "&amp;SUBSTITUTE($D69,"/"," ")&amp;" "))),"",IFERROR(SUMPRODUCT('Player Grading'!$E11:$AF11,$C$107:$AD$107)/SUMPRODUCT(($C$107:$AD$107)*('Player Grading'!$E11:$AF11&lt;&gt;"")),"")))</f>
        <v/>
      </c>
      <c r="K69" s="109" t="str">
        <f t="array" ref="K69">IF($C69="","",IF(NOT(ISNUMBER(SEARCH(" DM "," "&amp;SUBSTITUTE($D69,"/"," ")&amp;" "))),"",IFERROR(SUMPRODUCT('Player Grading'!$E11:$AF11,$C$108:$AD$108)/SUMPRODUCT(($C$108:$AD$108)*('Player Grading'!$E11:$AF11&lt;&gt;"")),"")))</f>
        <v/>
      </c>
      <c r="L69" s="109">
        <f t="array" ref="L69">IF($C69="","",IF(NOT(ISNUMBER(SEARCH(" CM "," "&amp;SUBSTITUTE($D69,"/"," ")&amp;" "))),"",IFERROR(SUMPRODUCT('Player Grading'!$E11:$AF11,$C$109:$AD$109)/SUMPRODUCT(($C$109:$AD$109)*('Player Grading'!$E11:$AF11&lt;&gt;"")),"")))</f>
        <v>11.73469387755102</v>
      </c>
      <c r="M69" s="109">
        <f t="array" ref="M69">IF($C69="","",IF(NOT(ISNUMBER(SEARCH(" ACM "," "&amp;SUBSTITUTE($D69,"/"," ")&amp;" "))),"",IFERROR(SUMPRODUCT('Player Grading'!$E11:$AF11,$C$110:$AD$110)/SUMPRODUCT(($C$110:$AD$110)*('Player Grading'!$E11:$AF11&lt;&gt;"")),"")))</f>
        <v>11.434782608695652</v>
      </c>
      <c r="N69" s="109" t="str">
        <f t="array" ref="N69">IF($C69="","",IF(NOT(ISNUMBER(SEARCH(" RW "," "&amp;SUBSTITUTE($D69,"/"," ")&amp;" "))),"",IFERROR(SUMPRODUCT('Player Grading'!$E11:$AF11,$C$111:$AD$111)/SUMPRODUCT(($C$111:$AD$111)*('Player Grading'!$E11:$AF11&lt;&gt;"")),"")))</f>
        <v/>
      </c>
      <c r="O69" s="109" t="str">
        <f t="array" ref="O69">IF($C69="","",IF(NOT(ISNUMBER(SEARCH(" LW "," "&amp;SUBSTITUTE($D69,"/"," ")&amp;" "))),"",IFERROR(SUMPRODUCT('Player Grading'!$E11:$AF11,$C$112:$AD$112)/SUMPRODUCT(($C$112:$AD$112)*('Player Grading'!$E11:$AF11&lt;&gt;"")),"")))</f>
        <v/>
      </c>
      <c r="P69" s="109" t="str">
        <f t="array" ref="P69">IF($C69="","",IF(NOT(ISNUMBER(SEARCH(" ST "," "&amp;SUBSTITUTE($D69,"/"," ")&amp;" "))),"",IFERROR(SUMPRODUCT('Player Grading'!$E11:$AF11,$C$113:$AD$113)/SUMPRODUCT(($C$113:$AD$113)*('Player Grading'!$E11:$AF11&lt;&gt;"")),"")))</f>
        <v/>
      </c>
      <c r="Q69" s="234"/>
      <c r="R69" s="109" t="str">
        <f t="shared" si="8"/>
        <v/>
      </c>
      <c r="S69" s="109" t="str">
        <f t="shared" si="9"/>
        <v/>
      </c>
      <c r="T69" s="109" t="str">
        <f t="shared" si="10"/>
        <v/>
      </c>
      <c r="U69" s="109" t="str">
        <f t="shared" si="11"/>
        <v/>
      </c>
      <c r="V69" s="109" t="str">
        <f t="shared" si="12"/>
        <v/>
      </c>
      <c r="W69" s="109">
        <f t="shared" si="13"/>
        <v>12.268027210884354</v>
      </c>
      <c r="X69" s="109">
        <f t="shared" si="14"/>
        <v>11.968115942028986</v>
      </c>
      <c r="Y69" s="109" t="str">
        <f t="shared" si="15"/>
        <v/>
      </c>
      <c r="Z69" s="109" t="str">
        <f t="shared" si="16"/>
        <v/>
      </c>
      <c r="AA69" s="109" t="str">
        <f t="shared" si="17"/>
        <v/>
      </c>
      <c r="AB69" s="108">
        <f>IF($C69="","",IF(OR(N(Attendance!$GB10)&gt;0,N(Attendance!$GF10)&gt;0),IFERROR(Attendance!$GN10,""),IFERROR(INDEX(Workings!$AT$6:$AT$25,MATCH($C69,Workings!$AO$6:$AO$25,0)),"")))</f>
        <v>0.76666666666666661</v>
      </c>
      <c r="AC69" s="236">
        <f>IF($C69="","",IFERROR('Player Grading'!$AL11,""))</f>
        <v>10.986111111111112</v>
      </c>
      <c r="AD69" t="str">
        <f>IF($C69="","",IF(OR(N(Attendance!$GB10)&gt;0,N(Attendance!$GF10)&gt;0),"In-season",IF(ISNUMBER($AB69),"Pre-season","None")))</f>
        <v>In-season</v>
      </c>
      <c r="AF69" t="str">
        <f t="shared" si="18"/>
        <v/>
      </c>
      <c r="AG69" t="str">
        <f t="shared" si="19"/>
        <v/>
      </c>
      <c r="AH69" t="str">
        <f t="shared" si="20"/>
        <v/>
      </c>
      <c r="AI69" t="str">
        <f t="shared" si="21"/>
        <v/>
      </c>
      <c r="AJ69" t="str">
        <f t="shared" si="22"/>
        <v/>
      </c>
      <c r="AK69" t="str">
        <f t="shared" si="23"/>
        <v/>
      </c>
      <c r="AL69">
        <f t="shared" si="24"/>
        <v>12.268027210884354</v>
      </c>
      <c r="AM69">
        <f t="shared" si="25"/>
        <v>12.268027210884354</v>
      </c>
      <c r="AN69">
        <f t="shared" si="26"/>
        <v>12.268027210884354</v>
      </c>
      <c r="AO69" t="str">
        <f t="shared" si="27"/>
        <v/>
      </c>
      <c r="AP69" t="str">
        <f t="shared" si="28"/>
        <v/>
      </c>
      <c r="AR69" t="str">
        <f t="shared" si="29"/>
        <v/>
      </c>
      <c r="AS69" t="str">
        <f t="shared" si="30"/>
        <v/>
      </c>
      <c r="AT69" t="str">
        <f t="shared" si="31"/>
        <v/>
      </c>
      <c r="AU69" t="str">
        <f t="shared" si="32"/>
        <v/>
      </c>
      <c r="AV69" t="str">
        <f t="shared" si="33"/>
        <v/>
      </c>
      <c r="AW69" t="str">
        <f t="shared" si="34"/>
        <v/>
      </c>
      <c r="AX69">
        <f t="shared" si="35"/>
        <v>12.268027210884354</v>
      </c>
      <c r="AY69">
        <f t="shared" si="36"/>
        <v>11.968115942028986</v>
      </c>
      <c r="AZ69" t="str">
        <f t="shared" si="37"/>
        <v/>
      </c>
      <c r="BA69" t="str">
        <f t="shared" si="38"/>
        <v/>
      </c>
      <c r="BB69" t="str">
        <f t="shared" si="39"/>
        <v/>
      </c>
    </row>
    <row r="70" spans="2:54" hidden="1" outlineLevel="1" x14ac:dyDescent="0.45">
      <c r="B70" s="228">
        <f>IF($C70="","",Attendance!$C11)</f>
        <v>7</v>
      </c>
      <c r="C70" s="229" t="str">
        <f>IF(Attendance!$D11="","",Attendance!$D11)</f>
        <v>Amber Kilalee</v>
      </c>
      <c r="D70" s="32" t="str">
        <f>IF($C70="","",'Player Grading'!$D12)</f>
        <v>LW / ST</v>
      </c>
      <c r="E70" s="32" t="str">
        <f>IF($C70="","",IF($E124="",IF(Attendance!$GP11="","Yes",Attendance!$GP11),IF($E124="Available","Yes","No")))</f>
        <v>Yes</v>
      </c>
      <c r="F70" s="230" t="str">
        <f>IF($C70="","",IF($E124="",Attendance!$GQ11&amp;"",IF($E124="Available","",$E124&amp;IF($F124="",""," - "&amp;$F124)&amp;IF($I124="",""," (back "&amp;TEXT($I124,"d mmm")&amp;")"))))</f>
        <v/>
      </c>
      <c r="G70" s="35" t="str">
        <f t="array" ref="G70">IF($C70="","",IF(NOT(ISNUMBER(SEARCH(" GK "," "&amp;SUBSTITUTE($D70,"/"," ")&amp;" "))),"",IFERROR(SUMPRODUCT('Player Grading'!$E12:$AF12,$C$104:$AD$104)/SUMPRODUCT(($C$104:$AD$104)*('Player Grading'!$E12:$AF12&lt;&gt;"")),"")))</f>
        <v/>
      </c>
      <c r="H70" s="35" t="str">
        <f t="array" ref="H70">IF($C70="","",IF(NOT(ISNUMBER(SEARCH(" RB "," "&amp;SUBSTITUTE($D70,"/"," ")&amp;" "))),"",IFERROR(SUMPRODUCT('Player Grading'!$E12:$AF12,$C$105:$AD$105)/SUMPRODUCT(($C$105:$AD$105)*('Player Grading'!$E12:$AF12&lt;&gt;"")),"")))</f>
        <v/>
      </c>
      <c r="I70" s="35" t="str">
        <f t="array" ref="I70">IF($C70="","",IF(NOT(ISNUMBER(SEARCH(" CB "," "&amp;SUBSTITUTE($D70,"/"," ")&amp;" "))),"",IFERROR(SUMPRODUCT('Player Grading'!$E12:$AF12,$C$106:$AD$106)/SUMPRODUCT(($C$106:$AD$106)*('Player Grading'!$E12:$AF12&lt;&gt;"")),"")))</f>
        <v/>
      </c>
      <c r="J70" s="35" t="str">
        <f t="array" ref="J70">IF($C70="","",IF(NOT(ISNUMBER(SEARCH(" LB "," "&amp;SUBSTITUTE($D70,"/"," ")&amp;" "))),"",IFERROR(SUMPRODUCT('Player Grading'!$E12:$AF12,$C$107:$AD$107)/SUMPRODUCT(($C$107:$AD$107)*('Player Grading'!$E12:$AF12&lt;&gt;"")),"")))</f>
        <v/>
      </c>
      <c r="K70" s="35" t="str">
        <f t="array" ref="K70">IF($C70="","",IF(NOT(ISNUMBER(SEARCH(" DM "," "&amp;SUBSTITUTE($D70,"/"," ")&amp;" "))),"",IFERROR(SUMPRODUCT('Player Grading'!$E12:$AF12,$C$108:$AD$108)/SUMPRODUCT(($C$108:$AD$108)*('Player Grading'!$E12:$AF12&lt;&gt;"")),"")))</f>
        <v/>
      </c>
      <c r="L70" s="35" t="str">
        <f t="array" ref="L70">IF($C70="","",IF(NOT(ISNUMBER(SEARCH(" CM "," "&amp;SUBSTITUTE($D70,"/"," ")&amp;" "))),"",IFERROR(SUMPRODUCT('Player Grading'!$E12:$AF12,$C$109:$AD$109)/SUMPRODUCT(($C$109:$AD$109)*('Player Grading'!$E12:$AF12&lt;&gt;"")),"")))</f>
        <v/>
      </c>
      <c r="M70" s="35" t="str">
        <f t="array" ref="M70">IF($C70="","",IF(NOT(ISNUMBER(SEARCH(" ACM "," "&amp;SUBSTITUTE($D70,"/"," ")&amp;" "))),"",IFERROR(SUMPRODUCT('Player Grading'!$E12:$AF12,$C$110:$AD$110)/SUMPRODUCT(($C$110:$AD$110)*('Player Grading'!$E12:$AF12&lt;&gt;"")),"")))</f>
        <v/>
      </c>
      <c r="N70" s="35" t="str">
        <f t="array" ref="N70">IF($C70="","",IF(NOT(ISNUMBER(SEARCH(" RW "," "&amp;SUBSTITUTE($D70,"/"," ")&amp;" "))),"",IFERROR(SUMPRODUCT('Player Grading'!$E12:$AF12,$C$111:$AD$111)/SUMPRODUCT(($C$111:$AD$111)*('Player Grading'!$E12:$AF12&lt;&gt;"")),"")))</f>
        <v/>
      </c>
      <c r="O70" s="35">
        <f t="array" ref="O70">IF($C70="","",IF(NOT(ISNUMBER(SEARCH(" LW "," "&amp;SUBSTITUTE($D70,"/"," ")&amp;" "))),"",IFERROR(SUMPRODUCT('Player Grading'!$E12:$AF12,$C$112:$AD$112)/SUMPRODUCT(($C$112:$AD$112)*('Player Grading'!$E12:$AF12&lt;&gt;"")),"")))</f>
        <v>9.1999999999999993</v>
      </c>
      <c r="P70" s="35">
        <f t="array" ref="P70">IF($C70="","",IF(NOT(ISNUMBER(SEARCH(" ST "," "&amp;SUBSTITUTE($D70,"/"," ")&amp;" "))),"",IFERROR(SUMPRODUCT('Player Grading'!$E12:$AF12,$C$113:$AD$113)/SUMPRODUCT(($C$113:$AD$113)*('Player Grading'!$E12:$AF12&lt;&gt;"")),"")))</f>
        <v>9.0399999999999991</v>
      </c>
      <c r="Q70" s="32"/>
      <c r="R70" s="35" t="str">
        <f t="shared" si="8"/>
        <v/>
      </c>
      <c r="S70" s="35" t="str">
        <f t="shared" si="9"/>
        <v/>
      </c>
      <c r="T70" s="35" t="str">
        <f t="shared" si="10"/>
        <v/>
      </c>
      <c r="U70" s="35" t="str">
        <f t="shared" si="11"/>
        <v/>
      </c>
      <c r="V70" s="35" t="str">
        <f t="shared" si="12"/>
        <v/>
      </c>
      <c r="W70" s="35" t="str">
        <f t="shared" si="13"/>
        <v/>
      </c>
      <c r="X70" s="35" t="str">
        <f t="shared" si="14"/>
        <v/>
      </c>
      <c r="Y70" s="35" t="str">
        <f t="shared" si="15"/>
        <v/>
      </c>
      <c r="Z70" s="35">
        <f t="shared" si="16"/>
        <v>9.7333333333333325</v>
      </c>
      <c r="AA70" s="35">
        <f t="shared" si="17"/>
        <v>9.5733333333333324</v>
      </c>
      <c r="AB70" s="100">
        <f>IF($C70="","",IF(OR(N(Attendance!$GB11)&gt;0,N(Attendance!$GF11)&gt;0),IFERROR(Attendance!$GN11,""),IFERROR(INDEX(Workings!$AT$6:$AT$25,MATCH($C70,Workings!$AO$6:$AO$25,0)),"")))</f>
        <v>0.76666666666666661</v>
      </c>
      <c r="AC70" s="231">
        <f>IF($C70="","",IFERROR('Player Grading'!$AL12,""))</f>
        <v>9.0111111111111111</v>
      </c>
      <c r="AD70" t="str">
        <f>IF($C70="","",IF(OR(N(Attendance!$GB11)&gt;0,N(Attendance!$GF11)&gt;0),"In-season",IF(ISNUMBER($AB70),"Pre-season","None")))</f>
        <v>In-season</v>
      </c>
      <c r="AF70" t="str">
        <f t="shared" si="18"/>
        <v/>
      </c>
      <c r="AG70" t="str">
        <f t="shared" si="19"/>
        <v/>
      </c>
      <c r="AH70" t="str">
        <f t="shared" si="20"/>
        <v/>
      </c>
      <c r="AI70" t="str">
        <f t="shared" si="21"/>
        <v/>
      </c>
      <c r="AJ70" t="str">
        <f t="shared" si="22"/>
        <v/>
      </c>
      <c r="AK70" t="str">
        <f t="shared" si="23"/>
        <v/>
      </c>
      <c r="AL70" t="str">
        <f t="shared" si="24"/>
        <v/>
      </c>
      <c r="AM70" t="str">
        <f t="shared" si="25"/>
        <v/>
      </c>
      <c r="AN70" t="str">
        <f t="shared" si="26"/>
        <v/>
      </c>
      <c r="AO70">
        <f t="shared" si="27"/>
        <v>9.5733333333333324</v>
      </c>
      <c r="AP70">
        <f t="shared" si="28"/>
        <v>9.5733333333333324</v>
      </c>
      <c r="AR70" t="str">
        <f t="shared" si="29"/>
        <v/>
      </c>
      <c r="AS70" t="str">
        <f t="shared" si="30"/>
        <v/>
      </c>
      <c r="AT70" t="str">
        <f t="shared" si="31"/>
        <v/>
      </c>
      <c r="AU70" t="str">
        <f t="shared" si="32"/>
        <v/>
      </c>
      <c r="AV70" t="str">
        <f t="shared" si="33"/>
        <v/>
      </c>
      <c r="AW70" t="str">
        <f t="shared" si="34"/>
        <v/>
      </c>
      <c r="AX70" t="str">
        <f t="shared" si="35"/>
        <v/>
      </c>
      <c r="AY70" t="str">
        <f t="shared" si="36"/>
        <v/>
      </c>
      <c r="AZ70" t="str">
        <f t="shared" si="37"/>
        <v/>
      </c>
      <c r="BA70">
        <f t="shared" si="38"/>
        <v>9.5733333333333324</v>
      </c>
      <c r="BB70">
        <f t="shared" si="39"/>
        <v>9.7333333333333325</v>
      </c>
    </row>
    <row r="71" spans="2:54" hidden="1" outlineLevel="1" x14ac:dyDescent="0.45">
      <c r="B71" s="232">
        <f>IF($C71="","",Attendance!$C12)</f>
        <v>8</v>
      </c>
      <c r="C71" s="233" t="str">
        <f>IF(Attendance!$D12="","",Attendance!$D12)</f>
        <v>Shauna Kavanagh</v>
      </c>
      <c r="D71" s="234" t="str">
        <f>IF($C71="","",'Player Grading'!$D13)</f>
        <v>ST / RW</v>
      </c>
      <c r="E71" s="234" t="str">
        <f>IF($C71="","",IF($E125="",IF(Attendance!$GP12="","Yes",Attendance!$GP12),IF($E125="Available","Yes","No")))</f>
        <v>Yes</v>
      </c>
      <c r="F71" s="235" t="str">
        <f>IF($C71="","",IF($E125="",Attendance!$GQ12&amp;"",IF($E125="Available","",$E125&amp;IF($F125="",""," - "&amp;$F125)&amp;IF($I125="",""," (back "&amp;TEXT($I125,"d mmm")&amp;")"))))</f>
        <v/>
      </c>
      <c r="G71" s="109" t="str">
        <f t="array" ref="G71">IF($C71="","",IF(NOT(ISNUMBER(SEARCH(" GK "," "&amp;SUBSTITUTE($D71,"/"," ")&amp;" "))),"",IFERROR(SUMPRODUCT('Player Grading'!$E13:$AF13,$C$104:$AD$104)/SUMPRODUCT(($C$104:$AD$104)*('Player Grading'!$E13:$AF13&lt;&gt;"")),"")))</f>
        <v/>
      </c>
      <c r="H71" s="109" t="str">
        <f t="array" ref="H71">IF($C71="","",IF(NOT(ISNUMBER(SEARCH(" RB "," "&amp;SUBSTITUTE($D71,"/"," ")&amp;" "))),"",IFERROR(SUMPRODUCT('Player Grading'!$E13:$AF13,$C$105:$AD$105)/SUMPRODUCT(($C$105:$AD$105)*('Player Grading'!$E13:$AF13&lt;&gt;"")),"")))</f>
        <v/>
      </c>
      <c r="I71" s="109" t="str">
        <f t="array" ref="I71">IF($C71="","",IF(NOT(ISNUMBER(SEARCH(" CB "," "&amp;SUBSTITUTE($D71,"/"," ")&amp;" "))),"",IFERROR(SUMPRODUCT('Player Grading'!$E13:$AF13,$C$106:$AD$106)/SUMPRODUCT(($C$106:$AD$106)*('Player Grading'!$E13:$AF13&lt;&gt;"")),"")))</f>
        <v/>
      </c>
      <c r="J71" s="109" t="str">
        <f t="array" ref="J71">IF($C71="","",IF(NOT(ISNUMBER(SEARCH(" LB "," "&amp;SUBSTITUTE($D71,"/"," ")&amp;" "))),"",IFERROR(SUMPRODUCT('Player Grading'!$E13:$AF13,$C$107:$AD$107)/SUMPRODUCT(($C$107:$AD$107)*('Player Grading'!$E13:$AF13&lt;&gt;"")),"")))</f>
        <v/>
      </c>
      <c r="K71" s="109" t="str">
        <f t="array" ref="K71">IF($C71="","",IF(NOT(ISNUMBER(SEARCH(" DM "," "&amp;SUBSTITUTE($D71,"/"," ")&amp;" "))),"",IFERROR(SUMPRODUCT('Player Grading'!$E13:$AF13,$C$108:$AD$108)/SUMPRODUCT(($C$108:$AD$108)*('Player Grading'!$E13:$AF13&lt;&gt;"")),"")))</f>
        <v/>
      </c>
      <c r="L71" s="109" t="str">
        <f t="array" ref="L71">IF($C71="","",IF(NOT(ISNUMBER(SEARCH(" CM "," "&amp;SUBSTITUTE($D71,"/"," ")&amp;" "))),"",IFERROR(SUMPRODUCT('Player Grading'!$E13:$AF13,$C$109:$AD$109)/SUMPRODUCT(($C$109:$AD$109)*('Player Grading'!$E13:$AF13&lt;&gt;"")),"")))</f>
        <v/>
      </c>
      <c r="M71" s="109" t="str">
        <f t="array" ref="M71">IF($C71="","",IF(NOT(ISNUMBER(SEARCH(" ACM "," "&amp;SUBSTITUTE($D71,"/"," ")&amp;" "))),"",IFERROR(SUMPRODUCT('Player Grading'!$E13:$AF13,$C$110:$AD$110)/SUMPRODUCT(($C$110:$AD$110)*('Player Grading'!$E13:$AF13&lt;&gt;"")),"")))</f>
        <v/>
      </c>
      <c r="N71" s="109">
        <f t="array" ref="N71">IF($C71="","",IF(NOT(ISNUMBER(SEARCH(" RW "," "&amp;SUBSTITUTE($D71,"/"," ")&amp;" "))),"",IFERROR(SUMPRODUCT('Player Grading'!$E13:$AF13,$C$111:$AD$111)/SUMPRODUCT(($C$111:$AD$111)*('Player Grading'!$E13:$AF13&lt;&gt;"")),"")))</f>
        <v>8.1111111111111107</v>
      </c>
      <c r="O71" s="109" t="str">
        <f t="array" ref="O71">IF($C71="","",IF(NOT(ISNUMBER(SEARCH(" LW "," "&amp;SUBSTITUTE($D71,"/"," ")&amp;" "))),"",IFERROR(SUMPRODUCT('Player Grading'!$E13:$AF13,$C$112:$AD$112)/SUMPRODUCT(($C$112:$AD$112)*('Player Grading'!$E13:$AF13&lt;&gt;"")),"")))</f>
        <v/>
      </c>
      <c r="P71" s="109">
        <f t="array" ref="P71">IF($C71="","",IF(NOT(ISNUMBER(SEARCH(" ST "," "&amp;SUBSTITUTE($D71,"/"," ")&amp;" "))),"",IFERROR(SUMPRODUCT('Player Grading'!$E13:$AF13,$C$113:$AD$113)/SUMPRODUCT(($C$113:$AD$113)*('Player Grading'!$E13:$AF13&lt;&gt;"")),"")))</f>
        <v>7.84</v>
      </c>
      <c r="Q71" s="234"/>
      <c r="R71" s="109" t="str">
        <f t="shared" si="8"/>
        <v/>
      </c>
      <c r="S71" s="109" t="str">
        <f t="shared" si="9"/>
        <v/>
      </c>
      <c r="T71" s="109" t="str">
        <f t="shared" si="10"/>
        <v/>
      </c>
      <c r="U71" s="109" t="str">
        <f t="shared" si="11"/>
        <v/>
      </c>
      <c r="V71" s="109" t="str">
        <f t="shared" si="12"/>
        <v/>
      </c>
      <c r="W71" s="109" t="str">
        <f t="shared" si="13"/>
        <v/>
      </c>
      <c r="X71" s="109" t="str">
        <f t="shared" si="14"/>
        <v/>
      </c>
      <c r="Y71" s="109">
        <f t="shared" si="15"/>
        <v>8.5666666666666664</v>
      </c>
      <c r="Z71" s="109" t="str">
        <f t="shared" si="16"/>
        <v/>
      </c>
      <c r="AA71" s="109">
        <f t="shared" si="17"/>
        <v>8.2955555555555556</v>
      </c>
      <c r="AB71" s="108">
        <f>IF($C71="","",IF(OR(N(Attendance!$GB12)&gt;0,N(Attendance!$GF12)&gt;0),IFERROR(Attendance!$GN12,""),IFERROR(INDEX(Workings!$AT$6:$AT$25,MATCH($C71,Workings!$AO$6:$AO$25,0)),"")))</f>
        <v>0.72777777777777775</v>
      </c>
      <c r="AC71" s="236">
        <f>IF($C71="","",IFERROR('Player Grading'!$AL13,""))</f>
        <v>7.7342592592592601</v>
      </c>
      <c r="AD71" t="str">
        <f>IF($C71="","",IF(OR(N(Attendance!$GB12)&gt;0,N(Attendance!$GF12)&gt;0),"In-season",IF(ISNUMBER($AB71),"Pre-season","None")))</f>
        <v>In-season</v>
      </c>
      <c r="AF71" t="str">
        <f t="shared" si="18"/>
        <v/>
      </c>
      <c r="AG71" t="str">
        <f t="shared" si="19"/>
        <v/>
      </c>
      <c r="AH71" t="str">
        <f t="shared" si="20"/>
        <v/>
      </c>
      <c r="AI71" t="str">
        <f t="shared" si="21"/>
        <v/>
      </c>
      <c r="AJ71" t="str">
        <f t="shared" si="22"/>
        <v/>
      </c>
      <c r="AK71" t="str">
        <f t="shared" si="23"/>
        <v/>
      </c>
      <c r="AL71" t="str">
        <f t="shared" si="24"/>
        <v/>
      </c>
      <c r="AM71" t="str">
        <f t="shared" si="25"/>
        <v/>
      </c>
      <c r="AN71" t="str">
        <f t="shared" si="26"/>
        <v/>
      </c>
      <c r="AO71">
        <f t="shared" si="27"/>
        <v>8.2955555555555556</v>
      </c>
      <c r="AP71">
        <f t="shared" si="28"/>
        <v>8.2955555555555556</v>
      </c>
      <c r="AR71" t="str">
        <f t="shared" si="29"/>
        <v/>
      </c>
      <c r="AS71" t="str">
        <f t="shared" si="30"/>
        <v/>
      </c>
      <c r="AT71" t="str">
        <f t="shared" si="31"/>
        <v/>
      </c>
      <c r="AU71" t="str">
        <f t="shared" si="32"/>
        <v/>
      </c>
      <c r="AV71" t="str">
        <f t="shared" si="33"/>
        <v/>
      </c>
      <c r="AW71" t="str">
        <f t="shared" si="34"/>
        <v/>
      </c>
      <c r="AX71" t="str">
        <f t="shared" si="35"/>
        <v/>
      </c>
      <c r="AY71" t="str">
        <f t="shared" si="36"/>
        <v/>
      </c>
      <c r="AZ71">
        <f t="shared" si="37"/>
        <v>8.5666666666666664</v>
      </c>
      <c r="BA71">
        <f t="shared" si="38"/>
        <v>8.2955555555555556</v>
      </c>
      <c r="BB71" t="str">
        <f t="shared" si="39"/>
        <v/>
      </c>
    </row>
    <row r="72" spans="2:54" hidden="1" outlineLevel="1" x14ac:dyDescent="0.45">
      <c r="B72" s="228">
        <f>IF($C72="","",Attendance!$C13)</f>
        <v>9</v>
      </c>
      <c r="C72" s="229" t="str">
        <f>IF(Attendance!$D13="","",Attendance!$D13)</f>
        <v>Tara Brannigan</v>
      </c>
      <c r="D72" s="32" t="str">
        <f>IF($C72="","",'Player Grading'!$D14)</f>
        <v>DM / CM</v>
      </c>
      <c r="E72" s="32" t="str">
        <f>IF($C72="","",IF($E126="",IF(Attendance!$GP13="","Yes",Attendance!$GP13),IF($E126="Available","Yes","No")))</f>
        <v>Yes</v>
      </c>
      <c r="F72" s="230" t="str">
        <f>IF($C72="","",IF($E126="",Attendance!$GQ13&amp;"",IF($E126="Available","",$E126&amp;IF($F126="",""," - "&amp;$F126)&amp;IF($I126="",""," (back "&amp;TEXT($I126,"d mmm")&amp;")"))))</f>
        <v/>
      </c>
      <c r="G72" s="35" t="str">
        <f t="array" ref="G72">IF($C72="","",IF(NOT(ISNUMBER(SEARCH(" GK "," "&amp;SUBSTITUTE($D72,"/"," ")&amp;" "))),"",IFERROR(SUMPRODUCT('Player Grading'!$E14:$AF14,$C$104:$AD$104)/SUMPRODUCT(($C$104:$AD$104)*('Player Grading'!$E14:$AF14&lt;&gt;"")),"")))</f>
        <v/>
      </c>
      <c r="H72" s="35" t="str">
        <f t="array" ref="H72">IF($C72="","",IF(NOT(ISNUMBER(SEARCH(" RB "," "&amp;SUBSTITUTE($D72,"/"," ")&amp;" "))),"",IFERROR(SUMPRODUCT('Player Grading'!$E14:$AF14,$C$105:$AD$105)/SUMPRODUCT(($C$105:$AD$105)*('Player Grading'!$E14:$AF14&lt;&gt;"")),"")))</f>
        <v/>
      </c>
      <c r="I72" s="35" t="str">
        <f t="array" ref="I72">IF($C72="","",IF(NOT(ISNUMBER(SEARCH(" CB "," "&amp;SUBSTITUTE($D72,"/"," ")&amp;" "))),"",IFERROR(SUMPRODUCT('Player Grading'!$E14:$AF14,$C$106:$AD$106)/SUMPRODUCT(($C$106:$AD$106)*('Player Grading'!$E14:$AF14&lt;&gt;"")),"")))</f>
        <v/>
      </c>
      <c r="J72" s="35" t="str">
        <f t="array" ref="J72">IF($C72="","",IF(NOT(ISNUMBER(SEARCH(" LB "," "&amp;SUBSTITUTE($D72,"/"," ")&amp;" "))),"",IFERROR(SUMPRODUCT('Player Grading'!$E14:$AF14,$C$107:$AD$107)/SUMPRODUCT(($C$107:$AD$107)*('Player Grading'!$E14:$AF14&lt;&gt;"")),"")))</f>
        <v/>
      </c>
      <c r="K72" s="35">
        <f t="array" ref="K72">IF($C72="","",IF(NOT(ISNUMBER(SEARCH(" DM "," "&amp;SUBSTITUTE($D72,"/"," ")&amp;" "))),"",IFERROR(SUMPRODUCT('Player Grading'!$E14:$AF14,$C$108:$AD$108)/SUMPRODUCT(($C$108:$AD$108)*('Player Grading'!$E14:$AF14&lt;&gt;"")),"")))</f>
        <v>13</v>
      </c>
      <c r="L72" s="35">
        <f t="array" ref="L72">IF($C72="","",IF(NOT(ISNUMBER(SEARCH(" CM "," "&amp;SUBSTITUTE($D72,"/"," ")&amp;" "))),"",IFERROR(SUMPRODUCT('Player Grading'!$E14:$AF14,$C$109:$AD$109)/SUMPRODUCT(($C$109:$AD$109)*('Player Grading'!$E14:$AF14&lt;&gt;"")),"")))</f>
        <v>12.142857142857142</v>
      </c>
      <c r="M72" s="35" t="str">
        <f t="array" ref="M72">IF($C72="","",IF(NOT(ISNUMBER(SEARCH(" ACM "," "&amp;SUBSTITUTE($D72,"/"," ")&amp;" "))),"",IFERROR(SUMPRODUCT('Player Grading'!$E14:$AF14,$C$110:$AD$110)/SUMPRODUCT(($C$110:$AD$110)*('Player Grading'!$E14:$AF14&lt;&gt;"")),"")))</f>
        <v/>
      </c>
      <c r="N72" s="35" t="str">
        <f t="array" ref="N72">IF($C72="","",IF(NOT(ISNUMBER(SEARCH(" RW "," "&amp;SUBSTITUTE($D72,"/"," ")&amp;" "))),"",IFERROR(SUMPRODUCT('Player Grading'!$E14:$AF14,$C$111:$AD$111)/SUMPRODUCT(($C$111:$AD$111)*('Player Grading'!$E14:$AF14&lt;&gt;"")),"")))</f>
        <v/>
      </c>
      <c r="O72" s="35" t="str">
        <f t="array" ref="O72">IF($C72="","",IF(NOT(ISNUMBER(SEARCH(" LW "," "&amp;SUBSTITUTE($D72,"/"," ")&amp;" "))),"",IFERROR(SUMPRODUCT('Player Grading'!$E14:$AF14,$C$112:$AD$112)/SUMPRODUCT(($C$112:$AD$112)*('Player Grading'!$E14:$AF14&lt;&gt;"")),"")))</f>
        <v/>
      </c>
      <c r="P72" s="35" t="str">
        <f t="array" ref="P72">IF($C72="","",IF(NOT(ISNUMBER(SEARCH(" ST "," "&amp;SUBSTITUTE($D72,"/"," ")&amp;" "))),"",IFERROR(SUMPRODUCT('Player Grading'!$E14:$AF14,$C$113:$AD$113)/SUMPRODUCT(($C$113:$AD$113)*('Player Grading'!$E14:$AF14&lt;&gt;"")),"")))</f>
        <v/>
      </c>
      <c r="Q72" s="32"/>
      <c r="R72" s="35" t="str">
        <f t="shared" si="8"/>
        <v/>
      </c>
      <c r="S72" s="35" t="str">
        <f t="shared" si="9"/>
        <v/>
      </c>
      <c r="T72" s="35" t="str">
        <f t="shared" si="10"/>
        <v/>
      </c>
      <c r="U72" s="35" t="str">
        <f t="shared" si="11"/>
        <v/>
      </c>
      <c r="V72" s="35">
        <f t="shared" si="12"/>
        <v>13.533333333333333</v>
      </c>
      <c r="W72" s="35">
        <f t="shared" si="13"/>
        <v>12.676190476190476</v>
      </c>
      <c r="X72" s="35" t="str">
        <f t="shared" si="14"/>
        <v/>
      </c>
      <c r="Y72" s="35" t="str">
        <f t="shared" si="15"/>
        <v/>
      </c>
      <c r="Z72" s="35" t="str">
        <f t="shared" si="16"/>
        <v/>
      </c>
      <c r="AA72" s="35" t="str">
        <f t="shared" si="17"/>
        <v/>
      </c>
      <c r="AB72" s="100">
        <f>IF($C72="","",IF(OR(N(Attendance!$GB13)&gt;0,N(Attendance!$GF13)&gt;0),IFERROR(Attendance!$GN13,""),IFERROR(INDEX(Workings!$AT$6:$AT$25,MATCH($C72,Workings!$AO$6:$AO$25,0)),"")))</f>
        <v>0.76666666666666661</v>
      </c>
      <c r="AC72" s="231">
        <f>IF($C72="","",IFERROR('Player Grading'!$AL14,""))</f>
        <v>11.726851851851853</v>
      </c>
      <c r="AD72" t="str">
        <f>IF($C72="","",IF(OR(N(Attendance!$GB13)&gt;0,N(Attendance!$GF13)&gt;0),"In-season",IF(ISNUMBER($AB72),"Pre-season","None")))</f>
        <v>In-season</v>
      </c>
      <c r="AF72" t="str">
        <f t="shared" si="18"/>
        <v/>
      </c>
      <c r="AG72" t="str">
        <f t="shared" si="19"/>
        <v/>
      </c>
      <c r="AH72" t="str">
        <f t="shared" si="20"/>
        <v/>
      </c>
      <c r="AI72" t="str">
        <f t="shared" si="21"/>
        <v/>
      </c>
      <c r="AJ72" t="str">
        <f t="shared" si="22"/>
        <v/>
      </c>
      <c r="AK72" t="str">
        <f t="shared" si="23"/>
        <v/>
      </c>
      <c r="AL72">
        <f t="shared" si="24"/>
        <v>12.676190476190476</v>
      </c>
      <c r="AM72">
        <f t="shared" si="25"/>
        <v>12.676190476190476</v>
      </c>
      <c r="AN72">
        <f t="shared" si="26"/>
        <v>12.676190476190476</v>
      </c>
      <c r="AO72" t="str">
        <f t="shared" si="27"/>
        <v/>
      </c>
      <c r="AP72" t="str">
        <f t="shared" si="28"/>
        <v/>
      </c>
      <c r="AR72" t="str">
        <f t="shared" si="29"/>
        <v/>
      </c>
      <c r="AS72" t="str">
        <f t="shared" si="30"/>
        <v/>
      </c>
      <c r="AT72" t="str">
        <f t="shared" si="31"/>
        <v/>
      </c>
      <c r="AU72" t="str">
        <f t="shared" si="32"/>
        <v/>
      </c>
      <c r="AV72" t="str">
        <f t="shared" si="33"/>
        <v/>
      </c>
      <c r="AW72">
        <f t="shared" si="34"/>
        <v>13.533333333333333</v>
      </c>
      <c r="AX72" t="str">
        <f t="shared" si="35"/>
        <v/>
      </c>
      <c r="AY72" t="str">
        <f t="shared" si="36"/>
        <v/>
      </c>
      <c r="AZ72" t="str">
        <f t="shared" si="37"/>
        <v/>
      </c>
      <c r="BA72" t="str">
        <f t="shared" si="38"/>
        <v/>
      </c>
      <c r="BB72" t="str">
        <f t="shared" si="39"/>
        <v/>
      </c>
    </row>
    <row r="73" spans="2:54" hidden="1" outlineLevel="1" x14ac:dyDescent="0.45">
      <c r="B73" s="232">
        <f>IF($C73="","",Attendance!$C14)</f>
        <v>10</v>
      </c>
      <c r="C73" s="233" t="str">
        <f>IF(Attendance!$D14="","",Attendance!$D14)</f>
        <v>Semilore Adesanya</v>
      </c>
      <c r="D73" s="234" t="str">
        <f>IF($C73="","",'Player Grading'!$D15)</f>
        <v>CB / CM</v>
      </c>
      <c r="E73" s="234" t="str">
        <f>IF($C73="","",IF($E127="",IF(Attendance!$GP14="","Yes",Attendance!$GP14),IF($E127="Available","Yes","No")))</f>
        <v>Yes</v>
      </c>
      <c r="F73" s="235" t="str">
        <f>IF($C73="","",IF($E127="",Attendance!$GQ14&amp;"",IF($E127="Available","",$E127&amp;IF($F127="",""," - "&amp;$F127)&amp;IF($I127="",""," (back "&amp;TEXT($I127,"d mmm")&amp;")"))))</f>
        <v/>
      </c>
      <c r="G73" s="109" t="str">
        <f t="array" ref="G73">IF($C73="","",IF(NOT(ISNUMBER(SEARCH(" GK "," "&amp;SUBSTITUTE($D73,"/"," ")&amp;" "))),"",IFERROR(SUMPRODUCT('Player Grading'!$E15:$AF15,$C$104:$AD$104)/SUMPRODUCT(($C$104:$AD$104)*('Player Grading'!$E15:$AF15&lt;&gt;"")),"")))</f>
        <v/>
      </c>
      <c r="H73" s="109" t="str">
        <f t="array" ref="H73">IF($C73="","",IF(NOT(ISNUMBER(SEARCH(" RB "," "&amp;SUBSTITUTE($D73,"/"," ")&amp;" "))),"",IFERROR(SUMPRODUCT('Player Grading'!$E15:$AF15,$C$105:$AD$105)/SUMPRODUCT(($C$105:$AD$105)*('Player Grading'!$E15:$AF15&lt;&gt;"")),"")))</f>
        <v/>
      </c>
      <c r="I73" s="109">
        <f t="array" ref="I73">IF($C73="","",IF(NOT(ISNUMBER(SEARCH(" CB "," "&amp;SUBSTITUTE($D73,"/"," ")&amp;" "))),"",IFERROR(SUMPRODUCT('Player Grading'!$E15:$AF15,$C$106:$AD$106)/SUMPRODUCT(($C$106:$AD$106)*('Player Grading'!$E15:$AF15&lt;&gt;"")),"")))</f>
        <v>14.317073170731707</v>
      </c>
      <c r="J73" s="109" t="str">
        <f t="array" ref="J73">IF($C73="","",IF(NOT(ISNUMBER(SEARCH(" LB "," "&amp;SUBSTITUTE($D73,"/"," ")&amp;" "))),"",IFERROR(SUMPRODUCT('Player Grading'!$E15:$AF15,$C$107:$AD$107)/SUMPRODUCT(($C$107:$AD$107)*('Player Grading'!$E15:$AF15&lt;&gt;"")),"")))</f>
        <v/>
      </c>
      <c r="K73" s="109" t="str">
        <f t="array" ref="K73">IF($C73="","",IF(NOT(ISNUMBER(SEARCH(" DM "," "&amp;SUBSTITUTE($D73,"/"," ")&amp;" "))),"",IFERROR(SUMPRODUCT('Player Grading'!$E15:$AF15,$C$108:$AD$108)/SUMPRODUCT(($C$108:$AD$108)*('Player Grading'!$E15:$AF15&lt;&gt;"")),"")))</f>
        <v/>
      </c>
      <c r="L73" s="109">
        <f t="array" ref="L73">IF($C73="","",IF(NOT(ISNUMBER(SEARCH(" CM "," "&amp;SUBSTITUTE($D73,"/"," ")&amp;" "))),"",IFERROR(SUMPRODUCT('Player Grading'!$E15:$AF15,$C$109:$AD$109)/SUMPRODUCT(($C$109:$AD$109)*('Player Grading'!$E15:$AF15&lt;&gt;"")),"")))</f>
        <v>13.306122448979592</v>
      </c>
      <c r="M73" s="109" t="str">
        <f t="array" ref="M73">IF($C73="","",IF(NOT(ISNUMBER(SEARCH(" ACM "," "&amp;SUBSTITUTE($D73,"/"," ")&amp;" "))),"",IFERROR(SUMPRODUCT('Player Grading'!$E15:$AF15,$C$110:$AD$110)/SUMPRODUCT(($C$110:$AD$110)*('Player Grading'!$E15:$AF15&lt;&gt;"")),"")))</f>
        <v/>
      </c>
      <c r="N73" s="109" t="str">
        <f t="array" ref="N73">IF($C73="","",IF(NOT(ISNUMBER(SEARCH(" RW "," "&amp;SUBSTITUTE($D73,"/"," ")&amp;" "))),"",IFERROR(SUMPRODUCT('Player Grading'!$E15:$AF15,$C$111:$AD$111)/SUMPRODUCT(($C$111:$AD$111)*('Player Grading'!$E15:$AF15&lt;&gt;"")),"")))</f>
        <v/>
      </c>
      <c r="O73" s="109" t="str">
        <f t="array" ref="O73">IF($C73="","",IF(NOT(ISNUMBER(SEARCH(" LW "," "&amp;SUBSTITUTE($D73,"/"," ")&amp;" "))),"",IFERROR(SUMPRODUCT('Player Grading'!$E15:$AF15,$C$112:$AD$112)/SUMPRODUCT(($C$112:$AD$112)*('Player Grading'!$E15:$AF15&lt;&gt;"")),"")))</f>
        <v/>
      </c>
      <c r="P73" s="109" t="str">
        <f t="array" ref="P73">IF($C73="","",IF(NOT(ISNUMBER(SEARCH(" ST "," "&amp;SUBSTITUTE($D73,"/"," ")&amp;" "))),"",IFERROR(SUMPRODUCT('Player Grading'!$E15:$AF15,$C$113:$AD$113)/SUMPRODUCT(($C$113:$AD$113)*('Player Grading'!$E15:$AF15&lt;&gt;"")),"")))</f>
        <v/>
      </c>
      <c r="Q73" s="234"/>
      <c r="R73" s="109" t="str">
        <f t="shared" si="8"/>
        <v/>
      </c>
      <c r="S73" s="109" t="str">
        <f t="shared" si="9"/>
        <v/>
      </c>
      <c r="T73" s="109">
        <f t="shared" si="10"/>
        <v>14.689295392953928</v>
      </c>
      <c r="U73" s="109" t="str">
        <f t="shared" si="11"/>
        <v/>
      </c>
      <c r="V73" s="109" t="str">
        <f t="shared" si="12"/>
        <v/>
      </c>
      <c r="W73" s="109">
        <f t="shared" si="13"/>
        <v>13.678344671201813</v>
      </c>
      <c r="X73" s="109" t="str">
        <f t="shared" si="14"/>
        <v/>
      </c>
      <c r="Y73" s="109" t="str">
        <f t="shared" si="15"/>
        <v/>
      </c>
      <c r="Z73" s="109" t="str">
        <f t="shared" si="16"/>
        <v/>
      </c>
      <c r="AA73" s="109" t="str">
        <f t="shared" si="17"/>
        <v/>
      </c>
      <c r="AB73" s="108">
        <f>IF($C73="","",IF(OR(N(Attendance!$GB14)&gt;0,N(Attendance!$GF14)&gt;0),IFERROR(Attendance!$GN14,""),IFERROR(INDEX(Workings!$AT$6:$AT$25,MATCH($C73,Workings!$AO$6:$AO$25,0)),"")))</f>
        <v>0.68611111111111112</v>
      </c>
      <c r="AC73" s="236">
        <f>IF($C73="","",IFERROR('Player Grading'!$AL15,""))</f>
        <v>12.763888888888888</v>
      </c>
      <c r="AD73" t="str">
        <f>IF($C73="","",IF(OR(N(Attendance!$GB14)&gt;0,N(Attendance!$GF14)&gt;0),"In-season",IF(ISNUMBER($AB73),"Pre-season","None")))</f>
        <v>In-season</v>
      </c>
      <c r="AF73" t="str">
        <f t="shared" si="18"/>
        <v/>
      </c>
      <c r="AG73" t="str">
        <f t="shared" si="19"/>
        <v/>
      </c>
      <c r="AH73" t="str">
        <f t="shared" si="20"/>
        <v/>
      </c>
      <c r="AI73" t="str">
        <f t="shared" si="21"/>
        <v/>
      </c>
      <c r="AJ73" t="str">
        <f t="shared" si="22"/>
        <v/>
      </c>
      <c r="AK73" t="str">
        <f t="shared" si="23"/>
        <v/>
      </c>
      <c r="AL73" t="str">
        <f t="shared" si="24"/>
        <v/>
      </c>
      <c r="AM73" t="str">
        <f t="shared" si="25"/>
        <v/>
      </c>
      <c r="AN73" t="str">
        <f t="shared" si="26"/>
        <v/>
      </c>
      <c r="AO73" t="str">
        <f t="shared" si="27"/>
        <v/>
      </c>
      <c r="AP73" t="str">
        <f t="shared" si="28"/>
        <v/>
      </c>
      <c r="AR73" t="str">
        <f t="shared" si="29"/>
        <v/>
      </c>
      <c r="AS73" t="str">
        <f t="shared" si="30"/>
        <v/>
      </c>
      <c r="AT73">
        <f t="shared" si="31"/>
        <v>14.689295392953928</v>
      </c>
      <c r="AU73">
        <f t="shared" si="32"/>
        <v>14.689295392953928</v>
      </c>
      <c r="AV73" t="str">
        <f t="shared" si="33"/>
        <v/>
      </c>
      <c r="AW73" t="str">
        <f t="shared" si="34"/>
        <v/>
      </c>
      <c r="AX73" t="str">
        <f t="shared" si="35"/>
        <v/>
      </c>
      <c r="AY73" t="str">
        <f t="shared" si="36"/>
        <v/>
      </c>
      <c r="AZ73" t="str">
        <f t="shared" si="37"/>
        <v/>
      </c>
      <c r="BA73" t="str">
        <f t="shared" si="38"/>
        <v/>
      </c>
      <c r="BB73" t="str">
        <f t="shared" si="39"/>
        <v/>
      </c>
    </row>
    <row r="74" spans="2:54" hidden="1" outlineLevel="1" x14ac:dyDescent="0.45">
      <c r="B74" s="228">
        <f>IF($C74="","",Attendance!$C15)</f>
        <v>11</v>
      </c>
      <c r="C74" s="229" t="str">
        <f>IF(Attendance!$D15="","",Attendance!$D15)</f>
        <v>Hannah Fleming</v>
      </c>
      <c r="D74" s="32" t="str">
        <f>IF($C74="","",'Player Grading'!$D16)</f>
        <v>LB / LW</v>
      </c>
      <c r="E74" s="32" t="str">
        <f>IF($C74="","",IF($E128="",IF(Attendance!$GP15="","Yes",Attendance!$GP15),IF($E128="Available","Yes","No")))</f>
        <v>Yes</v>
      </c>
      <c r="F74" s="230" t="str">
        <f>IF($C74="","",IF($E128="",Attendance!$GQ15&amp;"",IF($E128="Available","",$E128&amp;IF($F128="",""," - "&amp;$F128)&amp;IF($I128="",""," (back "&amp;TEXT($I128,"d mmm")&amp;")"))))</f>
        <v/>
      </c>
      <c r="G74" s="35" t="str">
        <f t="array" ref="G74">IF($C74="","",IF(NOT(ISNUMBER(SEARCH(" GK "," "&amp;SUBSTITUTE($D74,"/"," ")&amp;" "))),"",IFERROR(SUMPRODUCT('Player Grading'!$E16:$AF16,$C$104:$AD$104)/SUMPRODUCT(($C$104:$AD$104)*('Player Grading'!$E16:$AF16&lt;&gt;"")),"")))</f>
        <v/>
      </c>
      <c r="H74" s="35" t="str">
        <f t="array" ref="H74">IF($C74="","",IF(NOT(ISNUMBER(SEARCH(" RB "," "&amp;SUBSTITUTE($D74,"/"," ")&amp;" "))),"",IFERROR(SUMPRODUCT('Player Grading'!$E16:$AF16,$C$105:$AD$105)/SUMPRODUCT(($C$105:$AD$105)*('Player Grading'!$E16:$AF16&lt;&gt;"")),"")))</f>
        <v/>
      </c>
      <c r="I74" s="35" t="str">
        <f t="array" ref="I74">IF($C74="","",IF(NOT(ISNUMBER(SEARCH(" CB "," "&amp;SUBSTITUTE($D74,"/"," ")&amp;" "))),"",IFERROR(SUMPRODUCT('Player Grading'!$E16:$AF16,$C$106:$AD$106)/SUMPRODUCT(($C$106:$AD$106)*('Player Grading'!$E16:$AF16&lt;&gt;"")),"")))</f>
        <v/>
      </c>
      <c r="J74" s="35">
        <f t="array" ref="J74">IF($C74="","",IF(NOT(ISNUMBER(SEARCH(" LB "," "&amp;SUBSTITUTE($D74,"/"," ")&amp;" "))),"",IFERROR(SUMPRODUCT('Player Grading'!$E16:$AF16,$C$107:$AD$107)/SUMPRODUCT(($C$107:$AD$107)*('Player Grading'!$E16:$AF16&lt;&gt;"")),"")))</f>
        <v>12.6</v>
      </c>
      <c r="K74" s="35" t="str">
        <f t="array" ref="K74">IF($C74="","",IF(NOT(ISNUMBER(SEARCH(" DM "," "&amp;SUBSTITUTE($D74,"/"," ")&amp;" "))),"",IFERROR(SUMPRODUCT('Player Grading'!$E16:$AF16,$C$108:$AD$108)/SUMPRODUCT(($C$108:$AD$108)*('Player Grading'!$E16:$AF16&lt;&gt;"")),"")))</f>
        <v/>
      </c>
      <c r="L74" s="35" t="str">
        <f t="array" ref="L74">IF($C74="","",IF(NOT(ISNUMBER(SEARCH(" CM "," "&amp;SUBSTITUTE($D74,"/"," ")&amp;" "))),"",IFERROR(SUMPRODUCT('Player Grading'!$E16:$AF16,$C$109:$AD$109)/SUMPRODUCT(($C$109:$AD$109)*('Player Grading'!$E16:$AF16&lt;&gt;"")),"")))</f>
        <v/>
      </c>
      <c r="M74" s="35" t="str">
        <f t="array" ref="M74">IF($C74="","",IF(NOT(ISNUMBER(SEARCH(" ACM "," "&amp;SUBSTITUTE($D74,"/"," ")&amp;" "))),"",IFERROR(SUMPRODUCT('Player Grading'!$E16:$AF16,$C$110:$AD$110)/SUMPRODUCT(($C$110:$AD$110)*('Player Grading'!$E16:$AF16&lt;&gt;"")),"")))</f>
        <v/>
      </c>
      <c r="N74" s="35" t="str">
        <f t="array" ref="N74">IF($C74="","",IF(NOT(ISNUMBER(SEARCH(" RW "," "&amp;SUBSTITUTE($D74,"/"," ")&amp;" "))),"",IFERROR(SUMPRODUCT('Player Grading'!$E16:$AF16,$C$111:$AD$111)/SUMPRODUCT(($C$111:$AD$111)*('Player Grading'!$E16:$AF16&lt;&gt;"")),"")))</f>
        <v/>
      </c>
      <c r="O74" s="35">
        <f t="array" ref="O74">IF($C74="","",IF(NOT(ISNUMBER(SEARCH(" LW "," "&amp;SUBSTITUTE($D74,"/"," ")&amp;" "))),"",IFERROR(SUMPRODUCT('Player Grading'!$E16:$AF16,$C$112:$AD$112)/SUMPRODUCT(($C$112:$AD$112)*('Player Grading'!$E16:$AF16&lt;&gt;"")),"")))</f>
        <v>12.311111111111112</v>
      </c>
      <c r="P74" s="35" t="str">
        <f t="array" ref="P74">IF($C74="","",IF(NOT(ISNUMBER(SEARCH(" ST "," "&amp;SUBSTITUTE($D74,"/"," ")&amp;" "))),"",IFERROR(SUMPRODUCT('Player Grading'!$E16:$AF16,$C$113:$AD$113)/SUMPRODUCT(($C$113:$AD$113)*('Player Grading'!$E16:$AF16&lt;&gt;"")),"")))</f>
        <v/>
      </c>
      <c r="Q74" s="32"/>
      <c r="R74" s="35" t="str">
        <f t="shared" si="8"/>
        <v/>
      </c>
      <c r="S74" s="35" t="str">
        <f t="shared" si="9"/>
        <v/>
      </c>
      <c r="T74" s="35" t="str">
        <f t="shared" si="10"/>
        <v/>
      </c>
      <c r="U74" s="35">
        <f t="shared" si="11"/>
        <v>13.133333333333333</v>
      </c>
      <c r="V74" s="35" t="str">
        <f t="shared" si="12"/>
        <v/>
      </c>
      <c r="W74" s="35" t="str">
        <f t="shared" si="13"/>
        <v/>
      </c>
      <c r="X74" s="35" t="str">
        <f t="shared" si="14"/>
        <v/>
      </c>
      <c r="Y74" s="35" t="str">
        <f t="shared" si="15"/>
        <v/>
      </c>
      <c r="Z74" s="35">
        <f t="shared" si="16"/>
        <v>12.844444444444445</v>
      </c>
      <c r="AA74" s="35" t="str">
        <f t="shared" si="17"/>
        <v/>
      </c>
      <c r="AB74" s="100">
        <f>IF($C74="","",IF(OR(N(Attendance!$GB15)&gt;0,N(Attendance!$GF15)&gt;0),IFERROR(Attendance!$GN15,""),IFERROR(INDEX(Workings!$AT$6:$AT$25,MATCH($C74,Workings!$AO$6:$AO$25,0)),"")))</f>
        <v>0.76666666666666661</v>
      </c>
      <c r="AC74" s="231">
        <f>IF($C74="","",IFERROR('Player Grading'!$AL16,""))</f>
        <v>12.22037037037037</v>
      </c>
      <c r="AD74" t="str">
        <f>IF($C74="","",IF(OR(N(Attendance!$GB15)&gt;0,N(Attendance!$GF15)&gt;0),"In-season",IF(ISNUMBER($AB74),"Pre-season","None")))</f>
        <v>In-season</v>
      </c>
      <c r="AF74" t="str">
        <f t="shared" si="18"/>
        <v/>
      </c>
      <c r="AG74" t="str">
        <f t="shared" si="19"/>
        <v/>
      </c>
      <c r="AH74" t="str">
        <f t="shared" si="20"/>
        <v/>
      </c>
      <c r="AI74" t="str">
        <f t="shared" si="21"/>
        <v/>
      </c>
      <c r="AJ74" t="str">
        <f t="shared" si="22"/>
        <v/>
      </c>
      <c r="AK74">
        <f t="shared" si="23"/>
        <v>13.133333333333333</v>
      </c>
      <c r="AL74" t="str">
        <f t="shared" si="24"/>
        <v/>
      </c>
      <c r="AM74" t="str">
        <f t="shared" si="25"/>
        <v/>
      </c>
      <c r="AN74" t="str">
        <f t="shared" si="26"/>
        <v/>
      </c>
      <c r="AO74" t="str">
        <f t="shared" si="27"/>
        <v/>
      </c>
      <c r="AP74" t="str">
        <f t="shared" si="28"/>
        <v/>
      </c>
      <c r="AR74" t="str">
        <f t="shared" si="29"/>
        <v/>
      </c>
      <c r="AS74" t="str">
        <f t="shared" si="30"/>
        <v/>
      </c>
      <c r="AT74" t="str">
        <f t="shared" si="31"/>
        <v/>
      </c>
      <c r="AU74" t="str">
        <f t="shared" si="32"/>
        <v/>
      </c>
      <c r="AV74">
        <f t="shared" si="33"/>
        <v>13.133333333333333</v>
      </c>
      <c r="AW74" t="str">
        <f t="shared" si="34"/>
        <v/>
      </c>
      <c r="AX74" t="str">
        <f t="shared" si="35"/>
        <v/>
      </c>
      <c r="AY74" t="str">
        <f t="shared" si="36"/>
        <v/>
      </c>
      <c r="AZ74" t="str">
        <f t="shared" si="37"/>
        <v/>
      </c>
      <c r="BA74" t="str">
        <f t="shared" si="38"/>
        <v/>
      </c>
      <c r="BB74" t="str">
        <f t="shared" si="39"/>
        <v/>
      </c>
    </row>
    <row r="75" spans="2:54" hidden="1" outlineLevel="1" x14ac:dyDescent="0.45">
      <c r="B75" s="232">
        <f>IF($C75="","",Attendance!$C16)</f>
        <v>12</v>
      </c>
      <c r="C75" s="233" t="str">
        <f>IF(Attendance!$D16="","",Attendance!$D16)</f>
        <v>Emma Kelly</v>
      </c>
      <c r="D75" s="234" t="str">
        <f>IF($C75="","",'Player Grading'!$D17)</f>
        <v>CB</v>
      </c>
      <c r="E75" s="234" t="str">
        <f>IF($C75="","",IF($E129="",IF(Attendance!$GP16="","Yes",Attendance!$GP16),IF($E129="Available","Yes","No")))</f>
        <v>Yes</v>
      </c>
      <c r="F75" s="235" t="str">
        <f>IF($C75="","",IF($E129="",Attendance!$GQ16&amp;"",IF($E129="Available","",$E129&amp;IF($F129="",""," - "&amp;$F129)&amp;IF($I129="",""," (back "&amp;TEXT($I129,"d mmm")&amp;")"))))</f>
        <v/>
      </c>
      <c r="G75" s="109" t="str">
        <f t="array" ref="G75">IF($C75="","",IF(NOT(ISNUMBER(SEARCH(" GK "," "&amp;SUBSTITUTE($D75,"/"," ")&amp;" "))),"",IFERROR(SUMPRODUCT('Player Grading'!$E17:$AF17,$C$104:$AD$104)/SUMPRODUCT(($C$104:$AD$104)*('Player Grading'!$E17:$AF17&lt;&gt;"")),"")))</f>
        <v/>
      </c>
      <c r="H75" s="109" t="str">
        <f t="array" ref="H75">IF($C75="","",IF(NOT(ISNUMBER(SEARCH(" RB "," "&amp;SUBSTITUTE($D75,"/"," ")&amp;" "))),"",IFERROR(SUMPRODUCT('Player Grading'!$E17:$AF17,$C$105:$AD$105)/SUMPRODUCT(($C$105:$AD$105)*('Player Grading'!$E17:$AF17&lt;&gt;"")),"")))</f>
        <v/>
      </c>
      <c r="I75" s="109">
        <f t="array" ref="I75">IF($C75="","",IF(NOT(ISNUMBER(SEARCH(" CB "," "&amp;SUBSTITUTE($D75,"/"," ")&amp;" "))),"",IFERROR(SUMPRODUCT('Player Grading'!$E17:$AF17,$C$106:$AD$106)/SUMPRODUCT(($C$106:$AD$106)*('Player Grading'!$E17:$AF17&lt;&gt;"")),"")))</f>
        <v>15.707317073170731</v>
      </c>
      <c r="J75" s="109" t="str">
        <f t="array" ref="J75">IF($C75="","",IF(NOT(ISNUMBER(SEARCH(" LB "," "&amp;SUBSTITUTE($D75,"/"," ")&amp;" "))),"",IFERROR(SUMPRODUCT('Player Grading'!$E17:$AF17,$C$107:$AD$107)/SUMPRODUCT(($C$107:$AD$107)*('Player Grading'!$E17:$AF17&lt;&gt;"")),"")))</f>
        <v/>
      </c>
      <c r="K75" s="109" t="str">
        <f t="array" ref="K75">IF($C75="","",IF(NOT(ISNUMBER(SEARCH(" DM "," "&amp;SUBSTITUTE($D75,"/"," ")&amp;" "))),"",IFERROR(SUMPRODUCT('Player Grading'!$E17:$AF17,$C$108:$AD$108)/SUMPRODUCT(($C$108:$AD$108)*('Player Grading'!$E17:$AF17&lt;&gt;"")),"")))</f>
        <v/>
      </c>
      <c r="L75" s="109" t="str">
        <f t="array" ref="L75">IF($C75="","",IF(NOT(ISNUMBER(SEARCH(" CM "," "&amp;SUBSTITUTE($D75,"/"," ")&amp;" "))),"",IFERROR(SUMPRODUCT('Player Grading'!$E17:$AF17,$C$109:$AD$109)/SUMPRODUCT(($C$109:$AD$109)*('Player Grading'!$E17:$AF17&lt;&gt;"")),"")))</f>
        <v/>
      </c>
      <c r="M75" s="109" t="str">
        <f t="array" ref="M75">IF($C75="","",IF(NOT(ISNUMBER(SEARCH(" ACM "," "&amp;SUBSTITUTE($D75,"/"," ")&amp;" "))),"",IFERROR(SUMPRODUCT('Player Grading'!$E17:$AF17,$C$110:$AD$110)/SUMPRODUCT(($C$110:$AD$110)*('Player Grading'!$E17:$AF17&lt;&gt;"")),"")))</f>
        <v/>
      </c>
      <c r="N75" s="109" t="str">
        <f t="array" ref="N75">IF($C75="","",IF(NOT(ISNUMBER(SEARCH(" RW "," "&amp;SUBSTITUTE($D75,"/"," ")&amp;" "))),"",IFERROR(SUMPRODUCT('Player Grading'!$E17:$AF17,$C$111:$AD$111)/SUMPRODUCT(($C$111:$AD$111)*('Player Grading'!$E17:$AF17&lt;&gt;"")),"")))</f>
        <v/>
      </c>
      <c r="O75" s="109" t="str">
        <f t="array" ref="O75">IF($C75="","",IF(NOT(ISNUMBER(SEARCH(" LW "," "&amp;SUBSTITUTE($D75,"/"," ")&amp;" "))),"",IFERROR(SUMPRODUCT('Player Grading'!$E17:$AF17,$C$112:$AD$112)/SUMPRODUCT(($C$112:$AD$112)*('Player Grading'!$E17:$AF17&lt;&gt;"")),"")))</f>
        <v/>
      </c>
      <c r="P75" s="109" t="str">
        <f t="array" ref="P75">IF($C75="","",IF(NOT(ISNUMBER(SEARCH(" ST "," "&amp;SUBSTITUTE($D75,"/"," ")&amp;" "))),"",IFERROR(SUMPRODUCT('Player Grading'!$E17:$AF17,$C$113:$AD$113)/SUMPRODUCT(($C$113:$AD$113)*('Player Grading'!$E17:$AF17&lt;&gt;"")),"")))</f>
        <v/>
      </c>
      <c r="Q75" s="234"/>
      <c r="R75" s="109" t="str">
        <f t="shared" si="8"/>
        <v/>
      </c>
      <c r="S75" s="109" t="str">
        <f t="shared" si="9"/>
        <v/>
      </c>
      <c r="T75" s="109">
        <f t="shared" si="10"/>
        <v>15.918428184281842</v>
      </c>
      <c r="U75" s="109" t="str">
        <f t="shared" si="11"/>
        <v/>
      </c>
      <c r="V75" s="109" t="str">
        <f t="shared" si="12"/>
        <v/>
      </c>
      <c r="W75" s="109" t="str">
        <f t="shared" si="13"/>
        <v/>
      </c>
      <c r="X75" s="109" t="str">
        <f t="shared" si="14"/>
        <v/>
      </c>
      <c r="Y75" s="109" t="str">
        <f t="shared" si="15"/>
        <v/>
      </c>
      <c r="Z75" s="109" t="str">
        <f t="shared" si="16"/>
        <v/>
      </c>
      <c r="AA75" s="109" t="str">
        <f t="shared" si="17"/>
        <v/>
      </c>
      <c r="AB75" s="108">
        <f>IF($C75="","",IF(OR(N(Attendance!$GB16)&gt;0,N(Attendance!$GF16)&gt;0),IFERROR(Attendance!$GN16,""),IFERROR(INDEX(Workings!$AT$6:$AT$25,MATCH($C75,Workings!$AO$6:$AO$25,0)),"")))</f>
        <v>0.60555555555555551</v>
      </c>
      <c r="AC75" s="236">
        <f>IF($C75="","",IFERROR('Player Grading'!$AL17,""))</f>
        <v>13.725925925925926</v>
      </c>
      <c r="AD75" t="str">
        <f>IF($C75="","",IF(OR(N(Attendance!$GB16)&gt;0,N(Attendance!$GF16)&gt;0),"In-season",IF(ISNUMBER($AB75),"Pre-season","None")))</f>
        <v>In-season</v>
      </c>
      <c r="AF75" t="str">
        <f t="shared" si="18"/>
        <v/>
      </c>
      <c r="AG75" t="str">
        <f t="shared" si="19"/>
        <v/>
      </c>
      <c r="AH75" t="str">
        <f t="shared" si="20"/>
        <v/>
      </c>
      <c r="AI75" t="str">
        <f t="shared" si="21"/>
        <v/>
      </c>
      <c r="AJ75" t="str">
        <f t="shared" si="22"/>
        <v/>
      </c>
      <c r="AK75" t="str">
        <f t="shared" si="23"/>
        <v/>
      </c>
      <c r="AL75" t="str">
        <f t="shared" si="24"/>
        <v/>
      </c>
      <c r="AM75" t="str">
        <f t="shared" si="25"/>
        <v/>
      </c>
      <c r="AN75" t="str">
        <f t="shared" si="26"/>
        <v/>
      </c>
      <c r="AO75" t="str">
        <f t="shared" si="27"/>
        <v/>
      </c>
      <c r="AP75" t="str">
        <f t="shared" si="28"/>
        <v/>
      </c>
      <c r="AR75" t="str">
        <f t="shared" si="29"/>
        <v/>
      </c>
      <c r="AS75" t="str">
        <f t="shared" si="30"/>
        <v/>
      </c>
      <c r="AT75">
        <f t="shared" si="31"/>
        <v>15.918428184281842</v>
      </c>
      <c r="AU75" t="str">
        <f t="shared" si="32"/>
        <v/>
      </c>
      <c r="AV75" t="str">
        <f t="shared" si="33"/>
        <v/>
      </c>
      <c r="AW75" t="str">
        <f t="shared" si="34"/>
        <v/>
      </c>
      <c r="AX75" t="str">
        <f t="shared" si="35"/>
        <v/>
      </c>
      <c r="AY75" t="str">
        <f t="shared" si="36"/>
        <v/>
      </c>
      <c r="AZ75" t="str">
        <f t="shared" si="37"/>
        <v/>
      </c>
      <c r="BA75" t="str">
        <f t="shared" si="38"/>
        <v/>
      </c>
      <c r="BB75" t="str">
        <f t="shared" si="39"/>
        <v/>
      </c>
    </row>
    <row r="76" spans="2:54" hidden="1" outlineLevel="1" x14ac:dyDescent="0.45">
      <c r="B76" s="228">
        <f>IF($C76="","",Attendance!$C17)</f>
        <v>13</v>
      </c>
      <c r="C76" s="229" t="str">
        <f>IF(Attendance!$D17="","",Attendance!$D17)</f>
        <v>Roma Memon</v>
      </c>
      <c r="D76" s="32" t="str">
        <f>IF($C76="","",'Player Grading'!$D18)</f>
        <v>DM / CM</v>
      </c>
      <c r="E76" s="32" t="str">
        <f>IF($C76="","",IF($E130="",IF(Attendance!$GP17="","Yes",Attendance!$GP17),IF($E130="Available","Yes","No")))</f>
        <v>Yes</v>
      </c>
      <c r="F76" s="230" t="str">
        <f>IF($C76="","",IF($E130="",Attendance!$GQ17&amp;"",IF($E130="Available","",$E130&amp;IF($F130="",""," - "&amp;$F130)&amp;IF($I130="",""," (back "&amp;TEXT($I130,"d mmm")&amp;")"))))</f>
        <v/>
      </c>
      <c r="G76" s="35" t="str">
        <f t="array" ref="G76">IF($C76="","",IF(NOT(ISNUMBER(SEARCH(" GK "," "&amp;SUBSTITUTE($D76,"/"," ")&amp;" "))),"",IFERROR(SUMPRODUCT('Player Grading'!$E18:$AF18,$C$104:$AD$104)/SUMPRODUCT(($C$104:$AD$104)*('Player Grading'!$E18:$AF18&lt;&gt;"")),"")))</f>
        <v/>
      </c>
      <c r="H76" s="35" t="str">
        <f t="array" ref="H76">IF($C76="","",IF(NOT(ISNUMBER(SEARCH(" RB "," "&amp;SUBSTITUTE($D76,"/"," ")&amp;" "))),"",IFERROR(SUMPRODUCT('Player Grading'!$E18:$AF18,$C$105:$AD$105)/SUMPRODUCT(($C$105:$AD$105)*('Player Grading'!$E18:$AF18&lt;&gt;"")),"")))</f>
        <v/>
      </c>
      <c r="I76" s="35" t="str">
        <f t="array" ref="I76">IF($C76="","",IF(NOT(ISNUMBER(SEARCH(" CB "," "&amp;SUBSTITUTE($D76,"/"," ")&amp;" "))),"",IFERROR(SUMPRODUCT('Player Grading'!$E18:$AF18,$C$106:$AD$106)/SUMPRODUCT(($C$106:$AD$106)*('Player Grading'!$E18:$AF18&lt;&gt;"")),"")))</f>
        <v/>
      </c>
      <c r="J76" s="35" t="str">
        <f t="array" ref="J76">IF($C76="","",IF(NOT(ISNUMBER(SEARCH(" LB "," "&amp;SUBSTITUTE($D76,"/"," ")&amp;" "))),"",IFERROR(SUMPRODUCT('Player Grading'!$E18:$AF18,$C$107:$AD$107)/SUMPRODUCT(($C$107:$AD$107)*('Player Grading'!$E18:$AF18&lt;&gt;"")),"")))</f>
        <v/>
      </c>
      <c r="K76" s="35">
        <f t="array" ref="K76">IF($C76="","",IF(NOT(ISNUMBER(SEARCH(" DM "," "&amp;SUBSTITUTE($D76,"/"," ")&amp;" "))),"",IFERROR(SUMPRODUCT('Player Grading'!$E18:$AF18,$C$108:$AD$108)/SUMPRODUCT(($C$108:$AD$108)*('Player Grading'!$E18:$AF18&lt;&gt;"")),"")))</f>
        <v>12.022222222222222</v>
      </c>
      <c r="L76" s="35">
        <f t="array" ref="L76">IF($C76="","",IF(NOT(ISNUMBER(SEARCH(" CM "," "&amp;SUBSTITUTE($D76,"/"," ")&amp;" "))),"",IFERROR(SUMPRODUCT('Player Grading'!$E18:$AF18,$C$109:$AD$109)/SUMPRODUCT(($C$109:$AD$109)*('Player Grading'!$E18:$AF18&lt;&gt;"")),"")))</f>
        <v>11.040816326530612</v>
      </c>
      <c r="M76" s="35" t="str">
        <f t="array" ref="M76">IF($C76="","",IF(NOT(ISNUMBER(SEARCH(" ACM "," "&amp;SUBSTITUTE($D76,"/"," ")&amp;" "))),"",IFERROR(SUMPRODUCT('Player Grading'!$E18:$AF18,$C$110:$AD$110)/SUMPRODUCT(($C$110:$AD$110)*('Player Grading'!$E18:$AF18&lt;&gt;"")),"")))</f>
        <v/>
      </c>
      <c r="N76" s="35" t="str">
        <f t="array" ref="N76">IF($C76="","",IF(NOT(ISNUMBER(SEARCH(" RW "," "&amp;SUBSTITUTE($D76,"/"," ")&amp;" "))),"",IFERROR(SUMPRODUCT('Player Grading'!$E18:$AF18,$C$111:$AD$111)/SUMPRODUCT(($C$111:$AD$111)*('Player Grading'!$E18:$AF18&lt;&gt;"")),"")))</f>
        <v/>
      </c>
      <c r="O76" s="35" t="str">
        <f t="array" ref="O76">IF($C76="","",IF(NOT(ISNUMBER(SEARCH(" LW "," "&amp;SUBSTITUTE($D76,"/"," ")&amp;" "))),"",IFERROR(SUMPRODUCT('Player Grading'!$E18:$AF18,$C$112:$AD$112)/SUMPRODUCT(($C$112:$AD$112)*('Player Grading'!$E18:$AF18&lt;&gt;"")),"")))</f>
        <v/>
      </c>
      <c r="P76" s="35" t="str">
        <f t="array" ref="P76">IF($C76="","",IF(NOT(ISNUMBER(SEARCH(" ST "," "&amp;SUBSTITUTE($D76,"/"," ")&amp;" "))),"",IFERROR(SUMPRODUCT('Player Grading'!$E18:$AF18,$C$113:$AD$113)/SUMPRODUCT(($C$113:$AD$113)*('Player Grading'!$E18:$AF18&lt;&gt;"")),"")))</f>
        <v/>
      </c>
      <c r="Q76" s="32"/>
      <c r="R76" s="35" t="str">
        <f t="shared" si="8"/>
        <v/>
      </c>
      <c r="S76" s="35" t="str">
        <f t="shared" si="9"/>
        <v/>
      </c>
      <c r="T76" s="35" t="str">
        <f t="shared" si="10"/>
        <v/>
      </c>
      <c r="U76" s="35" t="str">
        <f t="shared" si="11"/>
        <v/>
      </c>
      <c r="V76" s="35">
        <f t="shared" si="12"/>
        <v>12.277777777777779</v>
      </c>
      <c r="W76" s="35">
        <f t="shared" si="13"/>
        <v>11.296371882086166</v>
      </c>
      <c r="X76" s="35" t="str">
        <f t="shared" si="14"/>
        <v/>
      </c>
      <c r="Y76" s="35" t="str">
        <f t="shared" si="15"/>
        <v/>
      </c>
      <c r="Z76" s="35" t="str">
        <f t="shared" si="16"/>
        <v/>
      </c>
      <c r="AA76" s="35" t="str">
        <f t="shared" si="17"/>
        <v/>
      </c>
      <c r="AB76" s="100">
        <f>IF($C76="","",IF(OR(N(Attendance!$GB17)&gt;0,N(Attendance!$GF17)&gt;0),IFERROR(Attendance!$GN17,""),IFERROR(INDEX(Workings!$AT$6:$AT$25,MATCH($C76,Workings!$AO$6:$AO$25,0)),"")))</f>
        <v>0.62777777777777777</v>
      </c>
      <c r="AC76" s="231">
        <f>IF($C76="","",IFERROR('Player Grading'!$AL18,""))</f>
        <v>10.622222222222222</v>
      </c>
      <c r="AD76" t="str">
        <f>IF($C76="","",IF(OR(N(Attendance!$GB17)&gt;0,N(Attendance!$GF17)&gt;0),"In-season",IF(ISNUMBER($AB76),"Pre-season","None")))</f>
        <v>In-season</v>
      </c>
      <c r="AF76" t="str">
        <f t="shared" si="18"/>
        <v/>
      </c>
      <c r="AG76" t="str">
        <f t="shared" si="19"/>
        <v/>
      </c>
      <c r="AH76" t="str">
        <f t="shared" si="20"/>
        <v/>
      </c>
      <c r="AI76" t="str">
        <f t="shared" si="21"/>
        <v/>
      </c>
      <c r="AJ76" t="str">
        <f t="shared" si="22"/>
        <v/>
      </c>
      <c r="AK76" t="str">
        <f t="shared" si="23"/>
        <v/>
      </c>
      <c r="AL76">
        <f t="shared" si="24"/>
        <v>11.296371882086166</v>
      </c>
      <c r="AM76">
        <f t="shared" si="25"/>
        <v>11.296371882086166</v>
      </c>
      <c r="AN76">
        <f t="shared" si="26"/>
        <v>11.296371882086166</v>
      </c>
      <c r="AO76" t="str">
        <f t="shared" si="27"/>
        <v/>
      </c>
      <c r="AP76" t="str">
        <f t="shared" si="28"/>
        <v/>
      </c>
      <c r="AR76" t="str">
        <f t="shared" si="29"/>
        <v/>
      </c>
      <c r="AS76" t="str">
        <f t="shared" si="30"/>
        <v/>
      </c>
      <c r="AT76" t="str">
        <f t="shared" si="31"/>
        <v/>
      </c>
      <c r="AU76" t="str">
        <f t="shared" si="32"/>
        <v/>
      </c>
      <c r="AV76" t="str">
        <f t="shared" si="33"/>
        <v/>
      </c>
      <c r="AW76">
        <f t="shared" si="34"/>
        <v>12.277777777777779</v>
      </c>
      <c r="AX76">
        <f t="shared" si="35"/>
        <v>11.296371882086166</v>
      </c>
      <c r="AY76" t="str">
        <f t="shared" si="36"/>
        <v/>
      </c>
      <c r="AZ76" t="str">
        <f t="shared" si="37"/>
        <v/>
      </c>
      <c r="BA76" t="str">
        <f t="shared" si="38"/>
        <v/>
      </c>
      <c r="BB76" t="str">
        <f t="shared" si="39"/>
        <v/>
      </c>
    </row>
    <row r="77" spans="2:54" hidden="1" outlineLevel="1" x14ac:dyDescent="0.45">
      <c r="B77" s="232">
        <f>IF($C77="","",Attendance!$C18)</f>
        <v>14</v>
      </c>
      <c r="C77" s="233" t="str">
        <f>IF(Attendance!$D18="","",Attendance!$D18)</f>
        <v>Emma Dromgoole</v>
      </c>
      <c r="D77" s="234" t="str">
        <f>IF($C77="","",'Player Grading'!$D19)</f>
        <v>RW / ST</v>
      </c>
      <c r="E77" s="234" t="str">
        <f>IF($C77="","",IF($E131="",IF(Attendance!$GP18="","Yes",Attendance!$GP18),IF($E131="Available","Yes","No")))</f>
        <v>No</v>
      </c>
      <c r="F77" s="235" t="str">
        <f>IF($C77="","",IF($E131="",Attendance!$GQ18&amp;"",IF($E131="Available","",$E131&amp;IF($F131="",""," - "&amp;$F131)&amp;IF($I131="",""," (back "&amp;TEXT($I131,"d mmm")&amp;")"))))</f>
        <v>Injured - Knee injury  (back 28 Aug)</v>
      </c>
      <c r="G77" s="109" t="str">
        <f t="array" ref="G77">IF($C77="","",IF(NOT(ISNUMBER(SEARCH(" GK "," "&amp;SUBSTITUTE($D77,"/"," ")&amp;" "))),"",IFERROR(SUMPRODUCT('Player Grading'!$E19:$AF19,$C$104:$AD$104)/SUMPRODUCT(($C$104:$AD$104)*('Player Grading'!$E19:$AF19&lt;&gt;"")),"")))</f>
        <v/>
      </c>
      <c r="H77" s="109" t="str">
        <f t="array" ref="H77">IF($C77="","",IF(NOT(ISNUMBER(SEARCH(" RB "," "&amp;SUBSTITUTE($D77,"/"," ")&amp;" "))),"",IFERROR(SUMPRODUCT('Player Grading'!$E19:$AF19,$C$105:$AD$105)/SUMPRODUCT(($C$105:$AD$105)*('Player Grading'!$E19:$AF19&lt;&gt;"")),"")))</f>
        <v/>
      </c>
      <c r="I77" s="109" t="str">
        <f t="array" ref="I77">IF($C77="","",IF(NOT(ISNUMBER(SEARCH(" CB "," "&amp;SUBSTITUTE($D77,"/"," ")&amp;" "))),"",IFERROR(SUMPRODUCT('Player Grading'!$E19:$AF19,$C$106:$AD$106)/SUMPRODUCT(($C$106:$AD$106)*('Player Grading'!$E19:$AF19&lt;&gt;"")),"")))</f>
        <v/>
      </c>
      <c r="J77" s="109" t="str">
        <f t="array" ref="J77">IF($C77="","",IF(NOT(ISNUMBER(SEARCH(" LB "," "&amp;SUBSTITUTE($D77,"/"," ")&amp;" "))),"",IFERROR(SUMPRODUCT('Player Grading'!$E19:$AF19,$C$107:$AD$107)/SUMPRODUCT(($C$107:$AD$107)*('Player Grading'!$E19:$AF19&lt;&gt;"")),"")))</f>
        <v/>
      </c>
      <c r="K77" s="109" t="str">
        <f t="array" ref="K77">IF($C77="","",IF(NOT(ISNUMBER(SEARCH(" DM "," "&amp;SUBSTITUTE($D77,"/"," ")&amp;" "))),"",IFERROR(SUMPRODUCT('Player Grading'!$E19:$AF19,$C$108:$AD$108)/SUMPRODUCT(($C$108:$AD$108)*('Player Grading'!$E19:$AF19&lt;&gt;"")),"")))</f>
        <v/>
      </c>
      <c r="L77" s="109" t="str">
        <f t="array" ref="L77">IF($C77="","",IF(NOT(ISNUMBER(SEARCH(" CM "," "&amp;SUBSTITUTE($D77,"/"," ")&amp;" "))),"",IFERROR(SUMPRODUCT('Player Grading'!$E19:$AF19,$C$109:$AD$109)/SUMPRODUCT(($C$109:$AD$109)*('Player Grading'!$E19:$AF19&lt;&gt;"")),"")))</f>
        <v/>
      </c>
      <c r="M77" s="109" t="str">
        <f t="array" ref="M77">IF($C77="","",IF(NOT(ISNUMBER(SEARCH(" ACM "," "&amp;SUBSTITUTE($D77,"/"," ")&amp;" "))),"",IFERROR(SUMPRODUCT('Player Grading'!$E19:$AF19,$C$110:$AD$110)/SUMPRODUCT(($C$110:$AD$110)*('Player Grading'!$E19:$AF19&lt;&gt;"")),"")))</f>
        <v/>
      </c>
      <c r="N77" s="109">
        <f t="array" ref="N77">IF($C77="","",IF(NOT(ISNUMBER(SEARCH(" RW "," "&amp;SUBSTITUTE($D77,"/"," ")&amp;" "))),"",IFERROR(SUMPRODUCT('Player Grading'!$E19:$AF19,$C$111:$AD$111)/SUMPRODUCT(($C$111:$AD$111)*('Player Grading'!$E19:$AF19&lt;&gt;"")),"")))</f>
        <v>9.9777777777777779</v>
      </c>
      <c r="O77" s="109" t="str">
        <f t="array" ref="O77">IF($C77="","",IF(NOT(ISNUMBER(SEARCH(" LW "," "&amp;SUBSTITUTE($D77,"/"," ")&amp;" "))),"",IFERROR(SUMPRODUCT('Player Grading'!$E19:$AF19,$C$112:$AD$112)/SUMPRODUCT(($C$112:$AD$112)*('Player Grading'!$E19:$AF19&lt;&gt;"")),"")))</f>
        <v/>
      </c>
      <c r="P77" s="109">
        <f t="array" ref="P77">IF($C77="","",IF(NOT(ISNUMBER(SEARCH(" ST "," "&amp;SUBSTITUTE($D77,"/"," ")&amp;" "))),"",IFERROR(SUMPRODUCT('Player Grading'!$E19:$AF19,$C$113:$AD$113)/SUMPRODUCT(($C$113:$AD$113)*('Player Grading'!$E19:$AF19&lt;&gt;"")),"")))</f>
        <v>10</v>
      </c>
      <c r="Q77" s="234"/>
      <c r="R77" s="109" t="str">
        <f t="shared" si="8"/>
        <v/>
      </c>
      <c r="S77" s="109" t="str">
        <f t="shared" si="9"/>
        <v/>
      </c>
      <c r="T77" s="109" t="str">
        <f t="shared" si="10"/>
        <v/>
      </c>
      <c r="U77" s="109" t="str">
        <f t="shared" si="11"/>
        <v/>
      </c>
      <c r="V77" s="109" t="str">
        <f t="shared" si="12"/>
        <v/>
      </c>
      <c r="W77" s="109" t="str">
        <f t="shared" si="13"/>
        <v/>
      </c>
      <c r="X77" s="109" t="str">
        <f t="shared" si="14"/>
        <v/>
      </c>
      <c r="Y77" s="109">
        <f t="shared" si="15"/>
        <v>10.511111111111111</v>
      </c>
      <c r="Z77" s="109" t="str">
        <f t="shared" si="16"/>
        <v/>
      </c>
      <c r="AA77" s="109">
        <f t="shared" si="17"/>
        <v>10.533333333333333</v>
      </c>
      <c r="AB77" s="108">
        <f>IF($C77="","",IF(OR(N(Attendance!$GB18)&gt;0,N(Attendance!$GF18)&gt;0),IFERROR(Attendance!$GN18,""),IFERROR(INDEX(Workings!$AT$6:$AT$25,MATCH($C77,Workings!$AO$6:$AO$25,0)),"")))</f>
        <v>0.76666666666666661</v>
      </c>
      <c r="AC77" s="236">
        <f>IF($C77="","",IFERROR('Player Grading'!$AL19,""))</f>
        <v>9.6620370370370363</v>
      </c>
      <c r="AD77" t="str">
        <f>IF($C77="","",IF(OR(N(Attendance!$GB18)&gt;0,N(Attendance!$GF18)&gt;0),"In-season",IF(ISNUMBER($AB77),"Pre-season","None")))</f>
        <v>In-season</v>
      </c>
      <c r="AF77" t="str">
        <f t="shared" si="18"/>
        <v/>
      </c>
      <c r="AG77" t="str">
        <f t="shared" si="19"/>
        <v/>
      </c>
      <c r="AH77" t="str">
        <f t="shared" si="20"/>
        <v/>
      </c>
      <c r="AI77" t="str">
        <f t="shared" si="21"/>
        <v/>
      </c>
      <c r="AJ77" t="str">
        <f t="shared" si="22"/>
        <v/>
      </c>
      <c r="AK77" t="str">
        <f t="shared" si="23"/>
        <v/>
      </c>
      <c r="AL77" t="str">
        <f t="shared" si="24"/>
        <v/>
      </c>
      <c r="AM77" t="str">
        <f t="shared" si="25"/>
        <v/>
      </c>
      <c r="AN77" t="str">
        <f t="shared" si="26"/>
        <v/>
      </c>
      <c r="AO77" t="str">
        <f t="shared" si="27"/>
        <v/>
      </c>
      <c r="AP77" t="str">
        <f t="shared" si="28"/>
        <v/>
      </c>
      <c r="AR77" t="str">
        <f t="shared" si="29"/>
        <v/>
      </c>
      <c r="AS77" t="str">
        <f t="shared" si="30"/>
        <v/>
      </c>
      <c r="AT77" t="str">
        <f t="shared" si="31"/>
        <v/>
      </c>
      <c r="AU77" t="str">
        <f t="shared" si="32"/>
        <v/>
      </c>
      <c r="AV77" t="str">
        <f t="shared" si="33"/>
        <v/>
      </c>
      <c r="AW77" t="str">
        <f t="shared" si="34"/>
        <v/>
      </c>
      <c r="AX77" t="str">
        <f t="shared" si="35"/>
        <v/>
      </c>
      <c r="AY77" t="str">
        <f t="shared" si="36"/>
        <v/>
      </c>
      <c r="AZ77" t="str">
        <f t="shared" si="37"/>
        <v/>
      </c>
      <c r="BA77" t="str">
        <f t="shared" si="38"/>
        <v/>
      </c>
      <c r="BB77" t="str">
        <f t="shared" si="39"/>
        <v/>
      </c>
    </row>
    <row r="78" spans="2:54" hidden="1" outlineLevel="1" x14ac:dyDescent="0.45">
      <c r="B78" s="228">
        <f>IF($C78="","",Attendance!$C19)</f>
        <v>15</v>
      </c>
      <c r="C78" s="229" t="str">
        <f>IF(Attendance!$D19="","",Attendance!$D19)</f>
        <v>Elsie Morrison</v>
      </c>
      <c r="D78" s="32" t="str">
        <f>IF($C78="","",'Player Grading'!$D20)</f>
        <v>LW / ST / GK</v>
      </c>
      <c r="E78" s="32" t="str">
        <f>IF($C78="","",IF($E132="",IF(Attendance!$GP19="","Yes",Attendance!$GP19),IF($E132="Available","Yes","No")))</f>
        <v>Yes</v>
      </c>
      <c r="F78" s="230" t="str">
        <f>IF($C78="","",IF($E132="",Attendance!$GQ19&amp;"",IF($E132="Available","",$E132&amp;IF($F132="",""," - "&amp;$F132)&amp;IF($I132="",""," (back "&amp;TEXT($I132,"d mmm")&amp;")"))))</f>
        <v/>
      </c>
      <c r="G78" s="35">
        <f t="array" ref="G78">IF($C78="","",IF(NOT(ISNUMBER(SEARCH(" GK "," "&amp;SUBSTITUTE($D78,"/"," ")&amp;" "))),"",IFERROR(SUMPRODUCT('Player Grading'!$E20:$AF20,$C$104:$AD$104)/SUMPRODUCT(($C$104:$AD$104)*('Player Grading'!$E20:$AF20&lt;&gt;"")),"")))</f>
        <v>10.409090909090908</v>
      </c>
      <c r="H78" s="35" t="str">
        <f t="array" ref="H78">IF($C78="","",IF(NOT(ISNUMBER(SEARCH(" RB "," "&amp;SUBSTITUTE($D78,"/"," ")&amp;" "))),"",IFERROR(SUMPRODUCT('Player Grading'!$E20:$AF20,$C$105:$AD$105)/SUMPRODUCT(($C$105:$AD$105)*('Player Grading'!$E20:$AF20&lt;&gt;"")),"")))</f>
        <v/>
      </c>
      <c r="I78" s="35" t="str">
        <f t="array" ref="I78">IF($C78="","",IF(NOT(ISNUMBER(SEARCH(" CB "," "&amp;SUBSTITUTE($D78,"/"," ")&amp;" "))),"",IFERROR(SUMPRODUCT('Player Grading'!$E20:$AF20,$C$106:$AD$106)/SUMPRODUCT(($C$106:$AD$106)*('Player Grading'!$E20:$AF20&lt;&gt;"")),"")))</f>
        <v/>
      </c>
      <c r="J78" s="35" t="str">
        <f t="array" ref="J78">IF($C78="","",IF(NOT(ISNUMBER(SEARCH(" LB "," "&amp;SUBSTITUTE($D78,"/"," ")&amp;" "))),"",IFERROR(SUMPRODUCT('Player Grading'!$E20:$AF20,$C$107:$AD$107)/SUMPRODUCT(($C$107:$AD$107)*('Player Grading'!$E20:$AF20&lt;&gt;"")),"")))</f>
        <v/>
      </c>
      <c r="K78" s="35" t="str">
        <f t="array" ref="K78">IF($C78="","",IF(NOT(ISNUMBER(SEARCH(" DM "," "&amp;SUBSTITUTE($D78,"/"," ")&amp;" "))),"",IFERROR(SUMPRODUCT('Player Grading'!$E20:$AF20,$C$108:$AD$108)/SUMPRODUCT(($C$108:$AD$108)*('Player Grading'!$E20:$AF20&lt;&gt;"")),"")))</f>
        <v/>
      </c>
      <c r="L78" s="35" t="str">
        <f t="array" ref="L78">IF($C78="","",IF(NOT(ISNUMBER(SEARCH(" CM "," "&amp;SUBSTITUTE($D78,"/"," ")&amp;" "))),"",IFERROR(SUMPRODUCT('Player Grading'!$E20:$AF20,$C$109:$AD$109)/SUMPRODUCT(($C$109:$AD$109)*('Player Grading'!$E20:$AF20&lt;&gt;"")),"")))</f>
        <v/>
      </c>
      <c r="M78" s="35" t="str">
        <f t="array" ref="M78">IF($C78="","",IF(NOT(ISNUMBER(SEARCH(" ACM "," "&amp;SUBSTITUTE($D78,"/"," ")&amp;" "))),"",IFERROR(SUMPRODUCT('Player Grading'!$E20:$AF20,$C$110:$AD$110)/SUMPRODUCT(($C$110:$AD$110)*('Player Grading'!$E20:$AF20&lt;&gt;"")),"")))</f>
        <v/>
      </c>
      <c r="N78" s="35" t="str">
        <f t="array" ref="N78">IF($C78="","",IF(NOT(ISNUMBER(SEARCH(" RW "," "&amp;SUBSTITUTE($D78,"/"," ")&amp;" "))),"",IFERROR(SUMPRODUCT('Player Grading'!$E20:$AF20,$C$111:$AD$111)/SUMPRODUCT(($C$111:$AD$111)*('Player Grading'!$E20:$AF20&lt;&gt;"")),"")))</f>
        <v/>
      </c>
      <c r="O78" s="35">
        <f t="array" ref="O78">IF($C78="","",IF(NOT(ISNUMBER(SEARCH(" LW "," "&amp;SUBSTITUTE($D78,"/"," ")&amp;" "))),"",IFERROR(SUMPRODUCT('Player Grading'!$E20:$AF20,$C$112:$AD$112)/SUMPRODUCT(($C$112:$AD$112)*('Player Grading'!$E20:$AF20&lt;&gt;"")),"")))</f>
        <v>11.6</v>
      </c>
      <c r="P78" s="35">
        <f t="array" ref="P78">IF($C78="","",IF(NOT(ISNUMBER(SEARCH(" ST "," "&amp;SUBSTITUTE($D78,"/"," ")&amp;" "))),"",IFERROR(SUMPRODUCT('Player Grading'!$E20:$AF20,$C$113:$AD$113)/SUMPRODUCT(($C$113:$AD$113)*('Player Grading'!$E20:$AF20&lt;&gt;"")),"")))</f>
        <v>11.28</v>
      </c>
      <c r="Q78" s="32"/>
      <c r="R78" s="35">
        <f t="shared" si="8"/>
        <v>10.942424242424241</v>
      </c>
      <c r="S78" s="35" t="str">
        <f t="shared" si="9"/>
        <v/>
      </c>
      <c r="T78" s="35" t="str">
        <f t="shared" si="10"/>
        <v/>
      </c>
      <c r="U78" s="35" t="str">
        <f t="shared" si="11"/>
        <v/>
      </c>
      <c r="V78" s="35" t="str">
        <f t="shared" si="12"/>
        <v/>
      </c>
      <c r="W78" s="35" t="str">
        <f t="shared" si="13"/>
        <v/>
      </c>
      <c r="X78" s="35" t="str">
        <f t="shared" si="14"/>
        <v/>
      </c>
      <c r="Y78" s="35" t="str">
        <f t="shared" si="15"/>
        <v/>
      </c>
      <c r="Z78" s="35">
        <f t="shared" si="16"/>
        <v>12.133333333333333</v>
      </c>
      <c r="AA78" s="35">
        <f t="shared" si="17"/>
        <v>11.813333333333333</v>
      </c>
      <c r="AB78" s="100">
        <f>IF($C78="","",IF(OR(N(Attendance!$GB19)&gt;0,N(Attendance!$GF19)&gt;0),IFERROR(Attendance!$GN19,""),IFERROR(INDEX(Workings!$AT$6:$AT$25,MATCH($C78,Workings!$AO$6:$AO$25,0)),"")))</f>
        <v>0.76666666666666661</v>
      </c>
      <c r="AC78" s="231">
        <f>IF($C78="","",IFERROR('Player Grading'!$AL20,""))</f>
        <v>10.508333333333331</v>
      </c>
      <c r="AD78" t="str">
        <f>IF($C78="","",IF(OR(N(Attendance!$GB19)&gt;0,N(Attendance!$GF19)&gt;0),"In-season",IF(ISNUMBER($AB78),"Pre-season","None")))</f>
        <v>In-season</v>
      </c>
      <c r="AF78">
        <f t="shared" si="18"/>
        <v>10.942424242424241</v>
      </c>
      <c r="AG78" t="str">
        <f t="shared" si="19"/>
        <v/>
      </c>
      <c r="AH78" t="str">
        <f t="shared" si="20"/>
        <v/>
      </c>
      <c r="AI78" t="str">
        <f t="shared" si="21"/>
        <v/>
      </c>
      <c r="AJ78" t="str">
        <f t="shared" si="22"/>
        <v/>
      </c>
      <c r="AK78" t="str">
        <f t="shared" si="23"/>
        <v/>
      </c>
      <c r="AL78" t="str">
        <f t="shared" si="24"/>
        <v/>
      </c>
      <c r="AM78" t="str">
        <f t="shared" si="25"/>
        <v/>
      </c>
      <c r="AN78" t="str">
        <f t="shared" si="26"/>
        <v/>
      </c>
      <c r="AO78" t="str">
        <f t="shared" si="27"/>
        <v/>
      </c>
      <c r="AP78" t="str">
        <f t="shared" si="28"/>
        <v/>
      </c>
      <c r="AR78">
        <f t="shared" si="29"/>
        <v>10.942424242424241</v>
      </c>
      <c r="AS78" t="str">
        <f t="shared" si="30"/>
        <v/>
      </c>
      <c r="AT78" t="str">
        <f t="shared" si="31"/>
        <v/>
      </c>
      <c r="AU78" t="str">
        <f t="shared" si="32"/>
        <v/>
      </c>
      <c r="AV78" t="str">
        <f t="shared" si="33"/>
        <v/>
      </c>
      <c r="AW78" t="str">
        <f t="shared" si="34"/>
        <v/>
      </c>
      <c r="AX78" t="str">
        <f t="shared" si="35"/>
        <v/>
      </c>
      <c r="AY78" t="str">
        <f t="shared" si="36"/>
        <v/>
      </c>
      <c r="AZ78" t="str">
        <f t="shared" si="37"/>
        <v/>
      </c>
      <c r="BA78" t="str">
        <f t="shared" si="38"/>
        <v/>
      </c>
      <c r="BB78" t="str">
        <f t="shared" si="39"/>
        <v/>
      </c>
    </row>
    <row r="79" spans="2:54" hidden="1" outlineLevel="1" x14ac:dyDescent="0.45">
      <c r="B79" s="232">
        <f>IF($C79="","",Attendance!$C20)</f>
        <v>16</v>
      </c>
      <c r="C79" s="233" t="str">
        <f>IF(Attendance!$D20="","",Attendance!$D20)</f>
        <v>Zara Freeman</v>
      </c>
      <c r="D79" s="234" t="str">
        <f>IF($C79="","",'Player Grading'!$D21)</f>
        <v xml:space="preserve">ST </v>
      </c>
      <c r="E79" s="234" t="str">
        <f>IF($C79="","",IF($E133="",IF(Attendance!$GP20="","Yes",Attendance!$GP20),IF($E133="Available","Yes","No")))</f>
        <v>Yes</v>
      </c>
      <c r="F79" s="235" t="str">
        <f>IF($C79="","",IF($E133="",Attendance!$GQ20&amp;"",IF($E133="Available","",$E133&amp;IF($F133="",""," - "&amp;$F133)&amp;IF($I133="",""," (back "&amp;TEXT($I133,"d mmm")&amp;")"))))</f>
        <v/>
      </c>
      <c r="G79" s="109" t="str">
        <f t="array" ref="G79">IF($C79="","",IF(NOT(ISNUMBER(SEARCH(" GK "," "&amp;SUBSTITUTE($D79,"/"," ")&amp;" "))),"",IFERROR(SUMPRODUCT('Player Grading'!$E21:$AF21,$C$104:$AD$104)/SUMPRODUCT(($C$104:$AD$104)*('Player Grading'!$E21:$AF21&lt;&gt;"")),"")))</f>
        <v/>
      </c>
      <c r="H79" s="109" t="str">
        <f t="array" ref="H79">IF($C79="","",IF(NOT(ISNUMBER(SEARCH(" RB "," "&amp;SUBSTITUTE($D79,"/"," ")&amp;" "))),"",IFERROR(SUMPRODUCT('Player Grading'!$E21:$AF21,$C$105:$AD$105)/SUMPRODUCT(($C$105:$AD$105)*('Player Grading'!$E21:$AF21&lt;&gt;"")),"")))</f>
        <v/>
      </c>
      <c r="I79" s="109" t="str">
        <f t="array" ref="I79">IF($C79="","",IF(NOT(ISNUMBER(SEARCH(" CB "," "&amp;SUBSTITUTE($D79,"/"," ")&amp;" "))),"",IFERROR(SUMPRODUCT('Player Grading'!$E21:$AF21,$C$106:$AD$106)/SUMPRODUCT(($C$106:$AD$106)*('Player Grading'!$E21:$AF21&lt;&gt;"")),"")))</f>
        <v/>
      </c>
      <c r="J79" s="109" t="str">
        <f t="array" ref="J79">IF($C79="","",IF(NOT(ISNUMBER(SEARCH(" LB "," "&amp;SUBSTITUTE($D79,"/"," ")&amp;" "))),"",IFERROR(SUMPRODUCT('Player Grading'!$E21:$AF21,$C$107:$AD$107)/SUMPRODUCT(($C$107:$AD$107)*('Player Grading'!$E21:$AF21&lt;&gt;"")),"")))</f>
        <v/>
      </c>
      <c r="K79" s="109" t="str">
        <f t="array" ref="K79">IF($C79="","",IF(NOT(ISNUMBER(SEARCH(" DM "," "&amp;SUBSTITUTE($D79,"/"," ")&amp;" "))),"",IFERROR(SUMPRODUCT('Player Grading'!$E21:$AF21,$C$108:$AD$108)/SUMPRODUCT(($C$108:$AD$108)*('Player Grading'!$E21:$AF21&lt;&gt;"")),"")))</f>
        <v/>
      </c>
      <c r="L79" s="109" t="str">
        <f t="array" ref="L79">IF($C79="","",IF(NOT(ISNUMBER(SEARCH(" CM "," "&amp;SUBSTITUTE($D79,"/"," ")&amp;" "))),"",IFERROR(SUMPRODUCT('Player Grading'!$E21:$AF21,$C$109:$AD$109)/SUMPRODUCT(($C$109:$AD$109)*('Player Grading'!$E21:$AF21&lt;&gt;"")),"")))</f>
        <v/>
      </c>
      <c r="M79" s="109" t="str">
        <f t="array" ref="M79">IF($C79="","",IF(NOT(ISNUMBER(SEARCH(" ACM "," "&amp;SUBSTITUTE($D79,"/"," ")&amp;" "))),"",IFERROR(SUMPRODUCT('Player Grading'!$E21:$AF21,$C$110:$AD$110)/SUMPRODUCT(($C$110:$AD$110)*('Player Grading'!$E21:$AF21&lt;&gt;"")),"")))</f>
        <v/>
      </c>
      <c r="N79" s="109" t="str">
        <f t="array" ref="N79">IF($C79="","",IF(NOT(ISNUMBER(SEARCH(" RW "," "&amp;SUBSTITUTE($D79,"/"," ")&amp;" "))),"",IFERROR(SUMPRODUCT('Player Grading'!$E21:$AF21,$C$111:$AD$111)/SUMPRODUCT(($C$111:$AD$111)*('Player Grading'!$E21:$AF21&lt;&gt;"")),"")))</f>
        <v/>
      </c>
      <c r="O79" s="109" t="str">
        <f t="array" ref="O79">IF($C79="","",IF(NOT(ISNUMBER(SEARCH(" LW "," "&amp;SUBSTITUTE($D79,"/"," ")&amp;" "))),"",IFERROR(SUMPRODUCT('Player Grading'!$E21:$AF21,$C$112:$AD$112)/SUMPRODUCT(($C$112:$AD$112)*('Player Grading'!$E21:$AF21&lt;&gt;"")),"")))</f>
        <v/>
      </c>
      <c r="P79" s="109">
        <f t="array" ref="P79">IF($C79="","",IF(NOT(ISNUMBER(SEARCH(" ST "," "&amp;SUBSTITUTE($D79,"/"," ")&amp;" "))),"",IFERROR(SUMPRODUCT('Player Grading'!$E21:$AF21,$C$113:$AD$113)/SUMPRODUCT(($C$113:$AD$113)*('Player Grading'!$E21:$AF21&lt;&gt;"")),"")))</f>
        <v>12.6</v>
      </c>
      <c r="Q79" s="234"/>
      <c r="R79" s="109" t="str">
        <f t="shared" si="8"/>
        <v/>
      </c>
      <c r="S79" s="109" t="str">
        <f t="shared" si="9"/>
        <v/>
      </c>
      <c r="T79" s="109" t="str">
        <f t="shared" si="10"/>
        <v/>
      </c>
      <c r="U79" s="109" t="str">
        <f t="shared" si="11"/>
        <v/>
      </c>
      <c r="V79" s="109" t="str">
        <f t="shared" si="12"/>
        <v/>
      </c>
      <c r="W79" s="109" t="str">
        <f t="shared" si="13"/>
        <v/>
      </c>
      <c r="X79" s="109" t="str">
        <f t="shared" si="14"/>
        <v/>
      </c>
      <c r="Y79" s="109" t="str">
        <f t="shared" si="15"/>
        <v/>
      </c>
      <c r="Z79" s="109" t="str">
        <f t="shared" si="16"/>
        <v/>
      </c>
      <c r="AA79" s="109">
        <f t="shared" si="17"/>
        <v>12.855555555555554</v>
      </c>
      <c r="AB79" s="108">
        <f>IF($C79="","",IF(OR(N(Attendance!$GB20)&gt;0,N(Attendance!$GF20)&gt;0),IFERROR(Attendance!$GN20,""),IFERROR(INDEX(Workings!$AT$6:$AT$25,MATCH($C79,Workings!$AO$6:$AO$25,0)),"")))</f>
        <v>0.62777777777777777</v>
      </c>
      <c r="AC79" s="236">
        <f>IF($C79="","",IFERROR('Player Grading'!$AL21,""))</f>
        <v>11.864814814814814</v>
      </c>
      <c r="AD79" t="str">
        <f>IF($C79="","",IF(OR(N(Attendance!$GB20)&gt;0,N(Attendance!$GF20)&gt;0),"In-season",IF(ISNUMBER($AB79),"Pre-season","None")))</f>
        <v>In-season</v>
      </c>
      <c r="AF79" t="str">
        <f t="shared" si="18"/>
        <v/>
      </c>
      <c r="AG79" t="str">
        <f t="shared" si="19"/>
        <v/>
      </c>
      <c r="AH79" t="str">
        <f t="shared" si="20"/>
        <v/>
      </c>
      <c r="AI79" t="str">
        <f t="shared" si="21"/>
        <v/>
      </c>
      <c r="AJ79" t="str">
        <f t="shared" si="22"/>
        <v/>
      </c>
      <c r="AK79" t="str">
        <f t="shared" si="23"/>
        <v/>
      </c>
      <c r="AL79" t="str">
        <f t="shared" si="24"/>
        <v/>
      </c>
      <c r="AM79" t="str">
        <f t="shared" si="25"/>
        <v/>
      </c>
      <c r="AN79" t="str">
        <f t="shared" si="26"/>
        <v/>
      </c>
      <c r="AO79">
        <f t="shared" si="27"/>
        <v>12.855555555555554</v>
      </c>
      <c r="AP79" t="str">
        <f t="shared" si="28"/>
        <v/>
      </c>
      <c r="AR79" t="str">
        <f t="shared" si="29"/>
        <v/>
      </c>
      <c r="AS79" t="str">
        <f t="shared" si="30"/>
        <v/>
      </c>
      <c r="AT79" t="str">
        <f t="shared" si="31"/>
        <v/>
      </c>
      <c r="AU79" t="str">
        <f t="shared" si="32"/>
        <v/>
      </c>
      <c r="AV79" t="str">
        <f t="shared" si="33"/>
        <v/>
      </c>
      <c r="AW79" t="str">
        <f t="shared" si="34"/>
        <v/>
      </c>
      <c r="AX79" t="str">
        <f t="shared" si="35"/>
        <v/>
      </c>
      <c r="AY79" t="str">
        <f t="shared" si="36"/>
        <v/>
      </c>
      <c r="AZ79" t="str">
        <f t="shared" si="37"/>
        <v/>
      </c>
      <c r="BA79">
        <f t="shared" si="38"/>
        <v>12.855555555555554</v>
      </c>
      <c r="BB79" t="str">
        <f t="shared" si="39"/>
        <v/>
      </c>
    </row>
    <row r="80" spans="2:54" hidden="1" outlineLevel="1" x14ac:dyDescent="0.45">
      <c r="B80" s="228">
        <f>IF($C80="","",Attendance!$C21)</f>
        <v>17</v>
      </c>
      <c r="C80" s="229" t="str">
        <f>IF(Attendance!$D21="","",Attendance!$D21)</f>
        <v>Mariana Soares</v>
      </c>
      <c r="D80" s="32" t="str">
        <f>IF($C80="","",'Player Grading'!$D22)</f>
        <v>RB / CB</v>
      </c>
      <c r="E80" s="32" t="str">
        <f>IF($C80="","",IF($E134="",IF(Attendance!$GP21="","Yes",Attendance!$GP21),IF($E134="Available","Yes","No")))</f>
        <v>Yes</v>
      </c>
      <c r="F80" s="230" t="str">
        <f>IF($C80="","",IF($E134="",Attendance!$GQ21&amp;"",IF($E134="Available","",$E134&amp;IF($F134="",""," - "&amp;$F134)&amp;IF($I134="",""," (back "&amp;TEXT($I134,"d mmm")&amp;")"))))</f>
        <v/>
      </c>
      <c r="G80" s="35" t="str">
        <f t="array" ref="G80">IF($C80="","",IF(NOT(ISNUMBER(SEARCH(" GK "," "&amp;SUBSTITUTE($D80,"/"," ")&amp;" "))),"",IFERROR(SUMPRODUCT('Player Grading'!$E22:$AF22,$C$104:$AD$104)/SUMPRODUCT(($C$104:$AD$104)*('Player Grading'!$E22:$AF22&lt;&gt;"")),"")))</f>
        <v/>
      </c>
      <c r="H80" s="35">
        <f t="array" ref="H80">IF($C80="","",IF(NOT(ISNUMBER(SEARCH(" RB "," "&amp;SUBSTITUTE($D80,"/"," ")&amp;" "))),"",IFERROR(SUMPRODUCT('Player Grading'!$E22:$AF22,$C$105:$AD$105)/SUMPRODUCT(($C$105:$AD$105)*('Player Grading'!$E22:$AF22&lt;&gt;"")),"")))</f>
        <v>11.888888888888889</v>
      </c>
      <c r="I80" s="35">
        <f t="array" ref="I80">IF($C80="","",IF(NOT(ISNUMBER(SEARCH(" CB "," "&amp;SUBSTITUTE($D80,"/"," ")&amp;" "))),"",IFERROR(SUMPRODUCT('Player Grading'!$E22:$AF22,$C$106:$AD$106)/SUMPRODUCT(($C$106:$AD$106)*('Player Grading'!$E22:$AF22&lt;&gt;"")),"")))</f>
        <v>12.951219512195122</v>
      </c>
      <c r="J80" s="35" t="str">
        <f t="array" ref="J80">IF($C80="","",IF(NOT(ISNUMBER(SEARCH(" LB "," "&amp;SUBSTITUTE($D80,"/"," ")&amp;" "))),"",IFERROR(SUMPRODUCT('Player Grading'!$E22:$AF22,$C$107:$AD$107)/SUMPRODUCT(($C$107:$AD$107)*('Player Grading'!$E22:$AF22&lt;&gt;"")),"")))</f>
        <v/>
      </c>
      <c r="K80" s="35" t="str">
        <f t="array" ref="K80">IF($C80="","",IF(NOT(ISNUMBER(SEARCH(" DM "," "&amp;SUBSTITUTE($D80,"/"," ")&amp;" "))),"",IFERROR(SUMPRODUCT('Player Grading'!$E22:$AF22,$C$108:$AD$108)/SUMPRODUCT(($C$108:$AD$108)*('Player Grading'!$E22:$AF22&lt;&gt;"")),"")))</f>
        <v/>
      </c>
      <c r="L80" s="35" t="str">
        <f t="array" ref="L80">IF($C80="","",IF(NOT(ISNUMBER(SEARCH(" CM "," "&amp;SUBSTITUTE($D80,"/"," ")&amp;" "))),"",IFERROR(SUMPRODUCT('Player Grading'!$E22:$AF22,$C$109:$AD$109)/SUMPRODUCT(($C$109:$AD$109)*('Player Grading'!$E22:$AF22&lt;&gt;"")),"")))</f>
        <v/>
      </c>
      <c r="M80" s="35" t="str">
        <f t="array" ref="M80">IF($C80="","",IF(NOT(ISNUMBER(SEARCH(" ACM "," "&amp;SUBSTITUTE($D80,"/"," ")&amp;" "))),"",IFERROR(SUMPRODUCT('Player Grading'!$E22:$AF22,$C$110:$AD$110)/SUMPRODUCT(($C$110:$AD$110)*('Player Grading'!$E22:$AF22&lt;&gt;"")),"")))</f>
        <v/>
      </c>
      <c r="N80" s="35" t="str">
        <f t="array" ref="N80">IF($C80="","",IF(NOT(ISNUMBER(SEARCH(" RW "," "&amp;SUBSTITUTE($D80,"/"," ")&amp;" "))),"",IFERROR(SUMPRODUCT('Player Grading'!$E22:$AF22,$C$111:$AD$111)/SUMPRODUCT(($C$111:$AD$111)*('Player Grading'!$E22:$AF22&lt;&gt;"")),"")))</f>
        <v/>
      </c>
      <c r="O80" s="35" t="str">
        <f t="array" ref="O80">IF($C80="","",IF(NOT(ISNUMBER(SEARCH(" LW "," "&amp;SUBSTITUTE($D80,"/"," ")&amp;" "))),"",IFERROR(SUMPRODUCT('Player Grading'!$E22:$AF22,$C$112:$AD$112)/SUMPRODUCT(($C$112:$AD$112)*('Player Grading'!$E22:$AF22&lt;&gt;"")),"")))</f>
        <v/>
      </c>
      <c r="P80" s="35" t="str">
        <f t="array" ref="P80">IF($C80="","",IF(NOT(ISNUMBER(SEARCH(" ST "," "&amp;SUBSTITUTE($D80,"/"," ")&amp;" "))),"",IFERROR(SUMPRODUCT('Player Grading'!$E22:$AF22,$C$113:$AD$113)/SUMPRODUCT(($C$113:$AD$113)*('Player Grading'!$E22:$AF22&lt;&gt;"")),"")))</f>
        <v/>
      </c>
      <c r="Q80" s="32"/>
      <c r="R80" s="35" t="str">
        <f t="shared" si="8"/>
        <v/>
      </c>
      <c r="S80" s="35">
        <f t="shared" si="9"/>
        <v>12.422222222222222</v>
      </c>
      <c r="T80" s="35">
        <f t="shared" si="10"/>
        <v>13.484552845528455</v>
      </c>
      <c r="U80" s="35" t="str">
        <f t="shared" si="11"/>
        <v/>
      </c>
      <c r="V80" s="35" t="str">
        <f t="shared" si="12"/>
        <v/>
      </c>
      <c r="W80" s="35" t="str">
        <f t="shared" si="13"/>
        <v/>
      </c>
      <c r="X80" s="35" t="str">
        <f t="shared" si="14"/>
        <v/>
      </c>
      <c r="Y80" s="35" t="str">
        <f t="shared" si="15"/>
        <v/>
      </c>
      <c r="Z80" s="35" t="str">
        <f t="shared" si="16"/>
        <v/>
      </c>
      <c r="AA80" s="35" t="str">
        <f t="shared" si="17"/>
        <v/>
      </c>
      <c r="AB80" s="100">
        <f>IF($C80="","",IF(OR(N(Attendance!$GB21)&gt;0,N(Attendance!$GF21)&gt;0),IFERROR(Attendance!$GN21,""),IFERROR(INDEX(Workings!$AT$6:$AT$25,MATCH($C80,Workings!$AO$6:$AO$25,0)),"")))</f>
        <v>0.76666666666666661</v>
      </c>
      <c r="AC80" s="231">
        <f>IF($C80="","",IFERROR('Player Grading'!$AL22,""))</f>
        <v>10.487037037037036</v>
      </c>
      <c r="AD80" t="str">
        <f>IF($C80="","",IF(OR(N(Attendance!$GB21)&gt;0,N(Attendance!$GF21)&gt;0),"In-season",IF(ISNUMBER($AB80),"Pre-season","None")))</f>
        <v>In-season</v>
      </c>
      <c r="AF80" t="str">
        <f t="shared" si="18"/>
        <v/>
      </c>
      <c r="AG80" t="str">
        <f t="shared" si="19"/>
        <v/>
      </c>
      <c r="AH80" t="str">
        <f t="shared" si="20"/>
        <v/>
      </c>
      <c r="AI80" t="str">
        <f t="shared" si="21"/>
        <v/>
      </c>
      <c r="AJ80" t="str">
        <f t="shared" si="22"/>
        <v/>
      </c>
      <c r="AK80" t="str">
        <f t="shared" si="23"/>
        <v/>
      </c>
      <c r="AL80" t="str">
        <f t="shared" si="24"/>
        <v/>
      </c>
      <c r="AM80" t="str">
        <f t="shared" si="25"/>
        <v/>
      </c>
      <c r="AN80" t="str">
        <f t="shared" si="26"/>
        <v/>
      </c>
      <c r="AO80" t="str">
        <f t="shared" si="27"/>
        <v/>
      </c>
      <c r="AP80" t="str">
        <f t="shared" si="28"/>
        <v/>
      </c>
      <c r="AR80" t="str">
        <f t="shared" si="29"/>
        <v/>
      </c>
      <c r="AS80">
        <f t="shared" si="30"/>
        <v>12.422222222222222</v>
      </c>
      <c r="AT80">
        <f t="shared" si="31"/>
        <v>13.484552845528455</v>
      </c>
      <c r="AU80">
        <f t="shared" si="32"/>
        <v>13.484552845528455</v>
      </c>
      <c r="AV80" t="str">
        <f t="shared" si="33"/>
        <v/>
      </c>
      <c r="AW80" t="str">
        <f t="shared" si="34"/>
        <v/>
      </c>
      <c r="AX80" t="str">
        <f t="shared" si="35"/>
        <v/>
      </c>
      <c r="AY80" t="str">
        <f t="shared" si="36"/>
        <v/>
      </c>
      <c r="AZ80" t="str">
        <f t="shared" si="37"/>
        <v/>
      </c>
      <c r="BA80" t="str">
        <f t="shared" si="38"/>
        <v/>
      </c>
      <c r="BB80" t="str">
        <f t="shared" si="39"/>
        <v/>
      </c>
    </row>
    <row r="81" spans="2:54" hidden="1" outlineLevel="1" x14ac:dyDescent="0.45">
      <c r="B81" s="125">
        <f>IF($C81="","",Attendance!$C22)</f>
        <v>18</v>
      </c>
      <c r="C81" s="233" t="str">
        <f>IF(Attendance!$D22="","",Attendance!$D22)</f>
        <v>Rama Abuowda</v>
      </c>
      <c r="D81" s="234" t="str">
        <f>IF($C81="","",'Player Grading'!$D23)</f>
        <v>RW / ST / LW</v>
      </c>
      <c r="E81" s="234" t="str">
        <f>IF($C81="","",IF($E135="",IF(Attendance!$GP22="","Yes",Attendance!$GP22),IF($E135="Available","Yes","No")))</f>
        <v>Yes</v>
      </c>
      <c r="F81" s="235" t="str">
        <f>IF($C81="","",IF($E135="",Attendance!$GQ22&amp;"",IF($E135="Available","",$E135&amp;IF($F135="",""," - "&amp;$F135)&amp;IF($I135="",""," (back "&amp;TEXT($I135,"d mmm")&amp;")"))))</f>
        <v/>
      </c>
      <c r="G81" s="109" t="str">
        <f t="array" ref="G81">IF($C81="","",IF(NOT(ISNUMBER(SEARCH(" GK "," "&amp;SUBSTITUTE($D81,"/"," ")&amp;" "))),"",IFERROR(SUMPRODUCT('Player Grading'!$E23:$AF23,$C$104:$AD$104)/SUMPRODUCT(($C$104:$AD$104)*('Player Grading'!$E23:$AF23&lt;&gt;"")),"")))</f>
        <v/>
      </c>
      <c r="H81" s="109" t="str">
        <f t="array" ref="H81">IF($C81="","",IF(NOT(ISNUMBER(SEARCH(" RB "," "&amp;SUBSTITUTE($D81,"/"," ")&amp;" "))),"",IFERROR(SUMPRODUCT('Player Grading'!$E23:$AF23,$C$105:$AD$105)/SUMPRODUCT(($C$105:$AD$105)*('Player Grading'!$E23:$AF23&lt;&gt;"")),"")))</f>
        <v/>
      </c>
      <c r="I81" s="109" t="str">
        <f t="array" ref="I81">IF($C81="","",IF(NOT(ISNUMBER(SEARCH(" CB "," "&amp;SUBSTITUTE($D81,"/"," ")&amp;" "))),"",IFERROR(SUMPRODUCT('Player Grading'!$E23:$AF23,$C$106:$AD$106)/SUMPRODUCT(($C$106:$AD$106)*('Player Grading'!$E23:$AF23&lt;&gt;"")),"")))</f>
        <v/>
      </c>
      <c r="J81" s="109" t="str">
        <f t="array" ref="J81">IF($C81="","",IF(NOT(ISNUMBER(SEARCH(" LB "," "&amp;SUBSTITUTE($D81,"/"," ")&amp;" "))),"",IFERROR(SUMPRODUCT('Player Grading'!$E23:$AF23,$C$107:$AD$107)/SUMPRODUCT(($C$107:$AD$107)*('Player Grading'!$E23:$AF23&lt;&gt;"")),"")))</f>
        <v/>
      </c>
      <c r="K81" s="109" t="str">
        <f t="array" ref="K81">IF($C81="","",IF(NOT(ISNUMBER(SEARCH(" DM "," "&amp;SUBSTITUTE($D81,"/"," ")&amp;" "))),"",IFERROR(SUMPRODUCT('Player Grading'!$E23:$AF23,$C$108:$AD$108)/SUMPRODUCT(($C$108:$AD$108)*('Player Grading'!$E23:$AF23&lt;&gt;"")),"")))</f>
        <v/>
      </c>
      <c r="L81" s="109" t="str">
        <f t="array" ref="L81">IF($C81="","",IF(NOT(ISNUMBER(SEARCH(" CM "," "&amp;SUBSTITUTE($D81,"/"," ")&amp;" "))),"",IFERROR(SUMPRODUCT('Player Grading'!$E23:$AF23,$C$109:$AD$109)/SUMPRODUCT(($C$109:$AD$109)*('Player Grading'!$E23:$AF23&lt;&gt;"")),"")))</f>
        <v/>
      </c>
      <c r="M81" s="109" t="str">
        <f t="array" ref="M81">IF($C81="","",IF(NOT(ISNUMBER(SEARCH(" ACM "," "&amp;SUBSTITUTE($D81,"/"," ")&amp;" "))),"",IFERROR(SUMPRODUCT('Player Grading'!$E23:$AF23,$C$110:$AD$110)/SUMPRODUCT(($C$110:$AD$110)*('Player Grading'!$E23:$AF23&lt;&gt;"")),"")))</f>
        <v/>
      </c>
      <c r="N81" s="109">
        <f t="array" ref="N81">IF($C81="","",IF(NOT(ISNUMBER(SEARCH(" RW "," "&amp;SUBSTITUTE($D81,"/"," ")&amp;" "))),"",IFERROR(SUMPRODUCT('Player Grading'!$E23:$AF23,$C$111:$AD$111)/SUMPRODUCT(($C$111:$AD$111)*('Player Grading'!$E23:$AF23&lt;&gt;"")),"")))</f>
        <v>14</v>
      </c>
      <c r="O81" s="109">
        <f t="array" ref="O81">IF($C81="","",IF(NOT(ISNUMBER(SEARCH(" LW "," "&amp;SUBSTITUTE($D81,"/"," ")&amp;" "))),"",IFERROR(SUMPRODUCT('Player Grading'!$E23:$AF23,$C$112:$AD$112)/SUMPRODUCT(($C$112:$AD$112)*('Player Grading'!$E23:$AF23&lt;&gt;"")),"")))</f>
        <v>14</v>
      </c>
      <c r="P81" s="109">
        <f t="array" ref="P81">IF($C81="","",IF(NOT(ISNUMBER(SEARCH(" ST "," "&amp;SUBSTITUTE($D81,"/"," ")&amp;" "))),"",IFERROR(SUMPRODUCT('Player Grading'!$E23:$AF23,$C$113:$AD$113)/SUMPRODUCT(($C$113:$AD$113)*('Player Grading'!$E23:$AF23&lt;&gt;"")),"")))</f>
        <v>14.12</v>
      </c>
      <c r="Q81" s="234"/>
      <c r="R81" s="109" t="str">
        <f t="shared" si="8"/>
        <v/>
      </c>
      <c r="S81" s="109" t="str">
        <f t="shared" si="9"/>
        <v/>
      </c>
      <c r="T81" s="109" t="str">
        <f t="shared" si="10"/>
        <v/>
      </c>
      <c r="U81" s="109" t="str">
        <f t="shared" si="11"/>
        <v/>
      </c>
      <c r="V81" s="109" t="str">
        <f t="shared" si="12"/>
        <v/>
      </c>
      <c r="W81" s="109" t="str">
        <f t="shared" si="13"/>
        <v/>
      </c>
      <c r="X81" s="109" t="str">
        <f t="shared" si="14"/>
        <v/>
      </c>
      <c r="Y81" s="109">
        <f t="shared" si="15"/>
        <v>14.533333333333333</v>
      </c>
      <c r="Z81" s="109">
        <f t="shared" si="16"/>
        <v>14.533333333333333</v>
      </c>
      <c r="AA81" s="109">
        <f t="shared" si="17"/>
        <v>14.653333333333332</v>
      </c>
      <c r="AB81" s="108">
        <f>IF($C81="","",IF(OR(N(Attendance!$GB22)&gt;0,N(Attendance!$GF22)&gt;0),IFERROR(Attendance!$GN22,""),IFERROR(INDEX(Workings!$AT$6:$AT$25,MATCH($C81,Workings!$AO$6:$AO$25,0)),"")))</f>
        <v>0.76666666666666661</v>
      </c>
      <c r="AC81" s="236">
        <f>IF($C81="","",IFERROR('Player Grading'!$AL23,""))</f>
        <v>13.629629629629628</v>
      </c>
      <c r="AD81" t="str">
        <f>IF($C81="","",IF(OR(N(Attendance!$GB22)&gt;0,N(Attendance!$GF22)&gt;0),"In-season",IF(ISNUMBER($AB81),"Pre-season","None")))</f>
        <v>In-season</v>
      </c>
      <c r="AF81" t="str">
        <f t="shared" si="18"/>
        <v/>
      </c>
      <c r="AG81" t="str">
        <f t="shared" si="19"/>
        <v/>
      </c>
      <c r="AH81" t="str">
        <f t="shared" si="20"/>
        <v/>
      </c>
      <c r="AI81" t="str">
        <f t="shared" si="21"/>
        <v/>
      </c>
      <c r="AJ81" t="str">
        <f t="shared" si="22"/>
        <v/>
      </c>
      <c r="AK81" t="str">
        <f t="shared" si="23"/>
        <v/>
      </c>
      <c r="AL81" t="str">
        <f t="shared" si="24"/>
        <v/>
      </c>
      <c r="AM81" t="str">
        <f t="shared" si="25"/>
        <v/>
      </c>
      <c r="AN81" t="str">
        <f t="shared" si="26"/>
        <v/>
      </c>
      <c r="AO81" t="str">
        <f t="shared" si="27"/>
        <v/>
      </c>
      <c r="AP81" t="str">
        <f t="shared" si="28"/>
        <v/>
      </c>
      <c r="AR81" t="str">
        <f t="shared" si="29"/>
        <v/>
      </c>
      <c r="AS81" t="str">
        <f t="shared" si="30"/>
        <v/>
      </c>
      <c r="AT81" t="str">
        <f t="shared" si="31"/>
        <v/>
      </c>
      <c r="AU81" t="str">
        <f t="shared" si="32"/>
        <v/>
      </c>
      <c r="AV81" t="str">
        <f t="shared" si="33"/>
        <v/>
      </c>
      <c r="AW81" t="str">
        <f t="shared" si="34"/>
        <v/>
      </c>
      <c r="AX81" t="str">
        <f t="shared" si="35"/>
        <v/>
      </c>
      <c r="AY81" t="str">
        <f t="shared" si="36"/>
        <v/>
      </c>
      <c r="AZ81">
        <f t="shared" si="37"/>
        <v>14.533333333333333</v>
      </c>
      <c r="BA81" t="str">
        <f t="shared" si="38"/>
        <v/>
      </c>
      <c r="BB81" t="str">
        <f t="shared" si="39"/>
        <v/>
      </c>
    </row>
    <row r="82" spans="2:54" hidden="1" outlineLevel="1" x14ac:dyDescent="0.45">
      <c r="B82" s="123" t="str">
        <f>IF($C82="","",Attendance!$C23)</f>
        <v/>
      </c>
      <c r="C82" s="229" t="str">
        <f>IF(Attendance!$D23="","",Attendance!$D23)</f>
        <v/>
      </c>
      <c r="D82" s="32" t="str">
        <f>IF($C82="","",'Player Grading'!$D24)</f>
        <v/>
      </c>
      <c r="E82" s="32" t="str">
        <f>IF($C82="","",IF($E136="",IF(Attendance!$GP23="","Yes",Attendance!$GP23),IF($E136="Available","Yes","No")))</f>
        <v/>
      </c>
      <c r="F82" s="230" t="str">
        <f>IF($C82="","",IF($E136="",Attendance!$GQ23&amp;"",IF($E136="Available","",$E136&amp;IF($F136="",""," - "&amp;$F136)&amp;IF($I136="",""," (back "&amp;TEXT($I136,"d mmm")&amp;")"))))</f>
        <v/>
      </c>
      <c r="G82" s="35" t="str">
        <f t="array" ref="G82">IF($C82="","",IF(NOT(ISNUMBER(SEARCH(" GK "," "&amp;SUBSTITUTE($D82,"/"," ")&amp;" "))),"",IFERROR(SUMPRODUCT('Player Grading'!$E24:$AF24,$C$104:$AD$104)/SUMPRODUCT(($C$104:$AD$104)*('Player Grading'!$E24:$AF24&lt;&gt;"")),"")))</f>
        <v/>
      </c>
      <c r="H82" s="35" t="str">
        <f t="array" ref="H82">IF($C82="","",IF(NOT(ISNUMBER(SEARCH(" RB "," "&amp;SUBSTITUTE($D82,"/"," ")&amp;" "))),"",IFERROR(SUMPRODUCT('Player Grading'!$E24:$AF24,$C$105:$AD$105)/SUMPRODUCT(($C$105:$AD$105)*('Player Grading'!$E24:$AF24&lt;&gt;"")),"")))</f>
        <v/>
      </c>
      <c r="I82" s="35" t="str">
        <f t="array" ref="I82">IF($C82="","",IF(NOT(ISNUMBER(SEARCH(" CB "," "&amp;SUBSTITUTE($D82,"/"," ")&amp;" "))),"",IFERROR(SUMPRODUCT('Player Grading'!$E24:$AF24,$C$106:$AD$106)/SUMPRODUCT(($C$106:$AD$106)*('Player Grading'!$E24:$AF24&lt;&gt;"")),"")))</f>
        <v/>
      </c>
      <c r="J82" s="35" t="str">
        <f t="array" ref="J82">IF($C82="","",IF(NOT(ISNUMBER(SEARCH(" LB "," "&amp;SUBSTITUTE($D82,"/"," ")&amp;" "))),"",IFERROR(SUMPRODUCT('Player Grading'!$E24:$AF24,$C$107:$AD$107)/SUMPRODUCT(($C$107:$AD$107)*('Player Grading'!$E24:$AF24&lt;&gt;"")),"")))</f>
        <v/>
      </c>
      <c r="K82" s="35" t="str">
        <f t="array" ref="K82">IF($C82="","",IF(NOT(ISNUMBER(SEARCH(" DM "," "&amp;SUBSTITUTE($D82,"/"," ")&amp;" "))),"",IFERROR(SUMPRODUCT('Player Grading'!$E24:$AF24,$C$108:$AD$108)/SUMPRODUCT(($C$108:$AD$108)*('Player Grading'!$E24:$AF24&lt;&gt;"")),"")))</f>
        <v/>
      </c>
      <c r="L82" s="35" t="str">
        <f t="array" ref="L82">IF($C82="","",IF(NOT(ISNUMBER(SEARCH(" CM "," "&amp;SUBSTITUTE($D82,"/"," ")&amp;" "))),"",IFERROR(SUMPRODUCT('Player Grading'!$E24:$AF24,$C$109:$AD$109)/SUMPRODUCT(($C$109:$AD$109)*('Player Grading'!$E24:$AF24&lt;&gt;"")),"")))</f>
        <v/>
      </c>
      <c r="M82" s="35" t="str">
        <f t="array" ref="M82">IF($C82="","",IF(NOT(ISNUMBER(SEARCH(" ACM "," "&amp;SUBSTITUTE($D82,"/"," ")&amp;" "))),"",IFERROR(SUMPRODUCT('Player Grading'!$E24:$AF24,$C$110:$AD$110)/SUMPRODUCT(($C$110:$AD$110)*('Player Grading'!$E24:$AF24&lt;&gt;"")),"")))</f>
        <v/>
      </c>
      <c r="N82" s="35" t="str">
        <f t="array" ref="N82">IF($C82="","",IF(NOT(ISNUMBER(SEARCH(" RW "," "&amp;SUBSTITUTE($D82,"/"," ")&amp;" "))),"",IFERROR(SUMPRODUCT('Player Grading'!$E24:$AF24,$C$111:$AD$111)/SUMPRODUCT(($C$111:$AD$111)*('Player Grading'!$E24:$AF24&lt;&gt;"")),"")))</f>
        <v/>
      </c>
      <c r="O82" s="35" t="str">
        <f t="array" ref="O82">IF($C82="","",IF(NOT(ISNUMBER(SEARCH(" LW "," "&amp;SUBSTITUTE($D82,"/"," ")&amp;" "))),"",IFERROR(SUMPRODUCT('Player Grading'!$E24:$AF24,$C$112:$AD$112)/SUMPRODUCT(($C$112:$AD$112)*('Player Grading'!$E24:$AF24&lt;&gt;"")),"")))</f>
        <v/>
      </c>
      <c r="P82" s="35" t="str">
        <f t="array" ref="P82">IF($C82="","",IF(NOT(ISNUMBER(SEARCH(" ST "," "&amp;SUBSTITUTE($D82,"/"," ")&amp;" "))),"",IFERROR(SUMPRODUCT('Player Grading'!$E24:$AF24,$C$113:$AD$113)/SUMPRODUCT(($C$113:$AD$113)*('Player Grading'!$E24:$AF24&lt;&gt;"")),"")))</f>
        <v/>
      </c>
      <c r="Q82" s="32"/>
      <c r="R82" s="35" t="str">
        <f t="shared" si="8"/>
        <v/>
      </c>
      <c r="S82" s="35" t="str">
        <f t="shared" si="9"/>
        <v/>
      </c>
      <c r="T82" s="35" t="str">
        <f t="shared" si="10"/>
        <v/>
      </c>
      <c r="U82" s="35" t="str">
        <f t="shared" si="11"/>
        <v/>
      </c>
      <c r="V82" s="35" t="str">
        <f t="shared" si="12"/>
        <v/>
      </c>
      <c r="W82" s="35" t="str">
        <f t="shared" si="13"/>
        <v/>
      </c>
      <c r="X82" s="35" t="str">
        <f t="shared" si="14"/>
        <v/>
      </c>
      <c r="Y82" s="35" t="str">
        <f t="shared" si="15"/>
        <v/>
      </c>
      <c r="Z82" s="35" t="str">
        <f t="shared" si="16"/>
        <v/>
      </c>
      <c r="AA82" s="35" t="str">
        <f t="shared" si="17"/>
        <v/>
      </c>
      <c r="AB82" s="100" t="str">
        <f>IF($C82="","",IF(OR(N(Attendance!$GB23)&gt;0,N(Attendance!$GF23)&gt;0),IFERROR(Attendance!$GN23,""),IFERROR(INDEX(Workings!$AT$6:$AT$25,MATCH($C82,Workings!$AO$6:$AO$25,0)),"")))</f>
        <v/>
      </c>
      <c r="AC82" s="231" t="str">
        <f>IF($C82="","",IFERROR('Player Grading'!$AL24,""))</f>
        <v/>
      </c>
      <c r="AD82" t="str">
        <f>IF($C82="","",IF(OR(N(Attendance!$GB23)&gt;0,N(Attendance!$GF23)&gt;0),"In-season",IF(ISNUMBER($AB82),"Pre-season","None")))</f>
        <v/>
      </c>
      <c r="AF82" t="str">
        <f t="shared" si="18"/>
        <v/>
      </c>
      <c r="AG82" t="str">
        <f t="shared" si="19"/>
        <v/>
      </c>
      <c r="AH82" t="str">
        <f t="shared" si="20"/>
        <v/>
      </c>
      <c r="AI82" t="str">
        <f t="shared" si="21"/>
        <v/>
      </c>
      <c r="AJ82" t="str">
        <f t="shared" si="22"/>
        <v/>
      </c>
      <c r="AK82" t="str">
        <f t="shared" si="23"/>
        <v/>
      </c>
      <c r="AL82" t="str">
        <f t="shared" si="24"/>
        <v/>
      </c>
      <c r="AM82" t="str">
        <f t="shared" si="25"/>
        <v/>
      </c>
      <c r="AN82" t="str">
        <f t="shared" si="26"/>
        <v/>
      </c>
      <c r="AO82" t="str">
        <f t="shared" si="27"/>
        <v/>
      </c>
      <c r="AP82" t="str">
        <f t="shared" si="28"/>
        <v/>
      </c>
      <c r="AR82" t="str">
        <f t="shared" si="29"/>
        <v/>
      </c>
      <c r="AS82" t="str">
        <f t="shared" si="30"/>
        <v/>
      </c>
      <c r="AT82" t="str">
        <f t="shared" si="31"/>
        <v/>
      </c>
      <c r="AU82" t="str">
        <f t="shared" si="32"/>
        <v/>
      </c>
      <c r="AV82" t="str">
        <f t="shared" si="33"/>
        <v/>
      </c>
      <c r="AW82" t="str">
        <f t="shared" si="34"/>
        <v/>
      </c>
      <c r="AX82" t="str">
        <f t="shared" si="35"/>
        <v/>
      </c>
      <c r="AY82" t="str">
        <f t="shared" si="36"/>
        <v/>
      </c>
      <c r="AZ82" t="str">
        <f t="shared" si="37"/>
        <v/>
      </c>
      <c r="BA82" t="str">
        <f t="shared" si="38"/>
        <v/>
      </c>
      <c r="BB82" t="str">
        <f t="shared" si="39"/>
        <v/>
      </c>
    </row>
    <row r="83" spans="2:54" hidden="1" outlineLevel="1" x14ac:dyDescent="0.45">
      <c r="B83" s="134" t="str">
        <f>IF($C83="","",Attendance!$C24)</f>
        <v/>
      </c>
      <c r="C83" s="237" t="str">
        <f>IF(Attendance!$D24="","",Attendance!$D24)</f>
        <v/>
      </c>
      <c r="D83" s="238" t="str">
        <f>IF($C83="","",'Player Grading'!$D25)</f>
        <v/>
      </c>
      <c r="E83" s="238" t="str">
        <f>IF($C83="","",IF($E137="",IF(Attendance!$GP24="","Yes",Attendance!$GP24),IF($E137="Available","Yes","No")))</f>
        <v/>
      </c>
      <c r="F83" s="239" t="str">
        <f>IF($C83="","",IF($E137="",Attendance!$GQ24&amp;"",IF($E137="Available","",$E137&amp;IF($F137="",""," - "&amp;$F137)&amp;IF($I137="",""," (back "&amp;TEXT($I137,"d mmm")&amp;")"))))</f>
        <v/>
      </c>
      <c r="G83" s="115" t="str">
        <f t="array" ref="G83">IF($C83="","",IF(NOT(ISNUMBER(SEARCH(" GK "," "&amp;SUBSTITUTE($D83,"/"," ")&amp;" "))),"",IFERROR(SUMPRODUCT('Player Grading'!$E25:$AF25,$C$104:$AD$104)/SUMPRODUCT(($C$104:$AD$104)*('Player Grading'!$E25:$AF25&lt;&gt;"")),"")))</f>
        <v/>
      </c>
      <c r="H83" s="115" t="str">
        <f t="array" ref="H83">IF($C83="","",IF(NOT(ISNUMBER(SEARCH(" RB "," "&amp;SUBSTITUTE($D83,"/"," ")&amp;" "))),"",IFERROR(SUMPRODUCT('Player Grading'!$E25:$AF25,$C$105:$AD$105)/SUMPRODUCT(($C$105:$AD$105)*('Player Grading'!$E25:$AF25&lt;&gt;"")),"")))</f>
        <v/>
      </c>
      <c r="I83" s="115" t="str">
        <f t="array" ref="I83">IF($C83="","",IF(NOT(ISNUMBER(SEARCH(" CB "," "&amp;SUBSTITUTE($D83,"/"," ")&amp;" "))),"",IFERROR(SUMPRODUCT('Player Grading'!$E25:$AF25,$C$106:$AD$106)/SUMPRODUCT(($C$106:$AD$106)*('Player Grading'!$E25:$AF25&lt;&gt;"")),"")))</f>
        <v/>
      </c>
      <c r="J83" s="115" t="str">
        <f t="array" ref="J83">IF($C83="","",IF(NOT(ISNUMBER(SEARCH(" LB "," "&amp;SUBSTITUTE($D83,"/"," ")&amp;" "))),"",IFERROR(SUMPRODUCT('Player Grading'!$E25:$AF25,$C$107:$AD$107)/SUMPRODUCT(($C$107:$AD$107)*('Player Grading'!$E25:$AF25&lt;&gt;"")),"")))</f>
        <v/>
      </c>
      <c r="K83" s="115" t="str">
        <f t="array" ref="K83">IF($C83="","",IF(NOT(ISNUMBER(SEARCH(" DM "," "&amp;SUBSTITUTE($D83,"/"," ")&amp;" "))),"",IFERROR(SUMPRODUCT('Player Grading'!$E25:$AF25,$C$108:$AD$108)/SUMPRODUCT(($C$108:$AD$108)*('Player Grading'!$E25:$AF25&lt;&gt;"")),"")))</f>
        <v/>
      </c>
      <c r="L83" s="115" t="str">
        <f t="array" ref="L83">IF($C83="","",IF(NOT(ISNUMBER(SEARCH(" CM "," "&amp;SUBSTITUTE($D83,"/"," ")&amp;" "))),"",IFERROR(SUMPRODUCT('Player Grading'!$E25:$AF25,$C$109:$AD$109)/SUMPRODUCT(($C$109:$AD$109)*('Player Grading'!$E25:$AF25&lt;&gt;"")),"")))</f>
        <v/>
      </c>
      <c r="M83" s="115" t="str">
        <f t="array" ref="M83">IF($C83="","",IF(NOT(ISNUMBER(SEARCH(" ACM "," "&amp;SUBSTITUTE($D83,"/"," ")&amp;" "))),"",IFERROR(SUMPRODUCT('Player Grading'!$E25:$AF25,$C$110:$AD$110)/SUMPRODUCT(($C$110:$AD$110)*('Player Grading'!$E25:$AF25&lt;&gt;"")),"")))</f>
        <v/>
      </c>
      <c r="N83" s="115" t="str">
        <f t="array" ref="N83">IF($C83="","",IF(NOT(ISNUMBER(SEARCH(" RW "," "&amp;SUBSTITUTE($D83,"/"," ")&amp;" "))),"",IFERROR(SUMPRODUCT('Player Grading'!$E25:$AF25,$C$111:$AD$111)/SUMPRODUCT(($C$111:$AD$111)*('Player Grading'!$E25:$AF25&lt;&gt;"")),"")))</f>
        <v/>
      </c>
      <c r="O83" s="115" t="str">
        <f t="array" ref="O83">IF($C83="","",IF(NOT(ISNUMBER(SEARCH(" LW "," "&amp;SUBSTITUTE($D83,"/"," ")&amp;" "))),"",IFERROR(SUMPRODUCT('Player Grading'!$E25:$AF25,$C$112:$AD$112)/SUMPRODUCT(($C$112:$AD$112)*('Player Grading'!$E25:$AF25&lt;&gt;"")),"")))</f>
        <v/>
      </c>
      <c r="P83" s="115" t="str">
        <f t="array" ref="P83">IF($C83="","",IF(NOT(ISNUMBER(SEARCH(" ST "," "&amp;SUBSTITUTE($D83,"/"," ")&amp;" "))),"",IFERROR(SUMPRODUCT('Player Grading'!$E25:$AF25,$C$113:$AD$113)/SUMPRODUCT(($C$113:$AD$113)*('Player Grading'!$E25:$AF25&lt;&gt;"")),"")))</f>
        <v/>
      </c>
      <c r="Q83" s="238"/>
      <c r="R83" s="115" t="str">
        <f t="shared" si="8"/>
        <v/>
      </c>
      <c r="S83" s="115" t="str">
        <f t="shared" si="9"/>
        <v/>
      </c>
      <c r="T83" s="115" t="str">
        <f t="shared" si="10"/>
        <v/>
      </c>
      <c r="U83" s="115" t="str">
        <f t="shared" si="11"/>
        <v/>
      </c>
      <c r="V83" s="115" t="str">
        <f t="shared" si="12"/>
        <v/>
      </c>
      <c r="W83" s="115" t="str">
        <f t="shared" si="13"/>
        <v/>
      </c>
      <c r="X83" s="115" t="str">
        <f t="shared" si="14"/>
        <v/>
      </c>
      <c r="Y83" s="115" t="str">
        <f t="shared" si="15"/>
        <v/>
      </c>
      <c r="Z83" s="115" t="str">
        <f t="shared" si="16"/>
        <v/>
      </c>
      <c r="AA83" s="115" t="str">
        <f t="shared" si="17"/>
        <v/>
      </c>
      <c r="AB83" s="114" t="str">
        <f>IF($C83="","",IF(OR(N(Attendance!$GB24)&gt;0,N(Attendance!$GF24)&gt;0),IFERROR(Attendance!$GN24,""),IFERROR(INDEX(Workings!$AT$6:$AT$25,MATCH($C83,Workings!$AO$6:$AO$25,0)),"")))</f>
        <v/>
      </c>
      <c r="AC83" s="240" t="str">
        <f>IF($C83="","",IFERROR('Player Grading'!$AL25,""))</f>
        <v/>
      </c>
      <c r="AD83" t="str">
        <f>IF($C83="","",IF(OR(N(Attendance!$GB24)&gt;0,N(Attendance!$GF24)&gt;0),"In-season",IF(ISNUMBER($AB83),"Pre-season","None")))</f>
        <v/>
      </c>
      <c r="AF83" t="str">
        <f t="shared" si="18"/>
        <v/>
      </c>
      <c r="AG83" t="str">
        <f t="shared" si="19"/>
        <v/>
      </c>
      <c r="AH83" t="str">
        <f t="shared" si="20"/>
        <v/>
      </c>
      <c r="AI83" t="str">
        <f t="shared" si="21"/>
        <v/>
      </c>
      <c r="AJ83" t="str">
        <f t="shared" si="22"/>
        <v/>
      </c>
      <c r="AK83" t="str">
        <f t="shared" si="23"/>
        <v/>
      </c>
      <c r="AL83" t="str">
        <f t="shared" si="24"/>
        <v/>
      </c>
      <c r="AM83" t="str">
        <f t="shared" si="25"/>
        <v/>
      </c>
      <c r="AN83" t="str">
        <f t="shared" si="26"/>
        <v/>
      </c>
      <c r="AO83" t="str">
        <f t="shared" si="27"/>
        <v/>
      </c>
      <c r="AP83" t="str">
        <f t="shared" si="28"/>
        <v/>
      </c>
      <c r="AR83" t="str">
        <f t="shared" si="29"/>
        <v/>
      </c>
      <c r="AS83" t="str">
        <f t="shared" si="30"/>
        <v/>
      </c>
      <c r="AT83" t="str">
        <f t="shared" si="31"/>
        <v/>
      </c>
      <c r="AU83" t="str">
        <f t="shared" si="32"/>
        <v/>
      </c>
      <c r="AV83" t="str">
        <f t="shared" si="33"/>
        <v/>
      </c>
      <c r="AW83" t="str">
        <f t="shared" si="34"/>
        <v/>
      </c>
      <c r="AX83" t="str">
        <f t="shared" si="35"/>
        <v/>
      </c>
      <c r="AY83" t="str">
        <f t="shared" si="36"/>
        <v/>
      </c>
      <c r="AZ83" t="str">
        <f t="shared" si="37"/>
        <v/>
      </c>
      <c r="BA83" t="str">
        <f t="shared" si="38"/>
        <v/>
      </c>
      <c r="BB83" t="str">
        <f t="shared" si="39"/>
        <v/>
      </c>
    </row>
    <row r="84" spans="2:54" hidden="1" outlineLevel="1" x14ac:dyDescent="0.45"/>
    <row r="85" spans="2:54" hidden="1" outlineLevel="1" x14ac:dyDescent="0.45"/>
    <row r="86" spans="2:54" hidden="1" outlineLevel="1" x14ac:dyDescent="0.45">
      <c r="B86" s="435" t="s">
        <v>322</v>
      </c>
      <c r="C86" s="435"/>
      <c r="D86" s="435"/>
      <c r="E86" s="435"/>
      <c r="F86" s="435"/>
      <c r="X86" s="353" t="s">
        <v>498</v>
      </c>
    </row>
    <row r="87" spans="2:54" hidden="1" outlineLevel="1" x14ac:dyDescent="0.45">
      <c r="B87" s="242" t="s">
        <v>312</v>
      </c>
      <c r="C87" s="242" t="str">
        <f>IF($C64="","",$C64)</f>
        <v>Aoife Kennan</v>
      </c>
      <c r="D87" s="242" t="str">
        <f>IF($C65="","",$C65)</f>
        <v>Stella McEvoy</v>
      </c>
      <c r="E87" s="242" t="str">
        <f>IF($C66="","",$C66)</f>
        <v>Zara Power</v>
      </c>
      <c r="F87" s="242" t="str">
        <f>IF($C67="","",$C67)</f>
        <v>Heidi Cerubini Dunne</v>
      </c>
      <c r="G87" s="242" t="str">
        <f>IF($C68="","",$C68)</f>
        <v>Roisin Offenhausen</v>
      </c>
      <c r="H87" s="242" t="str">
        <f>IF($C69="","",$C69)</f>
        <v>Naomi Adewoyin</v>
      </c>
      <c r="I87" s="242" t="str">
        <f>IF($C70="","",$C70)</f>
        <v>Amber Kilalee</v>
      </c>
      <c r="J87" s="242" t="str">
        <f>IF($C71="","",$C71)</f>
        <v>Shauna Kavanagh</v>
      </c>
      <c r="K87" s="242" t="str">
        <f>IF($C72="","",$C72)</f>
        <v>Tara Brannigan</v>
      </c>
      <c r="L87" s="242" t="str">
        <f>IF($C73="","",$C73)</f>
        <v>Semilore Adesanya</v>
      </c>
      <c r="M87" s="242" t="str">
        <f>IF($C74="","",$C74)</f>
        <v>Hannah Fleming</v>
      </c>
      <c r="N87" s="242" t="str">
        <f>IF($C75="","",$C75)</f>
        <v>Emma Kelly</v>
      </c>
      <c r="O87" s="242" t="str">
        <f>IF($C76="","",$C76)</f>
        <v>Roma Memon</v>
      </c>
      <c r="P87" s="242" t="str">
        <f>IF($C77="","",$C77)</f>
        <v>Emma Dromgoole</v>
      </c>
      <c r="Q87" s="242" t="str">
        <f>IF($C78="","",$C78)</f>
        <v>Elsie Morrison</v>
      </c>
      <c r="R87" s="242" t="str">
        <f>IF($C79="","",$C79)</f>
        <v>Zara Freeman</v>
      </c>
      <c r="S87" s="242" t="str">
        <f>IF($C80="","",$C80)</f>
        <v>Mariana Soares</v>
      </c>
      <c r="T87" s="242" t="str">
        <f>IF($C81="","",$C81)</f>
        <v>Rama Abuowda</v>
      </c>
      <c r="U87" s="242" t="str">
        <f>IF($C82="","",$C82)</f>
        <v/>
      </c>
      <c r="V87" s="242" t="str">
        <f>IF($C83="","",$C83)</f>
        <v/>
      </c>
      <c r="X87" s="290" t="s">
        <v>312</v>
      </c>
      <c r="Y87" s="354" t="s">
        <v>489</v>
      </c>
      <c r="Z87" s="354" t="s">
        <v>490</v>
      </c>
      <c r="AA87" s="290" t="s">
        <v>485</v>
      </c>
      <c r="AB87" s="290" t="s">
        <v>486</v>
      </c>
    </row>
    <row r="88" spans="2:54" hidden="1" outlineLevel="1" x14ac:dyDescent="0.45">
      <c r="B88" s="243" t="str">
        <f>1&amp;" "&amp;$AA$88</f>
        <v>1 GK</v>
      </c>
      <c r="C88" s="244">
        <f>IF(OR($C64="",INDEX($R64:$AA64,MATCH($AB88,$R$63:$AA$63,0))="",$E64&lt;&gt;"Yes",COUNTIF($H$25:$H$35,$C64)&gt;0),"",INDEX($R64:$AA64,MATCH($AB88,$R$63:$AA$63,0)))</f>
        <v>8.9651515151515149</v>
      </c>
      <c r="D88" s="244" t="str">
        <f>IF(OR($C65="",INDEX($R65:$AA65,MATCH($AB88,$R$63:$AA$63,0))="",$E65&lt;&gt;"Yes",COUNTIF($H$25:$H$35,$C65)&gt;0),"",INDEX($R65:$AA65,MATCH($AB88,$R$63:$AA$63,0)))</f>
        <v/>
      </c>
      <c r="E88" s="244" t="str">
        <f>IF(OR($C66="",INDEX($R66:$AA66,MATCH($AB88,$R$63:$AA$63,0))="",$E66&lt;&gt;"Yes",COUNTIF($H$25:$H$35,$C66)&gt;0),"",INDEX($R66:$AA66,MATCH($AB88,$R$63:$AA$63,0)))</f>
        <v/>
      </c>
      <c r="F88" s="244" t="str">
        <f>IF(OR($C67="",INDEX($R67:$AA67,MATCH($AB88,$R$63:$AA$63,0))="",$E67&lt;&gt;"Yes",COUNTIF($H$25:$H$35,$C67)&gt;0),"",INDEX($R67:$AA67,MATCH($AB88,$R$63:$AA$63,0)))</f>
        <v/>
      </c>
      <c r="G88" s="244" t="str">
        <f>IF(OR($C68="",INDEX($R68:$AA68,MATCH($AB88,$R$63:$AA$63,0))="",$E68&lt;&gt;"Yes",COUNTIF($H$25:$H$35,$C68)&gt;0),"",INDEX($R68:$AA68,MATCH($AB88,$R$63:$AA$63,0)))</f>
        <v/>
      </c>
      <c r="H88" s="244" t="str">
        <f>IF(OR($C69="",INDEX($R69:$AA69,MATCH($AB88,$R$63:$AA$63,0))="",$E69&lt;&gt;"Yes",COUNTIF($H$25:$H$35,$C69)&gt;0),"",INDEX($R69:$AA69,MATCH($AB88,$R$63:$AA$63,0)))</f>
        <v/>
      </c>
      <c r="I88" s="244" t="str">
        <f>IF(OR($C70="",INDEX($R70:$AA70,MATCH($AB88,$R$63:$AA$63,0))="",$E70&lt;&gt;"Yes",COUNTIF($H$25:$H$35,$C70)&gt;0),"",INDEX($R70:$AA70,MATCH($AB88,$R$63:$AA$63,0)))</f>
        <v/>
      </c>
      <c r="J88" s="244" t="str">
        <f>IF(OR($C71="",INDEX($R71:$AA71,MATCH($AB88,$R$63:$AA$63,0))="",$E71&lt;&gt;"Yes",COUNTIF($H$25:$H$35,$C71)&gt;0),"",INDEX($R71:$AA71,MATCH($AB88,$R$63:$AA$63,0)))</f>
        <v/>
      </c>
      <c r="K88" s="244" t="str">
        <f>IF(OR($C72="",INDEX($R72:$AA72,MATCH($AB88,$R$63:$AA$63,0))="",$E72&lt;&gt;"Yes",COUNTIF($H$25:$H$35,$C72)&gt;0),"",INDEX($R72:$AA72,MATCH($AB88,$R$63:$AA$63,0)))</f>
        <v/>
      </c>
      <c r="L88" s="244" t="str">
        <f>IF(OR($C73="",INDEX($R73:$AA73,MATCH($AB88,$R$63:$AA$63,0))="",$E73&lt;&gt;"Yes",COUNTIF($H$25:$H$35,$C73)&gt;0),"",INDEX($R73:$AA73,MATCH($AB88,$R$63:$AA$63,0)))</f>
        <v/>
      </c>
      <c r="M88" s="244" t="str">
        <f>IF(OR($C74="",INDEX($R74:$AA74,MATCH($AB88,$R$63:$AA$63,0))="",$E74&lt;&gt;"Yes",COUNTIF($H$25:$H$35,$C74)&gt;0),"",INDEX($R74:$AA74,MATCH($AB88,$R$63:$AA$63,0)))</f>
        <v/>
      </c>
      <c r="N88" s="244" t="str">
        <f>IF(OR($C75="",INDEX($R75:$AA75,MATCH($AB88,$R$63:$AA$63,0))="",$E75&lt;&gt;"Yes",COUNTIF($H$25:$H$35,$C75)&gt;0),"",INDEX($R75:$AA75,MATCH($AB88,$R$63:$AA$63,0)))</f>
        <v/>
      </c>
      <c r="O88" s="244" t="str">
        <f>IF(OR($C76="",INDEX($R76:$AA76,MATCH($AB88,$R$63:$AA$63,0))="",$E76&lt;&gt;"Yes",COUNTIF($H$25:$H$35,$C76)&gt;0),"",INDEX($R76:$AA76,MATCH($AB88,$R$63:$AA$63,0)))</f>
        <v/>
      </c>
      <c r="P88" s="244" t="str">
        <f>IF(OR($C77="",INDEX($R77:$AA77,MATCH($AB88,$R$63:$AA$63,0))="",$E77&lt;&gt;"Yes",COUNTIF($H$25:$H$35,$C77)&gt;0),"",INDEX($R77:$AA77,MATCH($AB88,$R$63:$AA$63,0)))</f>
        <v/>
      </c>
      <c r="Q88" s="244">
        <f>IF(OR($C78="",INDEX($R78:$AA78,MATCH($AB88,$R$63:$AA$63,0))="",$E78&lt;&gt;"Yes",COUNTIF($H$25:$H$35,$C78)&gt;0),"",INDEX($R78:$AA78,MATCH($AB88,$R$63:$AA$63,0)))</f>
        <v>10.942424242424241</v>
      </c>
      <c r="R88" s="244" t="str">
        <f>IF(OR($C79="",INDEX($R79:$AA79,MATCH($AB88,$R$63:$AA$63,0))="",$E79&lt;&gt;"Yes",COUNTIF($H$25:$H$35,$C79)&gt;0),"",INDEX($R79:$AA79,MATCH($AB88,$R$63:$AA$63,0)))</f>
        <v/>
      </c>
      <c r="S88" s="244" t="str">
        <f>IF(OR($C80="",INDEX($R80:$AA80,MATCH($AB88,$R$63:$AA$63,0))="",$E80&lt;&gt;"Yes",COUNTIF($H$25:$H$35,$C80)&gt;0),"",INDEX($R80:$AA80,MATCH($AB88,$R$63:$AA$63,0)))</f>
        <v/>
      </c>
      <c r="T88" s="244" t="str">
        <f>IF(OR($C81="",INDEX($R81:$AA81,MATCH($AB88,$R$63:$AA$63,0))="",$E81&lt;&gt;"Yes",COUNTIF($H$25:$H$35,$C81)&gt;0),"",INDEX($R81:$AA81,MATCH($AB88,$R$63:$AA$63,0)))</f>
        <v/>
      </c>
      <c r="U88" s="244" t="str">
        <f>IF(OR($C82="",INDEX($R82:$AA82,MATCH($AB88,$R$63:$AA$63,0))="",$E82&lt;&gt;"Yes",COUNTIF($H$25:$H$35,$C82)&gt;0),"",INDEX($R82:$AA82,MATCH($AB88,$R$63:$AA$63,0)))</f>
        <v/>
      </c>
      <c r="V88" s="244" t="str">
        <f>IF(OR($C83="",INDEX($R83:$AA83,MATCH($AB88,$R$63:$AA$63,0))="",$E83&lt;&gt;"Yes",COUNTIF($H$25:$H$35,$C83)&gt;0),"",INDEX($R83:$AA83,MATCH($AB88,$R$63:$AA$63,0)))</f>
        <v/>
      </c>
      <c r="X88">
        <v>1</v>
      </c>
      <c r="Y88" t="s">
        <v>250</v>
      </c>
      <c r="Z88" t="s">
        <v>250</v>
      </c>
      <c r="AA88" t="str">
        <f>IF($L$6="3-5-2",Z88,Y88)</f>
        <v>GK</v>
      </c>
      <c r="AB88" t="str">
        <f>IF(AA88="RWB","RB",IF(AA88="LWB","LB",AA88))</f>
        <v>GK</v>
      </c>
    </row>
    <row r="89" spans="2:54" hidden="1" outlineLevel="1" x14ac:dyDescent="0.45">
      <c r="B89" s="243" t="str">
        <f>2&amp;" "&amp;$AA$89</f>
        <v>2 CB</v>
      </c>
      <c r="C89" s="244" t="str">
        <f>IF(OR($C64="",INDEX($R64:$AA64,MATCH($AB89,$R$63:$AA$63,0))="",$E64&lt;&gt;"Yes",COUNTIF($H$25:$H$35,$C64)&gt;0,COUNTIF($D$25:$D$25,$C64)&gt;0),"",INDEX($R64:$AA64,MATCH($AB89,$R$63:$AA$63,0)))</f>
        <v/>
      </c>
      <c r="D89" s="244" t="str">
        <f>IF(OR($C65="",INDEX($R65:$AA65,MATCH($AB89,$R$63:$AA$63,0))="",$E65&lt;&gt;"Yes",COUNTIF($H$25:$H$35,$C65)&gt;0,COUNTIF($D$25:$D$25,$C65)&gt;0),"",INDEX($R65:$AA65,MATCH($AB89,$R$63:$AA$63,0)))</f>
        <v/>
      </c>
      <c r="E89" s="244" t="str">
        <f>IF(OR($C66="",INDEX($R66:$AA66,MATCH($AB89,$R$63:$AA$63,0))="",$E66&lt;&gt;"Yes",COUNTIF($H$25:$H$35,$C66)&gt;0,COUNTIF($D$25:$D$25,$C66)&gt;0),"",INDEX($R66:$AA66,MATCH($AB89,$R$63:$AA$63,0)))</f>
        <v/>
      </c>
      <c r="F89" s="244" t="str">
        <f>IF(OR($C67="",INDEX($R67:$AA67,MATCH($AB89,$R$63:$AA$63,0))="",$E67&lt;&gt;"Yes",COUNTIF($H$25:$H$35,$C67)&gt;0,COUNTIF($D$25:$D$25,$C67)&gt;0),"",INDEX($R67:$AA67,MATCH($AB89,$R$63:$AA$63,0)))</f>
        <v/>
      </c>
      <c r="G89" s="244" t="str">
        <f>IF(OR($C68="",INDEX($R68:$AA68,MATCH($AB89,$R$63:$AA$63,0))="",$E68&lt;&gt;"Yes",COUNTIF($H$25:$H$35,$C68)&gt;0,COUNTIF($D$25:$D$25,$C68)&gt;0),"",INDEX($R68:$AA68,MATCH($AB89,$R$63:$AA$63,0)))</f>
        <v/>
      </c>
      <c r="H89" s="244" t="str">
        <f>IF(OR($C69="",INDEX($R69:$AA69,MATCH($AB89,$R$63:$AA$63,0))="",$E69&lt;&gt;"Yes",COUNTIF($H$25:$H$35,$C69)&gt;0,COUNTIF($D$25:$D$25,$C69)&gt;0),"",INDEX($R69:$AA69,MATCH($AB89,$R$63:$AA$63,0)))</f>
        <v/>
      </c>
      <c r="I89" s="244" t="str">
        <f>IF(OR($C70="",INDEX($R70:$AA70,MATCH($AB89,$R$63:$AA$63,0))="",$E70&lt;&gt;"Yes",COUNTIF($H$25:$H$35,$C70)&gt;0,COUNTIF($D$25:$D$25,$C70)&gt;0),"",INDEX($R70:$AA70,MATCH($AB89,$R$63:$AA$63,0)))</f>
        <v/>
      </c>
      <c r="J89" s="244" t="str">
        <f>IF(OR($C71="",INDEX($R71:$AA71,MATCH($AB89,$R$63:$AA$63,0))="",$E71&lt;&gt;"Yes",COUNTIF($H$25:$H$35,$C71)&gt;0,COUNTIF($D$25:$D$25,$C71)&gt;0),"",INDEX($R71:$AA71,MATCH($AB89,$R$63:$AA$63,0)))</f>
        <v/>
      </c>
      <c r="K89" s="244" t="str">
        <f>IF(OR($C72="",INDEX($R72:$AA72,MATCH($AB89,$R$63:$AA$63,0))="",$E72&lt;&gt;"Yes",COUNTIF($H$25:$H$35,$C72)&gt;0,COUNTIF($D$25:$D$25,$C72)&gt;0),"",INDEX($R72:$AA72,MATCH($AB89,$R$63:$AA$63,0)))</f>
        <v/>
      </c>
      <c r="L89" s="244" t="str">
        <f>IF(OR($C73="",INDEX($R73:$AA73,MATCH($AB89,$R$63:$AA$63,0))="",$E73&lt;&gt;"Yes",COUNTIF($H$25:$H$35,$C73)&gt;0,COUNTIF($D$25:$D$25,$C73)&gt;0),"",INDEX($R73:$AA73,MATCH($AB89,$R$63:$AA$63,0)))</f>
        <v/>
      </c>
      <c r="M89" s="244" t="str">
        <f>IF(OR($C74="",INDEX($R74:$AA74,MATCH($AB89,$R$63:$AA$63,0))="",$E74&lt;&gt;"Yes",COUNTIF($H$25:$H$35,$C74)&gt;0,COUNTIF($D$25:$D$25,$C74)&gt;0),"",INDEX($R74:$AA74,MATCH($AB89,$R$63:$AA$63,0)))</f>
        <v/>
      </c>
      <c r="N89" s="244" t="str">
        <f>IF(OR($C75="",INDEX($R75:$AA75,MATCH($AB89,$R$63:$AA$63,0))="",$E75&lt;&gt;"Yes",COUNTIF($H$25:$H$35,$C75)&gt;0,COUNTIF($D$25:$D$25,$C75)&gt;0),"",INDEX($R75:$AA75,MATCH($AB89,$R$63:$AA$63,0)))</f>
        <v/>
      </c>
      <c r="O89" s="244" t="str">
        <f>IF(OR($C76="",INDEX($R76:$AA76,MATCH($AB89,$R$63:$AA$63,0))="",$E76&lt;&gt;"Yes",COUNTIF($H$25:$H$35,$C76)&gt;0,COUNTIF($D$25:$D$25,$C76)&gt;0),"",INDEX($R76:$AA76,MATCH($AB89,$R$63:$AA$63,0)))</f>
        <v/>
      </c>
      <c r="P89" s="244" t="str">
        <f>IF(OR($C77="",INDEX($R77:$AA77,MATCH($AB89,$R$63:$AA$63,0))="",$E77&lt;&gt;"Yes",COUNTIF($H$25:$H$35,$C77)&gt;0,COUNTIF($D$25:$D$25,$C77)&gt;0),"",INDEX($R77:$AA77,MATCH($AB89,$R$63:$AA$63,0)))</f>
        <v/>
      </c>
      <c r="Q89" s="244" t="str">
        <f>IF(OR($C78="",INDEX($R78:$AA78,MATCH($AB89,$R$63:$AA$63,0))="",$E78&lt;&gt;"Yes",COUNTIF($H$25:$H$35,$C78)&gt;0,COUNTIF($D$25:$D$25,$C78)&gt;0),"",INDEX($R78:$AA78,MATCH($AB89,$R$63:$AA$63,0)))</f>
        <v/>
      </c>
      <c r="R89" s="244" t="str">
        <f>IF(OR($C79="",INDEX($R79:$AA79,MATCH($AB89,$R$63:$AA$63,0))="",$E79&lt;&gt;"Yes",COUNTIF($H$25:$H$35,$C79)&gt;0,COUNTIF($D$25:$D$25,$C79)&gt;0),"",INDEX($R79:$AA79,MATCH($AB89,$R$63:$AA$63,0)))</f>
        <v/>
      </c>
      <c r="S89" s="244" t="str">
        <f>IF(OR($C80="",INDEX($R80:$AA80,MATCH($AB89,$R$63:$AA$63,0))="",$E80&lt;&gt;"Yes",COUNTIF($H$25:$H$35,$C80)&gt;0,COUNTIF($D$25:$D$25,$C80)&gt;0),"",INDEX($R80:$AA80,MATCH($AB89,$R$63:$AA$63,0)))</f>
        <v/>
      </c>
      <c r="T89" s="244" t="str">
        <f>IF(OR($C81="",INDEX($R81:$AA81,MATCH($AB89,$R$63:$AA$63,0))="",$E81&lt;&gt;"Yes",COUNTIF($H$25:$H$35,$C81)&gt;0,COUNTIF($D$25:$D$25,$C81)&gt;0),"",INDEX($R81:$AA81,MATCH($AB89,$R$63:$AA$63,0)))</f>
        <v/>
      </c>
      <c r="U89" s="244" t="str">
        <f>IF(OR($C82="",INDEX($R82:$AA82,MATCH($AB89,$R$63:$AA$63,0))="",$E82&lt;&gt;"Yes",COUNTIF($H$25:$H$35,$C82)&gt;0,COUNTIF($D$25:$D$25,$C82)&gt;0),"",INDEX($R82:$AA82,MATCH($AB89,$R$63:$AA$63,0)))</f>
        <v/>
      </c>
      <c r="V89" s="244" t="str">
        <f>IF(OR($C83="",INDEX($R83:$AA83,MATCH($AB89,$R$63:$AA$63,0))="",$E83&lt;&gt;"Yes",COUNTIF($H$25:$H$35,$C83)&gt;0,COUNTIF($D$25:$D$25,$C83)&gt;0),"",INDEX($R83:$AA83,MATCH($AB89,$R$63:$AA$63,0)))</f>
        <v/>
      </c>
      <c r="X89">
        <v>2</v>
      </c>
      <c r="Y89" t="s">
        <v>252</v>
      </c>
      <c r="Z89" t="s">
        <v>259</v>
      </c>
      <c r="AA89" t="str">
        <f t="shared" ref="AA89:AA98" si="40">IF($L$6="3-5-2",Z89,Y89)</f>
        <v>CB</v>
      </c>
      <c r="AB89" t="str">
        <f t="shared" ref="AB89:AB98" si="41">IF(AA89="RWB","RB",IF(AA89="LWB","LB",AA89))</f>
        <v>CB</v>
      </c>
    </row>
    <row r="90" spans="2:54" hidden="1" outlineLevel="1" x14ac:dyDescent="0.45">
      <c r="B90" s="243" t="str">
        <f>3&amp;" "&amp;$AA$90</f>
        <v>3 CB</v>
      </c>
      <c r="C90" s="244" t="str">
        <f>IF(OR($C64="",INDEX($R64:$AA64,MATCH($AB90,$R$63:$AA$63,0))="",$E64&lt;&gt;"Yes",COUNTIF($H$25:$H$35,$C64)&gt;0,COUNTIF($D$25:$D$26,$C64)&gt;0),"",INDEX($R64:$AA64,MATCH($AB90,$R$63:$AA$63,0)))</f>
        <v/>
      </c>
      <c r="D90" s="244" t="str">
        <f>IF(OR($C65="",INDEX($R65:$AA65,MATCH($AB90,$R$63:$AA$63,0))="",$E65&lt;&gt;"Yes",COUNTIF($H$25:$H$35,$C65)&gt;0,COUNTIF($D$25:$D$26,$C65)&gt;0),"",INDEX($R65:$AA65,MATCH($AB90,$R$63:$AA$63,0)))</f>
        <v/>
      </c>
      <c r="E90" s="244" t="str">
        <f>IF(OR($C66="",INDEX($R66:$AA66,MATCH($AB90,$R$63:$AA$63,0))="",$E66&lt;&gt;"Yes",COUNTIF($H$25:$H$35,$C66)&gt;0,COUNTIF($D$25:$D$26,$C66)&gt;0),"",INDEX($R66:$AA66,MATCH($AB90,$R$63:$AA$63,0)))</f>
        <v/>
      </c>
      <c r="F90" s="244" t="str">
        <f>IF(OR($C67="",INDEX($R67:$AA67,MATCH($AB90,$R$63:$AA$63,0))="",$E67&lt;&gt;"Yes",COUNTIF($H$25:$H$35,$C67)&gt;0,COUNTIF($D$25:$D$26,$C67)&gt;0),"",INDEX($R67:$AA67,MATCH($AB90,$R$63:$AA$63,0)))</f>
        <v/>
      </c>
      <c r="G90" s="244" t="str">
        <f>IF(OR($C68="",INDEX($R68:$AA68,MATCH($AB90,$R$63:$AA$63,0))="",$E68&lt;&gt;"Yes",COUNTIF($H$25:$H$35,$C68)&gt;0,COUNTIF($D$25:$D$26,$C68)&gt;0),"",INDEX($R68:$AA68,MATCH($AB90,$R$63:$AA$63,0)))</f>
        <v/>
      </c>
      <c r="H90" s="244" t="str">
        <f>IF(OR($C69="",INDEX($R69:$AA69,MATCH($AB90,$R$63:$AA$63,0))="",$E69&lt;&gt;"Yes",COUNTIF($H$25:$H$35,$C69)&gt;0,COUNTIF($D$25:$D$26,$C69)&gt;0),"",INDEX($R69:$AA69,MATCH($AB90,$R$63:$AA$63,0)))</f>
        <v/>
      </c>
      <c r="I90" s="244" t="str">
        <f>IF(OR($C70="",INDEX($R70:$AA70,MATCH($AB90,$R$63:$AA$63,0))="",$E70&lt;&gt;"Yes",COUNTIF($H$25:$H$35,$C70)&gt;0,COUNTIF($D$25:$D$26,$C70)&gt;0),"",INDEX($R70:$AA70,MATCH($AB90,$R$63:$AA$63,0)))</f>
        <v/>
      </c>
      <c r="J90" s="244" t="str">
        <f>IF(OR($C71="",INDEX($R71:$AA71,MATCH($AB90,$R$63:$AA$63,0))="",$E71&lt;&gt;"Yes",COUNTIF($H$25:$H$35,$C71)&gt;0,COUNTIF($D$25:$D$26,$C71)&gt;0),"",INDEX($R71:$AA71,MATCH($AB90,$R$63:$AA$63,0)))</f>
        <v/>
      </c>
      <c r="K90" s="244" t="str">
        <f>IF(OR($C72="",INDEX($R72:$AA72,MATCH($AB90,$R$63:$AA$63,0))="",$E72&lt;&gt;"Yes",COUNTIF($H$25:$H$35,$C72)&gt;0,COUNTIF($D$25:$D$26,$C72)&gt;0),"",INDEX($R72:$AA72,MATCH($AB90,$R$63:$AA$63,0)))</f>
        <v/>
      </c>
      <c r="L90" s="244" t="str">
        <f>IF(OR($C73="",INDEX($R73:$AA73,MATCH($AB90,$R$63:$AA$63,0))="",$E73&lt;&gt;"Yes",COUNTIF($H$25:$H$35,$C73)&gt;0,COUNTIF($D$25:$D$26,$C73)&gt;0),"",INDEX($R73:$AA73,MATCH($AB90,$R$63:$AA$63,0)))</f>
        <v/>
      </c>
      <c r="M90" s="244" t="str">
        <f>IF(OR($C74="",INDEX($R74:$AA74,MATCH($AB90,$R$63:$AA$63,0))="",$E74&lt;&gt;"Yes",COUNTIF($H$25:$H$35,$C74)&gt;0,COUNTIF($D$25:$D$26,$C74)&gt;0),"",INDEX($R74:$AA74,MATCH($AB90,$R$63:$AA$63,0)))</f>
        <v/>
      </c>
      <c r="N90" s="244" t="str">
        <f>IF(OR($C75="",INDEX($R75:$AA75,MATCH($AB90,$R$63:$AA$63,0))="",$E75&lt;&gt;"Yes",COUNTIF($H$25:$H$35,$C75)&gt;0,COUNTIF($D$25:$D$26,$C75)&gt;0),"",INDEX($R75:$AA75,MATCH($AB90,$R$63:$AA$63,0)))</f>
        <v/>
      </c>
      <c r="O90" s="244" t="str">
        <f>IF(OR($C76="",INDEX($R76:$AA76,MATCH($AB90,$R$63:$AA$63,0))="",$E76&lt;&gt;"Yes",COUNTIF($H$25:$H$35,$C76)&gt;0,COUNTIF($D$25:$D$26,$C76)&gt;0),"",INDEX($R76:$AA76,MATCH($AB90,$R$63:$AA$63,0)))</f>
        <v/>
      </c>
      <c r="P90" s="244" t="str">
        <f>IF(OR($C77="",INDEX($R77:$AA77,MATCH($AB90,$R$63:$AA$63,0))="",$E77&lt;&gt;"Yes",COUNTIF($H$25:$H$35,$C77)&gt;0,COUNTIF($D$25:$D$26,$C77)&gt;0),"",INDEX($R77:$AA77,MATCH($AB90,$R$63:$AA$63,0)))</f>
        <v/>
      </c>
      <c r="Q90" s="244" t="str">
        <f>IF(OR($C78="",INDEX($R78:$AA78,MATCH($AB90,$R$63:$AA$63,0))="",$E78&lt;&gt;"Yes",COUNTIF($H$25:$H$35,$C78)&gt;0,COUNTIF($D$25:$D$26,$C78)&gt;0),"",INDEX($R78:$AA78,MATCH($AB90,$R$63:$AA$63,0)))</f>
        <v/>
      </c>
      <c r="R90" s="244" t="str">
        <f>IF(OR($C79="",INDEX($R79:$AA79,MATCH($AB90,$R$63:$AA$63,0))="",$E79&lt;&gt;"Yes",COUNTIF($H$25:$H$35,$C79)&gt;0,COUNTIF($D$25:$D$26,$C79)&gt;0),"",INDEX($R79:$AA79,MATCH($AB90,$R$63:$AA$63,0)))</f>
        <v/>
      </c>
      <c r="S90" s="244" t="str">
        <f>IF(OR($C80="",INDEX($R80:$AA80,MATCH($AB90,$R$63:$AA$63,0))="",$E80&lt;&gt;"Yes",COUNTIF($H$25:$H$35,$C80)&gt;0,COUNTIF($D$25:$D$26,$C80)&gt;0),"",INDEX($R80:$AA80,MATCH($AB90,$R$63:$AA$63,0)))</f>
        <v/>
      </c>
      <c r="T90" s="244" t="str">
        <f>IF(OR($C81="",INDEX($R81:$AA81,MATCH($AB90,$R$63:$AA$63,0))="",$E81&lt;&gt;"Yes",COUNTIF($H$25:$H$35,$C81)&gt;0,COUNTIF($D$25:$D$26,$C81)&gt;0),"",INDEX($R81:$AA81,MATCH($AB90,$R$63:$AA$63,0)))</f>
        <v/>
      </c>
      <c r="U90" s="244" t="str">
        <f>IF(OR($C82="",INDEX($R82:$AA82,MATCH($AB90,$R$63:$AA$63,0))="",$E82&lt;&gt;"Yes",COUNTIF($H$25:$H$35,$C82)&gt;0,COUNTIF($D$25:$D$26,$C82)&gt;0),"",INDEX($R82:$AA82,MATCH($AB90,$R$63:$AA$63,0)))</f>
        <v/>
      </c>
      <c r="V90" s="244" t="str">
        <f>IF(OR($C83="",INDEX($R83:$AA83,MATCH($AB90,$R$63:$AA$63,0))="",$E83&lt;&gt;"Yes",COUNTIF($H$25:$H$35,$C83)&gt;0,COUNTIF($D$25:$D$26,$C83)&gt;0),"",INDEX($R83:$AA83,MATCH($AB90,$R$63:$AA$63,0)))</f>
        <v/>
      </c>
      <c r="X90">
        <v>3</v>
      </c>
      <c r="Y90" t="s">
        <v>259</v>
      </c>
      <c r="Z90" t="s">
        <v>259</v>
      </c>
      <c r="AA90" t="str">
        <f t="shared" si="40"/>
        <v>CB</v>
      </c>
      <c r="AB90" t="str">
        <f t="shared" si="41"/>
        <v>CB</v>
      </c>
    </row>
    <row r="91" spans="2:54" hidden="1" outlineLevel="1" x14ac:dyDescent="0.45">
      <c r="B91" s="243" t="str">
        <f>4&amp;" "&amp;$AA$91</f>
        <v>4 CB</v>
      </c>
      <c r="C91" s="244" t="str">
        <f>IF(OR($C64="",INDEX($R64:$AA64,MATCH($AB91,$R$63:$AA$63,0))="",$E64&lt;&gt;"Yes",COUNTIF($H$25:$H$35,$C64)&gt;0,COUNTIF($D$25:$D$27,$C64)&gt;0),"",INDEX($R64:$AA64,MATCH($AB91,$R$63:$AA$63,0)))</f>
        <v/>
      </c>
      <c r="D91" s="244" t="str">
        <f>IF(OR($C65="",INDEX($R65:$AA65,MATCH($AB91,$R$63:$AA$63,0))="",$E65&lt;&gt;"Yes",COUNTIF($H$25:$H$35,$C65)&gt;0,COUNTIF($D$25:$D$27,$C65)&gt;0),"",INDEX($R65:$AA65,MATCH($AB91,$R$63:$AA$63,0)))</f>
        <v/>
      </c>
      <c r="E91" s="244" t="str">
        <f>IF(OR($C66="",INDEX($R66:$AA66,MATCH($AB91,$R$63:$AA$63,0))="",$E66&lt;&gt;"Yes",COUNTIF($H$25:$H$35,$C66)&gt;0,COUNTIF($D$25:$D$27,$C66)&gt;0),"",INDEX($R66:$AA66,MATCH($AB91,$R$63:$AA$63,0)))</f>
        <v/>
      </c>
      <c r="F91" s="244" t="str">
        <f>IF(OR($C67="",INDEX($R67:$AA67,MATCH($AB91,$R$63:$AA$63,0))="",$E67&lt;&gt;"Yes",COUNTIF($H$25:$H$35,$C67)&gt;0,COUNTIF($D$25:$D$27,$C67)&gt;0),"",INDEX($R67:$AA67,MATCH($AB91,$R$63:$AA$63,0)))</f>
        <v/>
      </c>
      <c r="G91" s="244" t="str">
        <f>IF(OR($C68="",INDEX($R68:$AA68,MATCH($AB91,$R$63:$AA$63,0))="",$E68&lt;&gt;"Yes",COUNTIF($H$25:$H$35,$C68)&gt;0,COUNTIF($D$25:$D$27,$C68)&gt;0),"",INDEX($R68:$AA68,MATCH($AB91,$R$63:$AA$63,0)))</f>
        <v/>
      </c>
      <c r="H91" s="244" t="str">
        <f>IF(OR($C69="",INDEX($R69:$AA69,MATCH($AB91,$R$63:$AA$63,0))="",$E69&lt;&gt;"Yes",COUNTIF($H$25:$H$35,$C69)&gt;0,COUNTIF($D$25:$D$27,$C69)&gt;0),"",INDEX($R69:$AA69,MATCH($AB91,$R$63:$AA$63,0)))</f>
        <v/>
      </c>
      <c r="I91" s="244" t="str">
        <f>IF(OR($C70="",INDEX($R70:$AA70,MATCH($AB91,$R$63:$AA$63,0))="",$E70&lt;&gt;"Yes",COUNTIF($H$25:$H$35,$C70)&gt;0,COUNTIF($D$25:$D$27,$C70)&gt;0),"",INDEX($R70:$AA70,MATCH($AB91,$R$63:$AA$63,0)))</f>
        <v/>
      </c>
      <c r="J91" s="244" t="str">
        <f>IF(OR($C71="",INDEX($R71:$AA71,MATCH($AB91,$R$63:$AA$63,0))="",$E71&lt;&gt;"Yes",COUNTIF($H$25:$H$35,$C71)&gt;0,COUNTIF($D$25:$D$27,$C71)&gt;0),"",INDEX($R71:$AA71,MATCH($AB91,$R$63:$AA$63,0)))</f>
        <v/>
      </c>
      <c r="K91" s="244" t="str">
        <f>IF(OR($C72="",INDEX($R72:$AA72,MATCH($AB91,$R$63:$AA$63,0))="",$E72&lt;&gt;"Yes",COUNTIF($H$25:$H$35,$C72)&gt;0,COUNTIF($D$25:$D$27,$C72)&gt;0),"",INDEX($R72:$AA72,MATCH($AB91,$R$63:$AA$63,0)))</f>
        <v/>
      </c>
      <c r="L91" s="244" t="str">
        <f>IF(OR($C73="",INDEX($R73:$AA73,MATCH($AB91,$R$63:$AA$63,0))="",$E73&lt;&gt;"Yes",COUNTIF($H$25:$H$35,$C73)&gt;0,COUNTIF($D$25:$D$27,$C73)&gt;0),"",INDEX($R73:$AA73,MATCH($AB91,$R$63:$AA$63,0)))</f>
        <v/>
      </c>
      <c r="M91" s="244" t="str">
        <f>IF(OR($C74="",INDEX($R74:$AA74,MATCH($AB91,$R$63:$AA$63,0))="",$E74&lt;&gt;"Yes",COUNTIF($H$25:$H$35,$C74)&gt;0,COUNTIF($D$25:$D$27,$C74)&gt;0),"",INDEX($R74:$AA74,MATCH($AB91,$R$63:$AA$63,0)))</f>
        <v/>
      </c>
      <c r="N91" s="244" t="str">
        <f>IF(OR($C75="",INDEX($R75:$AA75,MATCH($AB91,$R$63:$AA$63,0))="",$E75&lt;&gt;"Yes",COUNTIF($H$25:$H$35,$C75)&gt;0,COUNTIF($D$25:$D$27,$C75)&gt;0),"",INDEX($R75:$AA75,MATCH($AB91,$R$63:$AA$63,0)))</f>
        <v/>
      </c>
      <c r="O91" s="244" t="str">
        <f>IF(OR($C76="",INDEX($R76:$AA76,MATCH($AB91,$R$63:$AA$63,0))="",$E76&lt;&gt;"Yes",COUNTIF($H$25:$H$35,$C76)&gt;0,COUNTIF($D$25:$D$27,$C76)&gt;0),"",INDEX($R76:$AA76,MATCH($AB91,$R$63:$AA$63,0)))</f>
        <v/>
      </c>
      <c r="P91" s="244" t="str">
        <f>IF(OR($C77="",INDEX($R77:$AA77,MATCH($AB91,$R$63:$AA$63,0))="",$E77&lt;&gt;"Yes",COUNTIF($H$25:$H$35,$C77)&gt;0,COUNTIF($D$25:$D$27,$C77)&gt;0),"",INDEX($R77:$AA77,MATCH($AB91,$R$63:$AA$63,0)))</f>
        <v/>
      </c>
      <c r="Q91" s="244" t="str">
        <f>IF(OR($C78="",INDEX($R78:$AA78,MATCH($AB91,$R$63:$AA$63,0))="",$E78&lt;&gt;"Yes",COUNTIF($H$25:$H$35,$C78)&gt;0,COUNTIF($D$25:$D$27,$C78)&gt;0),"",INDEX($R78:$AA78,MATCH($AB91,$R$63:$AA$63,0)))</f>
        <v/>
      </c>
      <c r="R91" s="244" t="str">
        <f>IF(OR($C79="",INDEX($R79:$AA79,MATCH($AB91,$R$63:$AA$63,0))="",$E79&lt;&gt;"Yes",COUNTIF($H$25:$H$35,$C79)&gt;0,COUNTIF($D$25:$D$27,$C79)&gt;0),"",INDEX($R79:$AA79,MATCH($AB91,$R$63:$AA$63,0)))</f>
        <v/>
      </c>
      <c r="S91" s="244" t="str">
        <f>IF(OR($C80="",INDEX($R80:$AA80,MATCH($AB91,$R$63:$AA$63,0))="",$E80&lt;&gt;"Yes",COUNTIF($H$25:$H$35,$C80)&gt;0,COUNTIF($D$25:$D$27,$C80)&gt;0),"",INDEX($R80:$AA80,MATCH($AB91,$R$63:$AA$63,0)))</f>
        <v/>
      </c>
      <c r="T91" s="244" t="str">
        <f>IF(OR($C81="",INDEX($R81:$AA81,MATCH($AB91,$R$63:$AA$63,0))="",$E81&lt;&gt;"Yes",COUNTIF($H$25:$H$35,$C81)&gt;0,COUNTIF($D$25:$D$27,$C81)&gt;0),"",INDEX($R81:$AA81,MATCH($AB91,$R$63:$AA$63,0)))</f>
        <v/>
      </c>
      <c r="U91" s="244" t="str">
        <f>IF(OR($C82="",INDEX($R82:$AA82,MATCH($AB91,$R$63:$AA$63,0))="",$E82&lt;&gt;"Yes",COUNTIF($H$25:$H$35,$C82)&gt;0,COUNTIF($D$25:$D$27,$C82)&gt;0),"",INDEX($R82:$AA82,MATCH($AB91,$R$63:$AA$63,0)))</f>
        <v/>
      </c>
      <c r="V91" s="244" t="str">
        <f>IF(OR($C83="",INDEX($R83:$AA83,MATCH($AB91,$R$63:$AA$63,0))="",$E83&lt;&gt;"Yes",COUNTIF($H$25:$H$35,$C83)&gt;0,COUNTIF($D$25:$D$27,$C83)&gt;0),"",INDEX($R83:$AA83,MATCH($AB91,$R$63:$AA$63,0)))</f>
        <v/>
      </c>
      <c r="X91">
        <v>4</v>
      </c>
      <c r="Y91" t="s">
        <v>259</v>
      </c>
      <c r="Z91" t="s">
        <v>259</v>
      </c>
      <c r="AA91" t="str">
        <f t="shared" si="40"/>
        <v>CB</v>
      </c>
      <c r="AB91" t="str">
        <f t="shared" si="41"/>
        <v>CB</v>
      </c>
    </row>
    <row r="92" spans="2:54" hidden="1" outlineLevel="1" x14ac:dyDescent="0.45">
      <c r="B92" s="243" t="str">
        <f>5&amp;" "&amp;$AA$92</f>
        <v>5 RWB</v>
      </c>
      <c r="C92" s="244" t="str">
        <f>IF(OR($C64="",INDEX($R64:$AA64,MATCH($AB92,$R$63:$AA$63,0))="",$E64&lt;&gt;"Yes",COUNTIF($H$25:$H$35,$C64)&gt;0,COUNTIF($D$25:$D$28,$C64)&gt;0),"",INDEX($R64:$AA64,MATCH($AB92,$R$63:$AA$63,0)))</f>
        <v/>
      </c>
      <c r="D92" s="244" t="str">
        <f>IF(OR($C65="",INDEX($R65:$AA65,MATCH($AB92,$R$63:$AA$63,0))="",$E65&lt;&gt;"Yes",COUNTIF($H$25:$H$35,$C65)&gt;0,COUNTIF($D$25:$D$28,$C65)&gt;0),"",INDEX($R65:$AA65,MATCH($AB92,$R$63:$AA$63,0)))</f>
        <v/>
      </c>
      <c r="E92" s="244" t="str">
        <f>IF(OR($C66="",INDEX($R66:$AA66,MATCH($AB92,$R$63:$AA$63,0))="",$E66&lt;&gt;"Yes",COUNTIF($H$25:$H$35,$C66)&gt;0,COUNTIF($D$25:$D$28,$C66)&gt;0),"",INDEX($R66:$AA66,MATCH($AB92,$R$63:$AA$63,0)))</f>
        <v/>
      </c>
      <c r="F92" s="244">
        <f>IF(OR($C67="",INDEX($R67:$AA67,MATCH($AB92,$R$63:$AA$63,0))="",$E67&lt;&gt;"Yes",COUNTIF($H$25:$H$35,$C67)&gt;0,COUNTIF($D$25:$D$28,$C67)&gt;0),"",INDEX($R67:$AA67,MATCH($AB92,$R$63:$AA$63,0)))</f>
        <v>3.7555555555555555</v>
      </c>
      <c r="G92" s="244" t="str">
        <f>IF(OR($C68="",INDEX($R68:$AA68,MATCH($AB92,$R$63:$AA$63,0))="",$E68&lt;&gt;"Yes",COUNTIF($H$25:$H$35,$C68)&gt;0,COUNTIF($D$25:$D$28,$C68)&gt;0),"",INDEX($R68:$AA68,MATCH($AB92,$R$63:$AA$63,0)))</f>
        <v/>
      </c>
      <c r="H92" s="244" t="str">
        <f>IF(OR($C69="",INDEX($R69:$AA69,MATCH($AB92,$R$63:$AA$63,0))="",$E69&lt;&gt;"Yes",COUNTIF($H$25:$H$35,$C69)&gt;0,COUNTIF($D$25:$D$28,$C69)&gt;0),"",INDEX($R69:$AA69,MATCH($AB92,$R$63:$AA$63,0)))</f>
        <v/>
      </c>
      <c r="I92" s="244" t="str">
        <f>IF(OR($C70="",INDEX($R70:$AA70,MATCH($AB92,$R$63:$AA$63,0))="",$E70&lt;&gt;"Yes",COUNTIF($H$25:$H$35,$C70)&gt;0,COUNTIF($D$25:$D$28,$C70)&gt;0),"",INDEX($R70:$AA70,MATCH($AB92,$R$63:$AA$63,0)))</f>
        <v/>
      </c>
      <c r="J92" s="244" t="str">
        <f>IF(OR($C71="",INDEX($R71:$AA71,MATCH($AB92,$R$63:$AA$63,0))="",$E71&lt;&gt;"Yes",COUNTIF($H$25:$H$35,$C71)&gt;0,COUNTIF($D$25:$D$28,$C71)&gt;0),"",INDEX($R71:$AA71,MATCH($AB92,$R$63:$AA$63,0)))</f>
        <v/>
      </c>
      <c r="K92" s="244" t="str">
        <f>IF(OR($C72="",INDEX($R72:$AA72,MATCH($AB92,$R$63:$AA$63,0))="",$E72&lt;&gt;"Yes",COUNTIF($H$25:$H$35,$C72)&gt;0,COUNTIF($D$25:$D$28,$C72)&gt;0),"",INDEX($R72:$AA72,MATCH($AB92,$R$63:$AA$63,0)))</f>
        <v/>
      </c>
      <c r="L92" s="244" t="str">
        <f>IF(OR($C73="",INDEX($R73:$AA73,MATCH($AB92,$R$63:$AA$63,0))="",$E73&lt;&gt;"Yes",COUNTIF($H$25:$H$35,$C73)&gt;0,COUNTIF($D$25:$D$28,$C73)&gt;0),"",INDEX($R73:$AA73,MATCH($AB92,$R$63:$AA$63,0)))</f>
        <v/>
      </c>
      <c r="M92" s="244" t="str">
        <f>IF(OR($C74="",INDEX($R74:$AA74,MATCH($AB92,$R$63:$AA$63,0))="",$E74&lt;&gt;"Yes",COUNTIF($H$25:$H$35,$C74)&gt;0,COUNTIF($D$25:$D$28,$C74)&gt;0),"",INDEX($R74:$AA74,MATCH($AB92,$R$63:$AA$63,0)))</f>
        <v/>
      </c>
      <c r="N92" s="244" t="str">
        <f>IF(OR($C75="",INDEX($R75:$AA75,MATCH($AB92,$R$63:$AA$63,0))="",$E75&lt;&gt;"Yes",COUNTIF($H$25:$H$35,$C75)&gt;0,COUNTIF($D$25:$D$28,$C75)&gt;0),"",INDEX($R75:$AA75,MATCH($AB92,$R$63:$AA$63,0)))</f>
        <v/>
      </c>
      <c r="O92" s="244" t="str">
        <f>IF(OR($C76="",INDEX($R76:$AA76,MATCH($AB92,$R$63:$AA$63,0))="",$E76&lt;&gt;"Yes",COUNTIF($H$25:$H$35,$C76)&gt;0,COUNTIF($D$25:$D$28,$C76)&gt;0),"",INDEX($R76:$AA76,MATCH($AB92,$R$63:$AA$63,0)))</f>
        <v/>
      </c>
      <c r="P92" s="244" t="str">
        <f>IF(OR($C77="",INDEX($R77:$AA77,MATCH($AB92,$R$63:$AA$63,0))="",$E77&lt;&gt;"Yes",COUNTIF($H$25:$H$35,$C77)&gt;0,COUNTIF($D$25:$D$28,$C77)&gt;0),"",INDEX($R77:$AA77,MATCH($AB92,$R$63:$AA$63,0)))</f>
        <v/>
      </c>
      <c r="Q92" s="244" t="str">
        <f>IF(OR($C78="",INDEX($R78:$AA78,MATCH($AB92,$R$63:$AA$63,0))="",$E78&lt;&gt;"Yes",COUNTIF($H$25:$H$35,$C78)&gt;0,COUNTIF($D$25:$D$28,$C78)&gt;0),"",INDEX($R78:$AA78,MATCH($AB92,$R$63:$AA$63,0)))</f>
        <v/>
      </c>
      <c r="R92" s="244" t="str">
        <f>IF(OR($C79="",INDEX($R79:$AA79,MATCH($AB92,$R$63:$AA$63,0))="",$E79&lt;&gt;"Yes",COUNTIF($H$25:$H$35,$C79)&gt;0,COUNTIF($D$25:$D$28,$C79)&gt;0),"",INDEX($R79:$AA79,MATCH($AB92,$R$63:$AA$63,0)))</f>
        <v/>
      </c>
      <c r="S92" s="244" t="str">
        <f>IF(OR($C80="",INDEX($R80:$AA80,MATCH($AB92,$R$63:$AA$63,0))="",$E80&lt;&gt;"Yes",COUNTIF($H$25:$H$35,$C80)&gt;0,COUNTIF($D$25:$D$28,$C80)&gt;0),"",INDEX($R80:$AA80,MATCH($AB92,$R$63:$AA$63,0)))</f>
        <v/>
      </c>
      <c r="T92" s="244" t="str">
        <f>IF(OR($C81="",INDEX($R81:$AA81,MATCH($AB92,$R$63:$AA$63,0))="",$E81&lt;&gt;"Yes",COUNTIF($H$25:$H$35,$C81)&gt;0,COUNTIF($D$25:$D$28,$C81)&gt;0),"",INDEX($R81:$AA81,MATCH($AB92,$R$63:$AA$63,0)))</f>
        <v/>
      </c>
      <c r="U92" s="244" t="str">
        <f>IF(OR($C82="",INDEX($R82:$AA82,MATCH($AB92,$R$63:$AA$63,0))="",$E82&lt;&gt;"Yes",COUNTIF($H$25:$H$35,$C82)&gt;0,COUNTIF($D$25:$D$28,$C82)&gt;0),"",INDEX($R82:$AA82,MATCH($AB92,$R$63:$AA$63,0)))</f>
        <v/>
      </c>
      <c r="V92" s="244" t="str">
        <f>IF(OR($C83="",INDEX($R83:$AA83,MATCH($AB92,$R$63:$AA$63,0))="",$E83&lt;&gt;"Yes",COUNTIF($H$25:$H$35,$C83)&gt;0,COUNTIF($D$25:$D$28,$C83)&gt;0),"",INDEX($R83:$AA83,MATCH($AB92,$R$63:$AA$63,0)))</f>
        <v/>
      </c>
      <c r="X92">
        <v>5</v>
      </c>
      <c r="Y92" t="s">
        <v>269</v>
      </c>
      <c r="Z92" t="s">
        <v>487</v>
      </c>
      <c r="AA92" t="str">
        <f t="shared" si="40"/>
        <v>RWB</v>
      </c>
      <c r="AB92" t="str">
        <f t="shared" si="41"/>
        <v>RB</v>
      </c>
    </row>
    <row r="93" spans="2:54" hidden="1" outlineLevel="1" x14ac:dyDescent="0.45">
      <c r="B93" s="243" t="str">
        <f>6&amp;" "&amp;$AA$93</f>
        <v>6 LWB</v>
      </c>
      <c r="C93" s="244" t="str">
        <f>IF(OR($C64="",INDEX($R64:$AA64,MATCH($AB93,$R$63:$AA$63,0))="",$E64&lt;&gt;"Yes",COUNTIF($H$25:$H$35,$C64)&gt;0,COUNTIF($D$25:$D$29,$C64)&gt;0),"",INDEX($R64:$AA64,MATCH($AB93,$R$63:$AA$63,0)))</f>
        <v/>
      </c>
      <c r="D93" s="244" t="str">
        <f>IF(OR($C65="",INDEX($R65:$AA65,MATCH($AB93,$R$63:$AA$63,0))="",$E65&lt;&gt;"Yes",COUNTIF($H$25:$H$35,$C65)&gt;0,COUNTIF($D$25:$D$29,$C65)&gt;0),"",INDEX($R65:$AA65,MATCH($AB93,$R$63:$AA$63,0)))</f>
        <v/>
      </c>
      <c r="E93" s="244" t="str">
        <f>IF(OR($C66="",INDEX($R66:$AA66,MATCH($AB93,$R$63:$AA$63,0))="",$E66&lt;&gt;"Yes",COUNTIF($H$25:$H$35,$C66)&gt;0,COUNTIF($D$25:$D$29,$C66)&gt;0),"",INDEX($R66:$AA66,MATCH($AB93,$R$63:$AA$63,0)))</f>
        <v/>
      </c>
      <c r="F93" s="244">
        <f>IF(OR($C67="",INDEX($R67:$AA67,MATCH($AB93,$R$63:$AA$63,0))="",$E67&lt;&gt;"Yes",COUNTIF($H$25:$H$35,$C67)&gt;0,COUNTIF($D$25:$D$29,$C67)&gt;0),"",INDEX($R67:$AA67,MATCH($AB93,$R$63:$AA$63,0)))</f>
        <v>3.7555555555555555</v>
      </c>
      <c r="G93" s="244" t="str">
        <f>IF(OR($C68="",INDEX($R68:$AA68,MATCH($AB93,$R$63:$AA$63,0))="",$E68&lt;&gt;"Yes",COUNTIF($H$25:$H$35,$C68)&gt;0,COUNTIF($D$25:$D$29,$C68)&gt;0),"",INDEX($R68:$AA68,MATCH($AB93,$R$63:$AA$63,0)))</f>
        <v/>
      </c>
      <c r="H93" s="244" t="str">
        <f>IF(OR($C69="",INDEX($R69:$AA69,MATCH($AB93,$R$63:$AA$63,0))="",$E69&lt;&gt;"Yes",COUNTIF($H$25:$H$35,$C69)&gt;0,COUNTIF($D$25:$D$29,$C69)&gt;0),"",INDEX($R69:$AA69,MATCH($AB93,$R$63:$AA$63,0)))</f>
        <v/>
      </c>
      <c r="I93" s="244" t="str">
        <f>IF(OR($C70="",INDEX($R70:$AA70,MATCH($AB93,$R$63:$AA$63,0))="",$E70&lt;&gt;"Yes",COUNTIF($H$25:$H$35,$C70)&gt;0,COUNTIF($D$25:$D$29,$C70)&gt;0),"",INDEX($R70:$AA70,MATCH($AB93,$R$63:$AA$63,0)))</f>
        <v/>
      </c>
      <c r="J93" s="244" t="str">
        <f>IF(OR($C71="",INDEX($R71:$AA71,MATCH($AB93,$R$63:$AA$63,0))="",$E71&lt;&gt;"Yes",COUNTIF($H$25:$H$35,$C71)&gt;0,COUNTIF($D$25:$D$29,$C71)&gt;0),"",INDEX($R71:$AA71,MATCH($AB93,$R$63:$AA$63,0)))</f>
        <v/>
      </c>
      <c r="K93" s="244" t="str">
        <f>IF(OR($C72="",INDEX($R72:$AA72,MATCH($AB93,$R$63:$AA$63,0))="",$E72&lt;&gt;"Yes",COUNTIF($H$25:$H$35,$C72)&gt;0,COUNTIF($D$25:$D$29,$C72)&gt;0),"",INDEX($R72:$AA72,MATCH($AB93,$R$63:$AA$63,0)))</f>
        <v/>
      </c>
      <c r="L93" s="244" t="str">
        <f>IF(OR($C73="",INDEX($R73:$AA73,MATCH($AB93,$R$63:$AA$63,0))="",$E73&lt;&gt;"Yes",COUNTIF($H$25:$H$35,$C73)&gt;0,COUNTIF($D$25:$D$29,$C73)&gt;0),"",INDEX($R73:$AA73,MATCH($AB93,$R$63:$AA$63,0)))</f>
        <v/>
      </c>
      <c r="M93" s="244">
        <f>IF(OR($C74="",INDEX($R74:$AA74,MATCH($AB93,$R$63:$AA$63,0))="",$E74&lt;&gt;"Yes",COUNTIF($H$25:$H$35,$C74)&gt;0,COUNTIF($D$25:$D$29,$C74)&gt;0),"",INDEX($R74:$AA74,MATCH($AB93,$R$63:$AA$63,0)))</f>
        <v>13.133333333333333</v>
      </c>
      <c r="N93" s="244" t="str">
        <f>IF(OR($C75="",INDEX($R75:$AA75,MATCH($AB93,$R$63:$AA$63,0))="",$E75&lt;&gt;"Yes",COUNTIF($H$25:$H$35,$C75)&gt;0,COUNTIF($D$25:$D$29,$C75)&gt;0),"",INDEX($R75:$AA75,MATCH($AB93,$R$63:$AA$63,0)))</f>
        <v/>
      </c>
      <c r="O93" s="244" t="str">
        <f>IF(OR($C76="",INDEX($R76:$AA76,MATCH($AB93,$R$63:$AA$63,0))="",$E76&lt;&gt;"Yes",COUNTIF($H$25:$H$35,$C76)&gt;0,COUNTIF($D$25:$D$29,$C76)&gt;0),"",INDEX($R76:$AA76,MATCH($AB93,$R$63:$AA$63,0)))</f>
        <v/>
      </c>
      <c r="P93" s="244" t="str">
        <f>IF(OR($C77="",INDEX($R77:$AA77,MATCH($AB93,$R$63:$AA$63,0))="",$E77&lt;&gt;"Yes",COUNTIF($H$25:$H$35,$C77)&gt;0,COUNTIF($D$25:$D$29,$C77)&gt;0),"",INDEX($R77:$AA77,MATCH($AB93,$R$63:$AA$63,0)))</f>
        <v/>
      </c>
      <c r="Q93" s="244" t="str">
        <f>IF(OR($C78="",INDEX($R78:$AA78,MATCH($AB93,$R$63:$AA$63,0))="",$E78&lt;&gt;"Yes",COUNTIF($H$25:$H$35,$C78)&gt;0,COUNTIF($D$25:$D$29,$C78)&gt;0),"",INDEX($R78:$AA78,MATCH($AB93,$R$63:$AA$63,0)))</f>
        <v/>
      </c>
      <c r="R93" s="244" t="str">
        <f>IF(OR($C79="",INDEX($R79:$AA79,MATCH($AB93,$R$63:$AA$63,0))="",$E79&lt;&gt;"Yes",COUNTIF($H$25:$H$35,$C79)&gt;0,COUNTIF($D$25:$D$29,$C79)&gt;0),"",INDEX($R79:$AA79,MATCH($AB93,$R$63:$AA$63,0)))</f>
        <v/>
      </c>
      <c r="S93" s="244" t="str">
        <f>IF(OR($C80="",INDEX($R80:$AA80,MATCH($AB93,$R$63:$AA$63,0))="",$E80&lt;&gt;"Yes",COUNTIF($H$25:$H$35,$C80)&gt;0,COUNTIF($D$25:$D$29,$C80)&gt;0),"",INDEX($R80:$AA80,MATCH($AB93,$R$63:$AA$63,0)))</f>
        <v/>
      </c>
      <c r="T93" s="244" t="str">
        <f>IF(OR($C81="",INDEX($R81:$AA81,MATCH($AB93,$R$63:$AA$63,0))="",$E81&lt;&gt;"Yes",COUNTIF($H$25:$H$35,$C81)&gt;0,COUNTIF($D$25:$D$29,$C81)&gt;0),"",INDEX($R81:$AA81,MATCH($AB93,$R$63:$AA$63,0)))</f>
        <v/>
      </c>
      <c r="U93" s="244" t="str">
        <f>IF(OR($C82="",INDEX($R82:$AA82,MATCH($AB93,$R$63:$AA$63,0))="",$E82&lt;&gt;"Yes",COUNTIF($H$25:$H$35,$C82)&gt;0,COUNTIF($D$25:$D$29,$C82)&gt;0),"",INDEX($R82:$AA82,MATCH($AB93,$R$63:$AA$63,0)))</f>
        <v/>
      </c>
      <c r="V93" s="244" t="str">
        <f>IF(OR($C83="",INDEX($R83:$AA83,MATCH($AB93,$R$63:$AA$63,0))="",$E83&lt;&gt;"Yes",COUNTIF($H$25:$H$35,$C83)&gt;0,COUNTIF($D$25:$D$29,$C83)&gt;0),"",INDEX($R83:$AA83,MATCH($AB93,$R$63:$AA$63,0)))</f>
        <v/>
      </c>
      <c r="X93">
        <v>6</v>
      </c>
      <c r="Y93" t="s">
        <v>272</v>
      </c>
      <c r="Z93" t="s">
        <v>488</v>
      </c>
      <c r="AA93" t="str">
        <f t="shared" si="40"/>
        <v>LWB</v>
      </c>
      <c r="AB93" t="str">
        <f t="shared" si="41"/>
        <v>LB</v>
      </c>
    </row>
    <row r="94" spans="2:54" hidden="1" outlineLevel="1" x14ac:dyDescent="0.45">
      <c r="B94" s="243" t="str">
        <f>7&amp;" "&amp;$AA$94</f>
        <v>7 CM</v>
      </c>
      <c r="C94" s="244" t="str">
        <f>IF(OR($C64="",INDEX($R64:$AA64,MATCH($AB94,$R$63:$AA$63,0))="",$E64&lt;&gt;"Yes",COUNTIF($H$25:$H$35,$C64)&gt;0,COUNTIF($D$25:$D$30,$C64)&gt;0),"",INDEX($R64:$AA64,MATCH($AB94,$R$63:$AA$63,0)))</f>
        <v/>
      </c>
      <c r="D94" s="244" t="str">
        <f>IF(OR($C65="",INDEX($R65:$AA65,MATCH($AB94,$R$63:$AA$63,0))="",$E65&lt;&gt;"Yes",COUNTIF($H$25:$H$35,$C65)&gt;0,COUNTIF($D$25:$D$30,$C65)&gt;0),"",INDEX($R65:$AA65,MATCH($AB94,$R$63:$AA$63,0)))</f>
        <v/>
      </c>
      <c r="E94" s="244" t="str">
        <f>IF(OR($C66="",INDEX($R66:$AA66,MATCH($AB94,$R$63:$AA$63,0))="",$E66&lt;&gt;"Yes",COUNTIF($H$25:$H$35,$C66)&gt;0,COUNTIF($D$25:$D$30,$C66)&gt;0),"",INDEX($R66:$AA66,MATCH($AB94,$R$63:$AA$63,0)))</f>
        <v/>
      </c>
      <c r="F94" s="244" t="str">
        <f>IF(OR($C67="",INDEX($R67:$AA67,MATCH($AB94,$R$63:$AA$63,0))="",$E67&lt;&gt;"Yes",COUNTIF($H$25:$H$35,$C67)&gt;0,COUNTIF($D$25:$D$30,$C67)&gt;0),"",INDEX($R67:$AA67,MATCH($AB94,$R$63:$AA$63,0)))</f>
        <v/>
      </c>
      <c r="G94" s="244">
        <f>IF(OR($C68="",INDEX($R68:$AA68,MATCH($AB94,$R$63:$AA$63,0))="",$E68&lt;&gt;"Yes",COUNTIF($H$25:$H$35,$C68)&gt;0,COUNTIF($D$25:$D$30,$C68)&gt;0),"",INDEX($R68:$AA68,MATCH($AB94,$R$63:$AA$63,0)))</f>
        <v>12.933786848072561</v>
      </c>
      <c r="H94" s="244">
        <f>IF(OR($C69="",INDEX($R69:$AA69,MATCH($AB94,$R$63:$AA$63,0))="",$E69&lt;&gt;"Yes",COUNTIF($H$25:$H$35,$C69)&gt;0,COUNTIF($D$25:$D$30,$C69)&gt;0),"",INDEX($R69:$AA69,MATCH($AB94,$R$63:$AA$63,0)))</f>
        <v>12.268027210884354</v>
      </c>
      <c r="I94" s="244" t="str">
        <f>IF(OR($C70="",INDEX($R70:$AA70,MATCH($AB94,$R$63:$AA$63,0))="",$E70&lt;&gt;"Yes",COUNTIF($H$25:$H$35,$C70)&gt;0,COUNTIF($D$25:$D$30,$C70)&gt;0),"",INDEX($R70:$AA70,MATCH($AB94,$R$63:$AA$63,0)))</f>
        <v/>
      </c>
      <c r="J94" s="244" t="str">
        <f>IF(OR($C71="",INDEX($R71:$AA71,MATCH($AB94,$R$63:$AA$63,0))="",$E71&lt;&gt;"Yes",COUNTIF($H$25:$H$35,$C71)&gt;0,COUNTIF($D$25:$D$30,$C71)&gt;0),"",INDEX($R71:$AA71,MATCH($AB94,$R$63:$AA$63,0)))</f>
        <v/>
      </c>
      <c r="K94" s="244">
        <f>IF(OR($C72="",INDEX($R72:$AA72,MATCH($AB94,$R$63:$AA$63,0))="",$E72&lt;&gt;"Yes",COUNTIF($H$25:$H$35,$C72)&gt;0,COUNTIF($D$25:$D$30,$C72)&gt;0),"",INDEX($R72:$AA72,MATCH($AB94,$R$63:$AA$63,0)))</f>
        <v>12.676190476190476</v>
      </c>
      <c r="L94" s="244" t="str">
        <f>IF(OR($C73="",INDEX($R73:$AA73,MATCH($AB94,$R$63:$AA$63,0))="",$E73&lt;&gt;"Yes",COUNTIF($H$25:$H$35,$C73)&gt;0,COUNTIF($D$25:$D$30,$C73)&gt;0),"",INDEX($R73:$AA73,MATCH($AB94,$R$63:$AA$63,0)))</f>
        <v/>
      </c>
      <c r="M94" s="244" t="str">
        <f>IF(OR($C74="",INDEX($R74:$AA74,MATCH($AB94,$R$63:$AA$63,0))="",$E74&lt;&gt;"Yes",COUNTIF($H$25:$H$35,$C74)&gt;0,COUNTIF($D$25:$D$30,$C74)&gt;0),"",INDEX($R74:$AA74,MATCH($AB94,$R$63:$AA$63,0)))</f>
        <v/>
      </c>
      <c r="N94" s="244" t="str">
        <f>IF(OR($C75="",INDEX($R75:$AA75,MATCH($AB94,$R$63:$AA$63,0))="",$E75&lt;&gt;"Yes",COUNTIF($H$25:$H$35,$C75)&gt;0,COUNTIF($D$25:$D$30,$C75)&gt;0),"",INDEX($R75:$AA75,MATCH($AB94,$R$63:$AA$63,0)))</f>
        <v/>
      </c>
      <c r="O94" s="244">
        <f>IF(OR($C76="",INDEX($R76:$AA76,MATCH($AB94,$R$63:$AA$63,0))="",$E76&lt;&gt;"Yes",COUNTIF($H$25:$H$35,$C76)&gt;0,COUNTIF($D$25:$D$30,$C76)&gt;0),"",INDEX($R76:$AA76,MATCH($AB94,$R$63:$AA$63,0)))</f>
        <v>11.296371882086166</v>
      </c>
      <c r="P94" s="244" t="str">
        <f>IF(OR($C77="",INDEX($R77:$AA77,MATCH($AB94,$R$63:$AA$63,0))="",$E77&lt;&gt;"Yes",COUNTIF($H$25:$H$35,$C77)&gt;0,COUNTIF($D$25:$D$30,$C77)&gt;0),"",INDEX($R77:$AA77,MATCH($AB94,$R$63:$AA$63,0)))</f>
        <v/>
      </c>
      <c r="Q94" s="244" t="str">
        <f>IF(OR($C78="",INDEX($R78:$AA78,MATCH($AB94,$R$63:$AA$63,0))="",$E78&lt;&gt;"Yes",COUNTIF($H$25:$H$35,$C78)&gt;0,COUNTIF($D$25:$D$30,$C78)&gt;0),"",INDEX($R78:$AA78,MATCH($AB94,$R$63:$AA$63,0)))</f>
        <v/>
      </c>
      <c r="R94" s="244" t="str">
        <f>IF(OR($C79="",INDEX($R79:$AA79,MATCH($AB94,$R$63:$AA$63,0))="",$E79&lt;&gt;"Yes",COUNTIF($H$25:$H$35,$C79)&gt;0,COUNTIF($D$25:$D$30,$C79)&gt;0),"",INDEX($R79:$AA79,MATCH($AB94,$R$63:$AA$63,0)))</f>
        <v/>
      </c>
      <c r="S94" s="244" t="str">
        <f>IF(OR($C80="",INDEX($R80:$AA80,MATCH($AB94,$R$63:$AA$63,0))="",$E80&lt;&gt;"Yes",COUNTIF($H$25:$H$35,$C80)&gt;0,COUNTIF($D$25:$D$30,$C80)&gt;0),"",INDEX($R80:$AA80,MATCH($AB94,$R$63:$AA$63,0)))</f>
        <v/>
      </c>
      <c r="T94" s="244" t="str">
        <f>IF(OR($C81="",INDEX($R81:$AA81,MATCH($AB94,$R$63:$AA$63,0))="",$E81&lt;&gt;"Yes",COUNTIF($H$25:$H$35,$C81)&gt;0,COUNTIF($D$25:$D$30,$C81)&gt;0),"",INDEX($R81:$AA81,MATCH($AB94,$R$63:$AA$63,0)))</f>
        <v/>
      </c>
      <c r="U94" s="244" t="str">
        <f>IF(OR($C82="",INDEX($R82:$AA82,MATCH($AB94,$R$63:$AA$63,0))="",$E82&lt;&gt;"Yes",COUNTIF($H$25:$H$35,$C82)&gt;0,COUNTIF($D$25:$D$30,$C82)&gt;0),"",INDEX($R82:$AA82,MATCH($AB94,$R$63:$AA$63,0)))</f>
        <v/>
      </c>
      <c r="V94" s="244" t="str">
        <f>IF(OR($C83="",INDEX($R83:$AA83,MATCH($AB94,$R$63:$AA$63,0))="",$E83&lt;&gt;"Yes",COUNTIF($H$25:$H$35,$C83)&gt;0,COUNTIF($D$25:$D$30,$C83)&gt;0),"",INDEX($R83:$AA83,MATCH($AB94,$R$63:$AA$63,0)))</f>
        <v/>
      </c>
      <c r="X94">
        <v>7</v>
      </c>
      <c r="Y94" t="s">
        <v>274</v>
      </c>
      <c r="Z94" t="s">
        <v>274</v>
      </c>
      <c r="AA94" t="str">
        <f t="shared" si="40"/>
        <v>CM</v>
      </c>
      <c r="AB94" t="str">
        <f t="shared" si="41"/>
        <v>CM</v>
      </c>
    </row>
    <row r="95" spans="2:54" hidden="1" outlineLevel="1" x14ac:dyDescent="0.45">
      <c r="B95" s="243" t="str">
        <f>8&amp;" "&amp;$AA$95</f>
        <v>8 CM</v>
      </c>
      <c r="C95" s="244" t="str">
        <f>IF(OR($C64="",INDEX($R64:$AA64,MATCH($AB95,$R$63:$AA$63,0))="",$E64&lt;&gt;"Yes",COUNTIF($H$25:$H$35,$C64)&gt;0,COUNTIF($D$25:$D$31,$C64)&gt;0),"",INDEX($R64:$AA64,MATCH($AB95,$R$63:$AA$63,0)))</f>
        <v/>
      </c>
      <c r="D95" s="244" t="str">
        <f>IF(OR($C65="",INDEX($R65:$AA65,MATCH($AB95,$R$63:$AA$63,0))="",$E65&lt;&gt;"Yes",COUNTIF($H$25:$H$35,$C65)&gt;0,COUNTIF($D$25:$D$31,$C65)&gt;0),"",INDEX($R65:$AA65,MATCH($AB95,$R$63:$AA$63,0)))</f>
        <v/>
      </c>
      <c r="E95" s="244" t="str">
        <f>IF(OR($C66="",INDEX($R66:$AA66,MATCH($AB95,$R$63:$AA$63,0))="",$E66&lt;&gt;"Yes",COUNTIF($H$25:$H$35,$C66)&gt;0,COUNTIF($D$25:$D$31,$C66)&gt;0),"",INDEX($R66:$AA66,MATCH($AB95,$R$63:$AA$63,0)))</f>
        <v/>
      </c>
      <c r="F95" s="244" t="str">
        <f>IF(OR($C67="",INDEX($R67:$AA67,MATCH($AB95,$R$63:$AA$63,0))="",$E67&lt;&gt;"Yes",COUNTIF($H$25:$H$35,$C67)&gt;0,COUNTIF($D$25:$D$31,$C67)&gt;0),"",INDEX($R67:$AA67,MATCH($AB95,$R$63:$AA$63,0)))</f>
        <v/>
      </c>
      <c r="G95" s="244" t="str">
        <f>IF(OR($C68="",INDEX($R68:$AA68,MATCH($AB95,$R$63:$AA$63,0))="",$E68&lt;&gt;"Yes",COUNTIF($H$25:$H$35,$C68)&gt;0,COUNTIF($D$25:$D$31,$C68)&gt;0),"",INDEX($R68:$AA68,MATCH($AB95,$R$63:$AA$63,0)))</f>
        <v/>
      </c>
      <c r="H95" s="244">
        <f>IF(OR($C69="",INDEX($R69:$AA69,MATCH($AB95,$R$63:$AA$63,0))="",$E69&lt;&gt;"Yes",COUNTIF($H$25:$H$35,$C69)&gt;0,COUNTIF($D$25:$D$31,$C69)&gt;0),"",INDEX($R69:$AA69,MATCH($AB95,$R$63:$AA$63,0)))</f>
        <v>12.268027210884354</v>
      </c>
      <c r="I95" s="244" t="str">
        <f>IF(OR($C70="",INDEX($R70:$AA70,MATCH($AB95,$R$63:$AA$63,0))="",$E70&lt;&gt;"Yes",COUNTIF($H$25:$H$35,$C70)&gt;0,COUNTIF($D$25:$D$31,$C70)&gt;0),"",INDEX($R70:$AA70,MATCH($AB95,$R$63:$AA$63,0)))</f>
        <v/>
      </c>
      <c r="J95" s="244" t="str">
        <f>IF(OR($C71="",INDEX($R71:$AA71,MATCH($AB95,$R$63:$AA$63,0))="",$E71&lt;&gt;"Yes",COUNTIF($H$25:$H$35,$C71)&gt;0,COUNTIF($D$25:$D$31,$C71)&gt;0),"",INDEX($R71:$AA71,MATCH($AB95,$R$63:$AA$63,0)))</f>
        <v/>
      </c>
      <c r="K95" s="244">
        <f>IF(OR($C72="",INDEX($R72:$AA72,MATCH($AB95,$R$63:$AA$63,0))="",$E72&lt;&gt;"Yes",COUNTIF($H$25:$H$35,$C72)&gt;0,COUNTIF($D$25:$D$31,$C72)&gt;0),"",INDEX($R72:$AA72,MATCH($AB95,$R$63:$AA$63,0)))</f>
        <v>12.676190476190476</v>
      </c>
      <c r="L95" s="244" t="str">
        <f>IF(OR($C73="",INDEX($R73:$AA73,MATCH($AB95,$R$63:$AA$63,0))="",$E73&lt;&gt;"Yes",COUNTIF($H$25:$H$35,$C73)&gt;0,COUNTIF($D$25:$D$31,$C73)&gt;0),"",INDEX($R73:$AA73,MATCH($AB95,$R$63:$AA$63,0)))</f>
        <v/>
      </c>
      <c r="M95" s="244" t="str">
        <f>IF(OR($C74="",INDEX($R74:$AA74,MATCH($AB95,$R$63:$AA$63,0))="",$E74&lt;&gt;"Yes",COUNTIF($H$25:$H$35,$C74)&gt;0,COUNTIF($D$25:$D$31,$C74)&gt;0),"",INDEX($R74:$AA74,MATCH($AB95,$R$63:$AA$63,0)))</f>
        <v/>
      </c>
      <c r="N95" s="244" t="str">
        <f>IF(OR($C75="",INDEX($R75:$AA75,MATCH($AB95,$R$63:$AA$63,0))="",$E75&lt;&gt;"Yes",COUNTIF($H$25:$H$35,$C75)&gt;0,COUNTIF($D$25:$D$31,$C75)&gt;0),"",INDEX($R75:$AA75,MATCH($AB95,$R$63:$AA$63,0)))</f>
        <v/>
      </c>
      <c r="O95" s="244">
        <f>IF(OR($C76="",INDEX($R76:$AA76,MATCH($AB95,$R$63:$AA$63,0))="",$E76&lt;&gt;"Yes",COUNTIF($H$25:$H$35,$C76)&gt;0,COUNTIF($D$25:$D$31,$C76)&gt;0),"",INDEX($R76:$AA76,MATCH($AB95,$R$63:$AA$63,0)))</f>
        <v>11.296371882086166</v>
      </c>
      <c r="P95" s="244" t="str">
        <f>IF(OR($C77="",INDEX($R77:$AA77,MATCH($AB95,$R$63:$AA$63,0))="",$E77&lt;&gt;"Yes",COUNTIF($H$25:$H$35,$C77)&gt;0,COUNTIF($D$25:$D$31,$C77)&gt;0),"",INDEX($R77:$AA77,MATCH($AB95,$R$63:$AA$63,0)))</f>
        <v/>
      </c>
      <c r="Q95" s="244" t="str">
        <f>IF(OR($C78="",INDEX($R78:$AA78,MATCH($AB95,$R$63:$AA$63,0))="",$E78&lt;&gt;"Yes",COUNTIF($H$25:$H$35,$C78)&gt;0,COUNTIF($D$25:$D$31,$C78)&gt;0),"",INDEX($R78:$AA78,MATCH($AB95,$R$63:$AA$63,0)))</f>
        <v/>
      </c>
      <c r="R95" s="244" t="str">
        <f>IF(OR($C79="",INDEX($R79:$AA79,MATCH($AB95,$R$63:$AA$63,0))="",$E79&lt;&gt;"Yes",COUNTIF($H$25:$H$35,$C79)&gt;0,COUNTIF($D$25:$D$31,$C79)&gt;0),"",INDEX($R79:$AA79,MATCH($AB95,$R$63:$AA$63,0)))</f>
        <v/>
      </c>
      <c r="S95" s="244" t="str">
        <f>IF(OR($C80="",INDEX($R80:$AA80,MATCH($AB95,$R$63:$AA$63,0))="",$E80&lt;&gt;"Yes",COUNTIF($H$25:$H$35,$C80)&gt;0,COUNTIF($D$25:$D$31,$C80)&gt;0),"",INDEX($R80:$AA80,MATCH($AB95,$R$63:$AA$63,0)))</f>
        <v/>
      </c>
      <c r="T95" s="244" t="str">
        <f>IF(OR($C81="",INDEX($R81:$AA81,MATCH($AB95,$R$63:$AA$63,0))="",$E81&lt;&gt;"Yes",COUNTIF($H$25:$H$35,$C81)&gt;0,COUNTIF($D$25:$D$31,$C81)&gt;0),"",INDEX($R81:$AA81,MATCH($AB95,$R$63:$AA$63,0)))</f>
        <v/>
      </c>
      <c r="U95" s="244" t="str">
        <f>IF(OR($C82="",INDEX($R82:$AA82,MATCH($AB95,$R$63:$AA$63,0))="",$E82&lt;&gt;"Yes",COUNTIF($H$25:$H$35,$C82)&gt;0,COUNTIF($D$25:$D$31,$C82)&gt;0),"",INDEX($R82:$AA82,MATCH($AB95,$R$63:$AA$63,0)))</f>
        <v/>
      </c>
      <c r="V95" s="244" t="str">
        <f>IF(OR($C83="",INDEX($R83:$AA83,MATCH($AB95,$R$63:$AA$63,0))="",$E83&lt;&gt;"Yes",COUNTIF($H$25:$H$35,$C83)&gt;0,COUNTIF($D$25:$D$31,$C83)&gt;0),"",INDEX($R83:$AA83,MATCH($AB95,$R$63:$AA$63,0)))</f>
        <v/>
      </c>
      <c r="X95">
        <v>8</v>
      </c>
      <c r="Y95" t="s">
        <v>276</v>
      </c>
      <c r="Z95" t="s">
        <v>274</v>
      </c>
      <c r="AA95" t="str">
        <f t="shared" si="40"/>
        <v>CM</v>
      </c>
      <c r="AB95" t="str">
        <f t="shared" si="41"/>
        <v>CM</v>
      </c>
    </row>
    <row r="96" spans="2:54" hidden="1" outlineLevel="1" x14ac:dyDescent="0.45">
      <c r="B96" s="243" t="str">
        <f>9&amp;" "&amp;$AA$96</f>
        <v>9 CM</v>
      </c>
      <c r="C96" s="244" t="str">
        <f>IF(OR($C64="",INDEX($R64:$AA64,MATCH($AB96,$R$63:$AA$63,0))="",$E64&lt;&gt;"Yes",COUNTIF($H$25:$H$35,$C64)&gt;0,COUNTIF($D$25:$D$32,$C64)&gt;0),"",INDEX($R64:$AA64,MATCH($AB96,$R$63:$AA$63,0)))</f>
        <v/>
      </c>
      <c r="D96" s="244" t="str">
        <f>IF(OR($C65="",INDEX($R65:$AA65,MATCH($AB96,$R$63:$AA$63,0))="",$E65&lt;&gt;"Yes",COUNTIF($H$25:$H$35,$C65)&gt;0,COUNTIF($D$25:$D$32,$C65)&gt;0),"",INDEX($R65:$AA65,MATCH($AB96,$R$63:$AA$63,0)))</f>
        <v/>
      </c>
      <c r="E96" s="244" t="str">
        <f>IF(OR($C66="",INDEX($R66:$AA66,MATCH($AB96,$R$63:$AA$63,0))="",$E66&lt;&gt;"Yes",COUNTIF($H$25:$H$35,$C66)&gt;0,COUNTIF($D$25:$D$32,$C66)&gt;0),"",INDEX($R66:$AA66,MATCH($AB96,$R$63:$AA$63,0)))</f>
        <v/>
      </c>
      <c r="F96" s="244" t="str">
        <f>IF(OR($C67="",INDEX($R67:$AA67,MATCH($AB96,$R$63:$AA$63,0))="",$E67&lt;&gt;"Yes",COUNTIF($H$25:$H$35,$C67)&gt;0,COUNTIF($D$25:$D$32,$C67)&gt;0),"",INDEX($R67:$AA67,MATCH($AB96,$R$63:$AA$63,0)))</f>
        <v/>
      </c>
      <c r="G96" s="244" t="str">
        <f>IF(OR($C68="",INDEX($R68:$AA68,MATCH($AB96,$R$63:$AA$63,0))="",$E68&lt;&gt;"Yes",COUNTIF($H$25:$H$35,$C68)&gt;0,COUNTIF($D$25:$D$32,$C68)&gt;0),"",INDEX($R68:$AA68,MATCH($AB96,$R$63:$AA$63,0)))</f>
        <v/>
      </c>
      <c r="H96" s="244">
        <f>IF(OR($C69="",INDEX($R69:$AA69,MATCH($AB96,$R$63:$AA$63,0))="",$E69&lt;&gt;"Yes",COUNTIF($H$25:$H$35,$C69)&gt;0,COUNTIF($D$25:$D$32,$C69)&gt;0),"",INDEX($R69:$AA69,MATCH($AB96,$R$63:$AA$63,0)))</f>
        <v>12.268027210884354</v>
      </c>
      <c r="I96" s="244" t="str">
        <f>IF(OR($C70="",INDEX($R70:$AA70,MATCH($AB96,$R$63:$AA$63,0))="",$E70&lt;&gt;"Yes",COUNTIF($H$25:$H$35,$C70)&gt;0,COUNTIF($D$25:$D$32,$C70)&gt;0),"",INDEX($R70:$AA70,MATCH($AB96,$R$63:$AA$63,0)))</f>
        <v/>
      </c>
      <c r="J96" s="244" t="str">
        <f>IF(OR($C71="",INDEX($R71:$AA71,MATCH($AB96,$R$63:$AA$63,0))="",$E71&lt;&gt;"Yes",COUNTIF($H$25:$H$35,$C71)&gt;0,COUNTIF($D$25:$D$32,$C71)&gt;0),"",INDEX($R71:$AA71,MATCH($AB96,$R$63:$AA$63,0)))</f>
        <v/>
      </c>
      <c r="K96" s="244">
        <f>IF(OR($C72="",INDEX($R72:$AA72,MATCH($AB96,$R$63:$AA$63,0))="",$E72&lt;&gt;"Yes",COUNTIF($H$25:$H$35,$C72)&gt;0,COUNTIF($D$25:$D$32,$C72)&gt;0),"",INDEX($R72:$AA72,MATCH($AB96,$R$63:$AA$63,0)))</f>
        <v>12.676190476190476</v>
      </c>
      <c r="L96" s="244" t="str">
        <f>IF(OR($C73="",INDEX($R73:$AA73,MATCH($AB96,$R$63:$AA$63,0))="",$E73&lt;&gt;"Yes",COUNTIF($H$25:$H$35,$C73)&gt;0,COUNTIF($D$25:$D$32,$C73)&gt;0),"",INDEX($R73:$AA73,MATCH($AB96,$R$63:$AA$63,0)))</f>
        <v/>
      </c>
      <c r="M96" s="244" t="str">
        <f>IF(OR($C74="",INDEX($R74:$AA74,MATCH($AB96,$R$63:$AA$63,0))="",$E74&lt;&gt;"Yes",COUNTIF($H$25:$H$35,$C74)&gt;0,COUNTIF($D$25:$D$32,$C74)&gt;0),"",INDEX($R74:$AA74,MATCH($AB96,$R$63:$AA$63,0)))</f>
        <v/>
      </c>
      <c r="N96" s="244" t="str">
        <f>IF(OR($C75="",INDEX($R75:$AA75,MATCH($AB96,$R$63:$AA$63,0))="",$E75&lt;&gt;"Yes",COUNTIF($H$25:$H$35,$C75)&gt;0,COUNTIF($D$25:$D$32,$C75)&gt;0),"",INDEX($R75:$AA75,MATCH($AB96,$R$63:$AA$63,0)))</f>
        <v/>
      </c>
      <c r="O96" s="244">
        <f>IF(OR($C76="",INDEX($R76:$AA76,MATCH($AB96,$R$63:$AA$63,0))="",$E76&lt;&gt;"Yes",COUNTIF($H$25:$H$35,$C76)&gt;0,COUNTIF($D$25:$D$32,$C76)&gt;0),"",INDEX($R76:$AA76,MATCH($AB96,$R$63:$AA$63,0)))</f>
        <v>11.296371882086166</v>
      </c>
      <c r="P96" s="244" t="str">
        <f>IF(OR($C77="",INDEX($R77:$AA77,MATCH($AB96,$R$63:$AA$63,0))="",$E77&lt;&gt;"Yes",COUNTIF($H$25:$H$35,$C77)&gt;0,COUNTIF($D$25:$D$32,$C77)&gt;0),"",INDEX($R77:$AA77,MATCH($AB96,$R$63:$AA$63,0)))</f>
        <v/>
      </c>
      <c r="Q96" s="244" t="str">
        <f>IF(OR($C78="",INDEX($R78:$AA78,MATCH($AB96,$R$63:$AA$63,0))="",$E78&lt;&gt;"Yes",COUNTIF($H$25:$H$35,$C78)&gt;0,COUNTIF($D$25:$D$32,$C78)&gt;0),"",INDEX($R78:$AA78,MATCH($AB96,$R$63:$AA$63,0)))</f>
        <v/>
      </c>
      <c r="R96" s="244" t="str">
        <f>IF(OR($C79="",INDEX($R79:$AA79,MATCH($AB96,$R$63:$AA$63,0))="",$E79&lt;&gt;"Yes",COUNTIF($H$25:$H$35,$C79)&gt;0,COUNTIF($D$25:$D$32,$C79)&gt;0),"",INDEX($R79:$AA79,MATCH($AB96,$R$63:$AA$63,0)))</f>
        <v/>
      </c>
      <c r="S96" s="244" t="str">
        <f>IF(OR($C80="",INDEX($R80:$AA80,MATCH($AB96,$R$63:$AA$63,0))="",$E80&lt;&gt;"Yes",COUNTIF($H$25:$H$35,$C80)&gt;0,COUNTIF($D$25:$D$32,$C80)&gt;0),"",INDEX($R80:$AA80,MATCH($AB96,$R$63:$AA$63,0)))</f>
        <v/>
      </c>
      <c r="T96" s="244" t="str">
        <f>IF(OR($C81="",INDEX($R81:$AA81,MATCH($AB96,$R$63:$AA$63,0))="",$E81&lt;&gt;"Yes",COUNTIF($H$25:$H$35,$C81)&gt;0,COUNTIF($D$25:$D$32,$C81)&gt;0),"",INDEX($R81:$AA81,MATCH($AB96,$R$63:$AA$63,0)))</f>
        <v/>
      </c>
      <c r="U96" s="244" t="str">
        <f>IF(OR($C82="",INDEX($R82:$AA82,MATCH($AB96,$R$63:$AA$63,0))="",$E82&lt;&gt;"Yes",COUNTIF($H$25:$H$35,$C82)&gt;0,COUNTIF($D$25:$D$32,$C82)&gt;0),"",INDEX($R82:$AA82,MATCH($AB96,$R$63:$AA$63,0)))</f>
        <v/>
      </c>
      <c r="V96" s="244" t="str">
        <f>IF(OR($C83="",INDEX($R83:$AA83,MATCH($AB96,$R$63:$AA$63,0))="",$E83&lt;&gt;"Yes",COUNTIF($H$25:$H$35,$C83)&gt;0,COUNTIF($D$25:$D$32,$C83)&gt;0),"",INDEX($R83:$AA83,MATCH($AB96,$R$63:$AA$63,0)))</f>
        <v/>
      </c>
      <c r="X96">
        <v>9</v>
      </c>
      <c r="Y96" t="s">
        <v>278</v>
      </c>
      <c r="Z96" t="s">
        <v>274</v>
      </c>
      <c r="AA96" t="str">
        <f t="shared" si="40"/>
        <v>CM</v>
      </c>
      <c r="AB96" t="str">
        <f t="shared" si="41"/>
        <v>CM</v>
      </c>
    </row>
    <row r="97" spans="2:30" hidden="1" outlineLevel="1" x14ac:dyDescent="0.45">
      <c r="B97" s="243" t="str">
        <f>10&amp;" "&amp;$AA$97</f>
        <v>10 ST</v>
      </c>
      <c r="C97" s="244" t="str">
        <f>IF(OR($C64="",INDEX($R64:$AA64,MATCH($AB97,$R$63:$AA$63,0))="",$E64&lt;&gt;"Yes",COUNTIF($H$25:$H$35,$C64)&gt;0,COUNTIF($D$25:$D$33,$C64)&gt;0),"",INDEX($R64:$AA64,MATCH($AB97,$R$63:$AA$63,0)))</f>
        <v/>
      </c>
      <c r="D97" s="244" t="str">
        <f>IF(OR($C65="",INDEX($R65:$AA65,MATCH($AB97,$R$63:$AA$63,0))="",$E65&lt;&gt;"Yes",COUNTIF($H$25:$H$35,$C65)&gt;0,COUNTIF($D$25:$D$33,$C65)&gt;0),"",INDEX($R65:$AA65,MATCH($AB97,$R$63:$AA$63,0)))</f>
        <v/>
      </c>
      <c r="E97" s="244" t="str">
        <f>IF(OR($C66="",INDEX($R66:$AA66,MATCH($AB97,$R$63:$AA$63,0))="",$E66&lt;&gt;"Yes",COUNTIF($H$25:$H$35,$C66)&gt;0,COUNTIF($D$25:$D$33,$C66)&gt;0),"",INDEX($R66:$AA66,MATCH($AB97,$R$63:$AA$63,0)))</f>
        <v/>
      </c>
      <c r="F97" s="244" t="str">
        <f>IF(OR($C67="",INDEX($R67:$AA67,MATCH($AB97,$R$63:$AA$63,0))="",$E67&lt;&gt;"Yes",COUNTIF($H$25:$H$35,$C67)&gt;0,COUNTIF($D$25:$D$33,$C67)&gt;0),"",INDEX($R67:$AA67,MATCH($AB97,$R$63:$AA$63,0)))</f>
        <v/>
      </c>
      <c r="G97" s="244" t="str">
        <f>IF(OR($C68="",INDEX($R68:$AA68,MATCH($AB97,$R$63:$AA$63,0))="",$E68&lt;&gt;"Yes",COUNTIF($H$25:$H$35,$C68)&gt;0,COUNTIF($D$25:$D$33,$C68)&gt;0),"",INDEX($R68:$AA68,MATCH($AB97,$R$63:$AA$63,0)))</f>
        <v/>
      </c>
      <c r="H97" s="244" t="str">
        <f>IF(OR($C69="",INDEX($R69:$AA69,MATCH($AB97,$R$63:$AA$63,0))="",$E69&lt;&gt;"Yes",COUNTIF($H$25:$H$35,$C69)&gt;0,COUNTIF($D$25:$D$33,$C69)&gt;0),"",INDEX($R69:$AA69,MATCH($AB97,$R$63:$AA$63,0)))</f>
        <v/>
      </c>
      <c r="I97" s="244">
        <f>IF(OR($C70="",INDEX($R70:$AA70,MATCH($AB97,$R$63:$AA$63,0))="",$E70&lt;&gt;"Yes",COUNTIF($H$25:$H$35,$C70)&gt;0,COUNTIF($D$25:$D$33,$C70)&gt;0),"",INDEX($R70:$AA70,MATCH($AB97,$R$63:$AA$63,0)))</f>
        <v>9.5733333333333324</v>
      </c>
      <c r="J97" s="244">
        <f>IF(OR($C71="",INDEX($R71:$AA71,MATCH($AB97,$R$63:$AA$63,0))="",$E71&lt;&gt;"Yes",COUNTIF($H$25:$H$35,$C71)&gt;0,COUNTIF($D$25:$D$33,$C71)&gt;0),"",INDEX($R71:$AA71,MATCH($AB97,$R$63:$AA$63,0)))</f>
        <v>8.2955555555555556</v>
      </c>
      <c r="K97" s="244" t="str">
        <f>IF(OR($C72="",INDEX($R72:$AA72,MATCH($AB97,$R$63:$AA$63,0))="",$E72&lt;&gt;"Yes",COUNTIF($H$25:$H$35,$C72)&gt;0,COUNTIF($D$25:$D$33,$C72)&gt;0),"",INDEX($R72:$AA72,MATCH($AB97,$R$63:$AA$63,0)))</f>
        <v/>
      </c>
      <c r="L97" s="244" t="str">
        <f>IF(OR($C73="",INDEX($R73:$AA73,MATCH($AB97,$R$63:$AA$63,0))="",$E73&lt;&gt;"Yes",COUNTIF($H$25:$H$35,$C73)&gt;0,COUNTIF($D$25:$D$33,$C73)&gt;0),"",INDEX($R73:$AA73,MATCH($AB97,$R$63:$AA$63,0)))</f>
        <v/>
      </c>
      <c r="M97" s="244" t="str">
        <f>IF(OR($C74="",INDEX($R74:$AA74,MATCH($AB97,$R$63:$AA$63,0))="",$E74&lt;&gt;"Yes",COUNTIF($H$25:$H$35,$C74)&gt;0,COUNTIF($D$25:$D$33,$C74)&gt;0),"",INDEX($R74:$AA74,MATCH($AB97,$R$63:$AA$63,0)))</f>
        <v/>
      </c>
      <c r="N97" s="244" t="str">
        <f>IF(OR($C75="",INDEX($R75:$AA75,MATCH($AB97,$R$63:$AA$63,0))="",$E75&lt;&gt;"Yes",COUNTIF($H$25:$H$35,$C75)&gt;0,COUNTIF($D$25:$D$33,$C75)&gt;0),"",INDEX($R75:$AA75,MATCH($AB97,$R$63:$AA$63,0)))</f>
        <v/>
      </c>
      <c r="O97" s="244" t="str">
        <f>IF(OR($C76="",INDEX($R76:$AA76,MATCH($AB97,$R$63:$AA$63,0))="",$E76&lt;&gt;"Yes",COUNTIF($H$25:$H$35,$C76)&gt;0,COUNTIF($D$25:$D$33,$C76)&gt;0),"",INDEX($R76:$AA76,MATCH($AB97,$R$63:$AA$63,0)))</f>
        <v/>
      </c>
      <c r="P97" s="244" t="str">
        <f>IF(OR($C77="",INDEX($R77:$AA77,MATCH($AB97,$R$63:$AA$63,0))="",$E77&lt;&gt;"Yes",COUNTIF($H$25:$H$35,$C77)&gt;0,COUNTIF($D$25:$D$33,$C77)&gt;0),"",INDEX($R77:$AA77,MATCH($AB97,$R$63:$AA$63,0)))</f>
        <v/>
      </c>
      <c r="Q97" s="244" t="str">
        <f>IF(OR($C78="",INDEX($R78:$AA78,MATCH($AB97,$R$63:$AA$63,0))="",$E78&lt;&gt;"Yes",COUNTIF($H$25:$H$35,$C78)&gt;0,COUNTIF($D$25:$D$33,$C78)&gt;0),"",INDEX($R78:$AA78,MATCH($AB97,$R$63:$AA$63,0)))</f>
        <v/>
      </c>
      <c r="R97" s="244">
        <f>IF(OR($C79="",INDEX($R79:$AA79,MATCH($AB97,$R$63:$AA$63,0))="",$E79&lt;&gt;"Yes",COUNTIF($H$25:$H$35,$C79)&gt;0,COUNTIF($D$25:$D$33,$C79)&gt;0),"",INDEX($R79:$AA79,MATCH($AB97,$R$63:$AA$63,0)))</f>
        <v>12.855555555555554</v>
      </c>
      <c r="S97" s="244" t="str">
        <f>IF(OR($C80="",INDEX($R80:$AA80,MATCH($AB97,$R$63:$AA$63,0))="",$E80&lt;&gt;"Yes",COUNTIF($H$25:$H$35,$C80)&gt;0,COUNTIF($D$25:$D$33,$C80)&gt;0),"",INDEX($R80:$AA80,MATCH($AB97,$R$63:$AA$63,0)))</f>
        <v/>
      </c>
      <c r="T97" s="244" t="str">
        <f>IF(OR($C81="",INDEX($R81:$AA81,MATCH($AB97,$R$63:$AA$63,0))="",$E81&lt;&gt;"Yes",COUNTIF($H$25:$H$35,$C81)&gt;0,COUNTIF($D$25:$D$33,$C81)&gt;0),"",INDEX($R81:$AA81,MATCH($AB97,$R$63:$AA$63,0)))</f>
        <v/>
      </c>
      <c r="U97" s="244" t="str">
        <f>IF(OR($C82="",INDEX($R82:$AA82,MATCH($AB97,$R$63:$AA$63,0))="",$E82&lt;&gt;"Yes",COUNTIF($H$25:$H$35,$C82)&gt;0,COUNTIF($D$25:$D$33,$C82)&gt;0),"",INDEX($R82:$AA82,MATCH($AB97,$R$63:$AA$63,0)))</f>
        <v/>
      </c>
      <c r="V97" s="244" t="str">
        <f>IF(OR($C83="",INDEX($R83:$AA83,MATCH($AB97,$R$63:$AA$63,0))="",$E83&lt;&gt;"Yes",COUNTIF($H$25:$H$35,$C83)&gt;0,COUNTIF($D$25:$D$33,$C83)&gt;0),"",INDEX($R83:$AA83,MATCH($AB97,$R$63:$AA$63,0)))</f>
        <v/>
      </c>
      <c r="X97">
        <v>10</v>
      </c>
      <c r="Y97" t="s">
        <v>282</v>
      </c>
      <c r="Z97" t="s">
        <v>282</v>
      </c>
      <c r="AA97" t="str">
        <f t="shared" si="40"/>
        <v>ST</v>
      </c>
      <c r="AB97" t="str">
        <f t="shared" si="41"/>
        <v>ST</v>
      </c>
    </row>
    <row r="98" spans="2:30" hidden="1" outlineLevel="1" x14ac:dyDescent="0.45">
      <c r="B98" s="243" t="str">
        <f>11&amp;" "&amp;$AA$98</f>
        <v>11 ST</v>
      </c>
      <c r="C98" s="244" t="str">
        <f>IF(OR($C64="",INDEX($R64:$AA64,MATCH($AB98,$R$63:$AA$63,0))="",$E64&lt;&gt;"Yes",COUNTIF($H$25:$H$35,$C64)&gt;0,COUNTIF($D$25:$D$34,$C64)&gt;0),"",INDEX($R64:$AA64,MATCH($AB98,$R$63:$AA$63,0)))</f>
        <v/>
      </c>
      <c r="D98" s="244" t="str">
        <f>IF(OR($C65="",INDEX($R65:$AA65,MATCH($AB98,$R$63:$AA$63,0))="",$E65&lt;&gt;"Yes",COUNTIF($H$25:$H$35,$C65)&gt;0,COUNTIF($D$25:$D$34,$C65)&gt;0),"",INDEX($R65:$AA65,MATCH($AB98,$R$63:$AA$63,0)))</f>
        <v/>
      </c>
      <c r="E98" s="244" t="str">
        <f>IF(OR($C66="",INDEX($R66:$AA66,MATCH($AB98,$R$63:$AA$63,0))="",$E66&lt;&gt;"Yes",COUNTIF($H$25:$H$35,$C66)&gt;0,COUNTIF($D$25:$D$34,$C66)&gt;0),"",INDEX($R66:$AA66,MATCH($AB98,$R$63:$AA$63,0)))</f>
        <v/>
      </c>
      <c r="F98" s="244" t="str">
        <f>IF(OR($C67="",INDEX($R67:$AA67,MATCH($AB98,$R$63:$AA$63,0))="",$E67&lt;&gt;"Yes",COUNTIF($H$25:$H$35,$C67)&gt;0,COUNTIF($D$25:$D$34,$C67)&gt;0),"",INDEX($R67:$AA67,MATCH($AB98,$R$63:$AA$63,0)))</f>
        <v/>
      </c>
      <c r="G98" s="244" t="str">
        <f>IF(OR($C68="",INDEX($R68:$AA68,MATCH($AB98,$R$63:$AA$63,0))="",$E68&lt;&gt;"Yes",COUNTIF($H$25:$H$35,$C68)&gt;0,COUNTIF($D$25:$D$34,$C68)&gt;0),"",INDEX($R68:$AA68,MATCH($AB98,$R$63:$AA$63,0)))</f>
        <v/>
      </c>
      <c r="H98" s="244" t="str">
        <f>IF(OR($C69="",INDEX($R69:$AA69,MATCH($AB98,$R$63:$AA$63,0))="",$E69&lt;&gt;"Yes",COUNTIF($H$25:$H$35,$C69)&gt;0,COUNTIF($D$25:$D$34,$C69)&gt;0),"",INDEX($R69:$AA69,MATCH($AB98,$R$63:$AA$63,0)))</f>
        <v/>
      </c>
      <c r="I98" s="244">
        <f>IF(OR($C70="",INDEX($R70:$AA70,MATCH($AB98,$R$63:$AA$63,0))="",$E70&lt;&gt;"Yes",COUNTIF($H$25:$H$35,$C70)&gt;0,COUNTIF($D$25:$D$34,$C70)&gt;0),"",INDEX($R70:$AA70,MATCH($AB98,$R$63:$AA$63,0)))</f>
        <v>9.5733333333333324</v>
      </c>
      <c r="J98" s="244">
        <f>IF(OR($C71="",INDEX($R71:$AA71,MATCH($AB98,$R$63:$AA$63,0))="",$E71&lt;&gt;"Yes",COUNTIF($H$25:$H$35,$C71)&gt;0,COUNTIF($D$25:$D$34,$C71)&gt;0),"",INDEX($R71:$AA71,MATCH($AB98,$R$63:$AA$63,0)))</f>
        <v>8.2955555555555556</v>
      </c>
      <c r="K98" s="244" t="str">
        <f>IF(OR($C72="",INDEX($R72:$AA72,MATCH($AB98,$R$63:$AA$63,0))="",$E72&lt;&gt;"Yes",COUNTIF($H$25:$H$35,$C72)&gt;0,COUNTIF($D$25:$D$34,$C72)&gt;0),"",INDEX($R72:$AA72,MATCH($AB98,$R$63:$AA$63,0)))</f>
        <v/>
      </c>
      <c r="L98" s="244" t="str">
        <f>IF(OR($C73="",INDEX($R73:$AA73,MATCH($AB98,$R$63:$AA$63,0))="",$E73&lt;&gt;"Yes",COUNTIF($H$25:$H$35,$C73)&gt;0,COUNTIF($D$25:$D$34,$C73)&gt;0),"",INDEX($R73:$AA73,MATCH($AB98,$R$63:$AA$63,0)))</f>
        <v/>
      </c>
      <c r="M98" s="244" t="str">
        <f>IF(OR($C74="",INDEX($R74:$AA74,MATCH($AB98,$R$63:$AA$63,0))="",$E74&lt;&gt;"Yes",COUNTIF($H$25:$H$35,$C74)&gt;0,COUNTIF($D$25:$D$34,$C74)&gt;0),"",INDEX($R74:$AA74,MATCH($AB98,$R$63:$AA$63,0)))</f>
        <v/>
      </c>
      <c r="N98" s="244" t="str">
        <f>IF(OR($C75="",INDEX($R75:$AA75,MATCH($AB98,$R$63:$AA$63,0))="",$E75&lt;&gt;"Yes",COUNTIF($H$25:$H$35,$C75)&gt;0,COUNTIF($D$25:$D$34,$C75)&gt;0),"",INDEX($R75:$AA75,MATCH($AB98,$R$63:$AA$63,0)))</f>
        <v/>
      </c>
      <c r="O98" s="244" t="str">
        <f>IF(OR($C76="",INDEX($R76:$AA76,MATCH($AB98,$R$63:$AA$63,0))="",$E76&lt;&gt;"Yes",COUNTIF($H$25:$H$35,$C76)&gt;0,COUNTIF($D$25:$D$34,$C76)&gt;0),"",INDEX($R76:$AA76,MATCH($AB98,$R$63:$AA$63,0)))</f>
        <v/>
      </c>
      <c r="P98" s="244" t="str">
        <f>IF(OR($C77="",INDEX($R77:$AA77,MATCH($AB98,$R$63:$AA$63,0))="",$E77&lt;&gt;"Yes",COUNTIF($H$25:$H$35,$C77)&gt;0,COUNTIF($D$25:$D$34,$C77)&gt;0),"",INDEX($R77:$AA77,MATCH($AB98,$R$63:$AA$63,0)))</f>
        <v/>
      </c>
      <c r="Q98" s="244" t="str">
        <f>IF(OR($C78="",INDEX($R78:$AA78,MATCH($AB98,$R$63:$AA$63,0))="",$E78&lt;&gt;"Yes",COUNTIF($H$25:$H$35,$C78)&gt;0,COUNTIF($D$25:$D$34,$C78)&gt;0),"",INDEX($R78:$AA78,MATCH($AB98,$R$63:$AA$63,0)))</f>
        <v/>
      </c>
      <c r="R98" s="244" t="str">
        <f>IF(OR($C79="",INDEX($R79:$AA79,MATCH($AB98,$R$63:$AA$63,0))="",$E79&lt;&gt;"Yes",COUNTIF($H$25:$H$35,$C79)&gt;0,COUNTIF($D$25:$D$34,$C79)&gt;0),"",INDEX($R79:$AA79,MATCH($AB98,$R$63:$AA$63,0)))</f>
        <v/>
      </c>
      <c r="S98" s="244" t="str">
        <f>IF(OR($C80="",INDEX($R80:$AA80,MATCH($AB98,$R$63:$AA$63,0))="",$E80&lt;&gt;"Yes",COUNTIF($H$25:$H$35,$C80)&gt;0,COUNTIF($D$25:$D$34,$C80)&gt;0),"",INDEX($R80:$AA80,MATCH($AB98,$R$63:$AA$63,0)))</f>
        <v/>
      </c>
      <c r="T98" s="244" t="str">
        <f>IF(OR($C81="",INDEX($R81:$AA81,MATCH($AB98,$R$63:$AA$63,0))="",$E81&lt;&gt;"Yes",COUNTIF($H$25:$H$35,$C81)&gt;0,COUNTIF($D$25:$D$34,$C81)&gt;0),"",INDEX($R81:$AA81,MATCH($AB98,$R$63:$AA$63,0)))</f>
        <v/>
      </c>
      <c r="U98" s="244" t="str">
        <f>IF(OR($C82="",INDEX($R82:$AA82,MATCH($AB98,$R$63:$AA$63,0))="",$E82&lt;&gt;"Yes",COUNTIF($H$25:$H$35,$C82)&gt;0,COUNTIF($D$25:$D$34,$C82)&gt;0),"",INDEX($R82:$AA82,MATCH($AB98,$R$63:$AA$63,0)))</f>
        <v/>
      </c>
      <c r="V98" s="244" t="str">
        <f>IF(OR($C83="",INDEX($R83:$AA83,MATCH($AB98,$R$63:$AA$63,0))="",$E83&lt;&gt;"Yes",COUNTIF($H$25:$H$35,$C83)&gt;0,COUNTIF($D$25:$D$34,$C83)&gt;0),"",INDEX($R83:$AA83,MATCH($AB98,$R$63:$AA$63,0)))</f>
        <v/>
      </c>
      <c r="X98">
        <v>11</v>
      </c>
      <c r="Y98" t="s">
        <v>280</v>
      </c>
      <c r="Z98" t="s">
        <v>282</v>
      </c>
      <c r="AA98" t="str">
        <f t="shared" si="40"/>
        <v>ST</v>
      </c>
      <c r="AB98" t="str">
        <f t="shared" si="41"/>
        <v>ST</v>
      </c>
    </row>
    <row r="99" spans="2:30" hidden="1" outlineLevel="1" x14ac:dyDescent="0.45"/>
    <row r="100" spans="2:30" hidden="1" outlineLevel="1" x14ac:dyDescent="0.45"/>
    <row r="101" spans="2:30" collapsed="1" x14ac:dyDescent="0.45"/>
    <row r="102" spans="2:30" x14ac:dyDescent="0.45">
      <c r="B102" s="436" t="s">
        <v>323</v>
      </c>
      <c r="C102" s="436"/>
      <c r="D102" s="436"/>
      <c r="E102" s="436"/>
      <c r="F102" s="436"/>
      <c r="G102" s="436"/>
      <c r="H102" s="436"/>
    </row>
    <row r="103" spans="2:30" ht="45.75" customHeight="1" x14ac:dyDescent="0.45">
      <c r="B103" s="226" t="s">
        <v>217</v>
      </c>
      <c r="C103" s="146" t="s">
        <v>218</v>
      </c>
      <c r="D103" s="146" t="s">
        <v>219</v>
      </c>
      <c r="E103" s="146" t="s">
        <v>220</v>
      </c>
      <c r="F103" s="146" t="s">
        <v>221</v>
      </c>
      <c r="G103" s="146" t="s">
        <v>222</v>
      </c>
      <c r="H103" s="146" t="s">
        <v>223</v>
      </c>
      <c r="I103" s="146" t="s">
        <v>224</v>
      </c>
      <c r="J103" s="146" t="s">
        <v>225</v>
      </c>
      <c r="K103" s="146" t="s">
        <v>226</v>
      </c>
      <c r="L103" s="146" t="s">
        <v>227</v>
      </c>
      <c r="M103" s="146" t="s">
        <v>228</v>
      </c>
      <c r="N103" s="146" t="s">
        <v>229</v>
      </c>
      <c r="O103" s="146" t="s">
        <v>230</v>
      </c>
      <c r="P103" s="146" t="s">
        <v>231</v>
      </c>
      <c r="Q103" s="146" t="s">
        <v>232</v>
      </c>
      <c r="R103" s="146" t="s">
        <v>40</v>
      </c>
      <c r="S103" s="146" t="s">
        <v>233</v>
      </c>
      <c r="T103" s="146" t="s">
        <v>234</v>
      </c>
      <c r="U103" s="146" t="s">
        <v>235</v>
      </c>
      <c r="V103" s="146" t="s">
        <v>236</v>
      </c>
      <c r="W103" s="146" t="s">
        <v>237</v>
      </c>
      <c r="X103" s="146" t="s">
        <v>238</v>
      </c>
      <c r="Y103" s="146" t="s">
        <v>239</v>
      </c>
      <c r="Z103" s="146" t="s">
        <v>240</v>
      </c>
      <c r="AA103" s="146" t="s">
        <v>241</v>
      </c>
      <c r="AB103" s="245">
        <v>4.2361111111111099E-2</v>
      </c>
      <c r="AC103" s="146" t="s">
        <v>243</v>
      </c>
      <c r="AD103" s="148" t="s">
        <v>244</v>
      </c>
    </row>
    <row r="104" spans="2:30" x14ac:dyDescent="0.45">
      <c r="B104" s="246" t="s">
        <v>250</v>
      </c>
      <c r="C104" s="247">
        <v>0</v>
      </c>
      <c r="D104" s="247">
        <v>0</v>
      </c>
      <c r="E104" s="247">
        <v>1</v>
      </c>
      <c r="F104" s="247">
        <v>0</v>
      </c>
      <c r="G104" s="247">
        <v>0</v>
      </c>
      <c r="H104" s="247">
        <v>1</v>
      </c>
      <c r="I104" s="247">
        <v>0</v>
      </c>
      <c r="J104" s="247">
        <v>0</v>
      </c>
      <c r="K104" s="247">
        <v>3</v>
      </c>
      <c r="L104" s="247">
        <v>3</v>
      </c>
      <c r="M104" s="247">
        <v>2</v>
      </c>
      <c r="N104" s="247">
        <v>2</v>
      </c>
      <c r="O104" s="247">
        <v>3</v>
      </c>
      <c r="P104" s="247">
        <v>1</v>
      </c>
      <c r="Q104" s="247">
        <v>0</v>
      </c>
      <c r="R104" s="247">
        <v>1</v>
      </c>
      <c r="S104" s="247">
        <v>3</v>
      </c>
      <c r="T104" s="247">
        <v>1</v>
      </c>
      <c r="U104" s="247">
        <v>1</v>
      </c>
      <c r="V104" s="247">
        <v>1</v>
      </c>
      <c r="W104" s="247">
        <v>2</v>
      </c>
      <c r="X104" s="247">
        <v>2</v>
      </c>
      <c r="Y104" s="247">
        <v>3</v>
      </c>
      <c r="Z104" s="247">
        <v>3</v>
      </c>
      <c r="AA104" s="247">
        <v>3</v>
      </c>
      <c r="AB104" s="247">
        <v>3</v>
      </c>
      <c r="AC104" s="247">
        <v>3</v>
      </c>
      <c r="AD104" s="248">
        <v>2</v>
      </c>
    </row>
    <row r="105" spans="2:30" x14ac:dyDescent="0.45">
      <c r="B105" s="246" t="s">
        <v>252</v>
      </c>
      <c r="C105" s="247">
        <v>1</v>
      </c>
      <c r="D105" s="247">
        <v>3</v>
      </c>
      <c r="E105" s="247">
        <v>2</v>
      </c>
      <c r="F105" s="247">
        <v>0</v>
      </c>
      <c r="G105" s="247">
        <v>1</v>
      </c>
      <c r="H105" s="247">
        <v>2</v>
      </c>
      <c r="I105" s="247">
        <v>0</v>
      </c>
      <c r="J105" s="247">
        <v>1</v>
      </c>
      <c r="K105" s="247">
        <v>2</v>
      </c>
      <c r="L105" s="247">
        <v>2</v>
      </c>
      <c r="M105" s="247">
        <v>2</v>
      </c>
      <c r="N105" s="247">
        <v>3</v>
      </c>
      <c r="O105" s="247">
        <v>2</v>
      </c>
      <c r="P105" s="247">
        <v>3</v>
      </c>
      <c r="Q105" s="247">
        <v>2</v>
      </c>
      <c r="R105" s="247">
        <v>3</v>
      </c>
      <c r="S105" s="247">
        <v>2</v>
      </c>
      <c r="T105" s="247">
        <v>3</v>
      </c>
      <c r="U105" s="247">
        <v>3</v>
      </c>
      <c r="V105" s="247">
        <v>3</v>
      </c>
      <c r="W105" s="247">
        <v>2</v>
      </c>
      <c r="X105" s="247">
        <v>3</v>
      </c>
      <c r="Y105" s="247">
        <v>0</v>
      </c>
      <c r="Z105" s="247">
        <v>0</v>
      </c>
      <c r="AA105" s="247">
        <v>0</v>
      </c>
      <c r="AB105" s="247">
        <v>0</v>
      </c>
      <c r="AC105" s="247">
        <v>0</v>
      </c>
      <c r="AD105" s="248">
        <v>0</v>
      </c>
    </row>
    <row r="106" spans="2:30" x14ac:dyDescent="0.45">
      <c r="B106" s="246" t="s">
        <v>259</v>
      </c>
      <c r="C106" s="247">
        <v>0</v>
      </c>
      <c r="D106" s="247">
        <v>0</v>
      </c>
      <c r="E106" s="247">
        <v>2</v>
      </c>
      <c r="F106" s="247">
        <v>0</v>
      </c>
      <c r="G106" s="247">
        <v>0</v>
      </c>
      <c r="H106" s="247">
        <v>2</v>
      </c>
      <c r="I106" s="247">
        <v>0</v>
      </c>
      <c r="J106" s="247">
        <v>3</v>
      </c>
      <c r="K106" s="247">
        <v>3</v>
      </c>
      <c r="L106" s="247">
        <v>3</v>
      </c>
      <c r="M106" s="247">
        <v>3</v>
      </c>
      <c r="N106" s="247">
        <v>3</v>
      </c>
      <c r="O106" s="247">
        <v>3</v>
      </c>
      <c r="P106" s="247">
        <v>3</v>
      </c>
      <c r="Q106" s="247">
        <v>0</v>
      </c>
      <c r="R106" s="247">
        <v>2</v>
      </c>
      <c r="S106" s="247">
        <v>3</v>
      </c>
      <c r="T106" s="247">
        <v>1</v>
      </c>
      <c r="U106" s="247">
        <v>2</v>
      </c>
      <c r="V106" s="247">
        <v>2</v>
      </c>
      <c r="W106" s="247">
        <v>3</v>
      </c>
      <c r="X106" s="247">
        <v>3</v>
      </c>
      <c r="Y106" s="247">
        <v>0</v>
      </c>
      <c r="Z106" s="247">
        <v>0</v>
      </c>
      <c r="AA106" s="247">
        <v>0</v>
      </c>
      <c r="AB106" s="247">
        <v>0</v>
      </c>
      <c r="AC106" s="247">
        <v>0</v>
      </c>
      <c r="AD106" s="248">
        <v>0</v>
      </c>
    </row>
    <row r="107" spans="2:30" x14ac:dyDescent="0.45">
      <c r="B107" s="246" t="s">
        <v>269</v>
      </c>
      <c r="C107" s="247">
        <v>1</v>
      </c>
      <c r="D107" s="247">
        <v>3</v>
      </c>
      <c r="E107" s="247">
        <v>2</v>
      </c>
      <c r="F107" s="247">
        <v>0</v>
      </c>
      <c r="G107" s="247">
        <v>1</v>
      </c>
      <c r="H107" s="247">
        <v>2</v>
      </c>
      <c r="I107" s="247">
        <v>0</v>
      </c>
      <c r="J107" s="247">
        <v>1</v>
      </c>
      <c r="K107" s="247">
        <v>2</v>
      </c>
      <c r="L107" s="247">
        <v>2</v>
      </c>
      <c r="M107" s="247">
        <v>2</v>
      </c>
      <c r="N107" s="247">
        <v>3</v>
      </c>
      <c r="O107" s="247">
        <v>2</v>
      </c>
      <c r="P107" s="247">
        <v>3</v>
      </c>
      <c r="Q107" s="247">
        <v>2</v>
      </c>
      <c r="R107" s="247">
        <v>3</v>
      </c>
      <c r="S107" s="247">
        <v>2</v>
      </c>
      <c r="T107" s="247">
        <v>3</v>
      </c>
      <c r="U107" s="247">
        <v>3</v>
      </c>
      <c r="V107" s="247">
        <v>3</v>
      </c>
      <c r="W107" s="247">
        <v>2</v>
      </c>
      <c r="X107" s="247">
        <v>3</v>
      </c>
      <c r="Y107" s="247">
        <v>0</v>
      </c>
      <c r="Z107" s="247">
        <v>0</v>
      </c>
      <c r="AA107" s="247">
        <v>0</v>
      </c>
      <c r="AB107" s="247">
        <v>0</v>
      </c>
      <c r="AC107" s="247">
        <v>0</v>
      </c>
      <c r="AD107" s="248">
        <v>0</v>
      </c>
    </row>
    <row r="108" spans="2:30" x14ac:dyDescent="0.45">
      <c r="B108" s="246" t="s">
        <v>272</v>
      </c>
      <c r="C108" s="247">
        <v>0</v>
      </c>
      <c r="D108" s="247">
        <v>1</v>
      </c>
      <c r="E108" s="247">
        <v>2</v>
      </c>
      <c r="F108" s="247">
        <v>0</v>
      </c>
      <c r="G108" s="247">
        <v>1</v>
      </c>
      <c r="H108" s="247">
        <v>3</v>
      </c>
      <c r="I108" s="247">
        <v>0</v>
      </c>
      <c r="J108" s="247">
        <v>2</v>
      </c>
      <c r="K108" s="247">
        <v>3</v>
      </c>
      <c r="L108" s="247">
        <v>3</v>
      </c>
      <c r="M108" s="247">
        <v>3</v>
      </c>
      <c r="N108" s="247">
        <v>3</v>
      </c>
      <c r="O108" s="247">
        <v>3</v>
      </c>
      <c r="P108" s="247">
        <v>3</v>
      </c>
      <c r="Q108" s="247">
        <v>2</v>
      </c>
      <c r="R108" s="247">
        <v>3</v>
      </c>
      <c r="S108" s="247">
        <v>2</v>
      </c>
      <c r="T108" s="247">
        <v>1</v>
      </c>
      <c r="U108" s="247">
        <v>1</v>
      </c>
      <c r="V108" s="247">
        <v>3</v>
      </c>
      <c r="W108" s="247">
        <v>3</v>
      </c>
      <c r="X108" s="247">
        <v>3</v>
      </c>
      <c r="Y108" s="247">
        <v>0</v>
      </c>
      <c r="Z108" s="247">
        <v>0</v>
      </c>
      <c r="AA108" s="247">
        <v>0</v>
      </c>
      <c r="AB108" s="247">
        <v>0</v>
      </c>
      <c r="AC108" s="247">
        <v>0</v>
      </c>
      <c r="AD108" s="248">
        <v>0</v>
      </c>
    </row>
    <row r="109" spans="2:30" x14ac:dyDescent="0.45">
      <c r="B109" s="246" t="s">
        <v>274</v>
      </c>
      <c r="C109" s="247">
        <v>1</v>
      </c>
      <c r="D109" s="247">
        <v>2</v>
      </c>
      <c r="E109" s="247">
        <v>3</v>
      </c>
      <c r="F109" s="247">
        <v>1</v>
      </c>
      <c r="G109" s="247">
        <v>2</v>
      </c>
      <c r="H109" s="247">
        <v>3</v>
      </c>
      <c r="I109" s="247">
        <v>1</v>
      </c>
      <c r="J109" s="247">
        <v>1</v>
      </c>
      <c r="K109" s="247">
        <v>3</v>
      </c>
      <c r="L109" s="247">
        <v>3</v>
      </c>
      <c r="M109" s="247">
        <v>3</v>
      </c>
      <c r="N109" s="247">
        <v>3</v>
      </c>
      <c r="O109" s="247">
        <v>2</v>
      </c>
      <c r="P109" s="247">
        <v>2</v>
      </c>
      <c r="Q109" s="247">
        <v>3</v>
      </c>
      <c r="R109" s="247">
        <v>3</v>
      </c>
      <c r="S109" s="247">
        <v>1</v>
      </c>
      <c r="T109" s="247">
        <v>2</v>
      </c>
      <c r="U109" s="247">
        <v>2</v>
      </c>
      <c r="V109" s="247">
        <v>3</v>
      </c>
      <c r="W109" s="247">
        <v>2</v>
      </c>
      <c r="X109" s="247">
        <v>3</v>
      </c>
      <c r="Y109" s="247">
        <v>0</v>
      </c>
      <c r="Z109" s="247">
        <v>0</v>
      </c>
      <c r="AA109" s="247">
        <v>0</v>
      </c>
      <c r="AB109" s="247">
        <v>0</v>
      </c>
      <c r="AC109" s="247">
        <v>0</v>
      </c>
      <c r="AD109" s="248">
        <v>0</v>
      </c>
    </row>
    <row r="110" spans="2:30" x14ac:dyDescent="0.45">
      <c r="B110" s="246" t="s">
        <v>276</v>
      </c>
      <c r="C110" s="247">
        <v>2</v>
      </c>
      <c r="D110" s="247">
        <v>2</v>
      </c>
      <c r="E110" s="247">
        <v>3</v>
      </c>
      <c r="F110" s="247">
        <v>2</v>
      </c>
      <c r="G110" s="247">
        <v>3</v>
      </c>
      <c r="H110" s="247">
        <v>3</v>
      </c>
      <c r="I110" s="247">
        <v>2</v>
      </c>
      <c r="J110" s="247">
        <v>1</v>
      </c>
      <c r="K110" s="247">
        <v>3</v>
      </c>
      <c r="L110" s="247">
        <v>2</v>
      </c>
      <c r="M110" s="247">
        <v>3</v>
      </c>
      <c r="N110" s="247">
        <v>2</v>
      </c>
      <c r="O110" s="247">
        <v>2</v>
      </c>
      <c r="P110" s="247">
        <v>1</v>
      </c>
      <c r="Q110" s="247">
        <v>3</v>
      </c>
      <c r="R110" s="247">
        <v>2</v>
      </c>
      <c r="S110" s="247">
        <v>1</v>
      </c>
      <c r="T110" s="247">
        <v>2</v>
      </c>
      <c r="U110" s="247">
        <v>2</v>
      </c>
      <c r="V110" s="247">
        <v>2</v>
      </c>
      <c r="W110" s="247">
        <v>1</v>
      </c>
      <c r="X110" s="247">
        <v>2</v>
      </c>
      <c r="Y110" s="247">
        <v>0</v>
      </c>
      <c r="Z110" s="247">
        <v>0</v>
      </c>
      <c r="AA110" s="247">
        <v>0</v>
      </c>
      <c r="AB110" s="247">
        <v>0</v>
      </c>
      <c r="AC110" s="247">
        <v>0</v>
      </c>
      <c r="AD110" s="248">
        <v>0</v>
      </c>
    </row>
    <row r="111" spans="2:30" x14ac:dyDescent="0.45">
      <c r="B111" s="246" t="s">
        <v>278</v>
      </c>
      <c r="C111" s="247">
        <v>2</v>
      </c>
      <c r="D111" s="247">
        <v>3</v>
      </c>
      <c r="E111" s="247">
        <v>3</v>
      </c>
      <c r="F111" s="247">
        <v>2</v>
      </c>
      <c r="G111" s="247">
        <v>2</v>
      </c>
      <c r="H111" s="247">
        <v>2</v>
      </c>
      <c r="I111" s="247">
        <v>1</v>
      </c>
      <c r="J111" s="247">
        <v>0</v>
      </c>
      <c r="K111" s="247">
        <v>2</v>
      </c>
      <c r="L111" s="247">
        <v>2</v>
      </c>
      <c r="M111" s="247">
        <v>2</v>
      </c>
      <c r="N111" s="247">
        <v>2</v>
      </c>
      <c r="O111" s="247">
        <v>1</v>
      </c>
      <c r="P111" s="247">
        <v>1</v>
      </c>
      <c r="Q111" s="247">
        <v>3</v>
      </c>
      <c r="R111" s="247">
        <v>3</v>
      </c>
      <c r="S111" s="247">
        <v>1</v>
      </c>
      <c r="T111" s="247">
        <v>3</v>
      </c>
      <c r="U111" s="247">
        <v>3</v>
      </c>
      <c r="V111" s="247">
        <v>3</v>
      </c>
      <c r="W111" s="247">
        <v>1</v>
      </c>
      <c r="X111" s="247">
        <v>3</v>
      </c>
      <c r="Y111" s="247">
        <v>0</v>
      </c>
      <c r="Z111" s="247">
        <v>0</v>
      </c>
      <c r="AA111" s="247">
        <v>0</v>
      </c>
      <c r="AB111" s="247">
        <v>0</v>
      </c>
      <c r="AC111" s="247">
        <v>0</v>
      </c>
      <c r="AD111" s="248">
        <v>0</v>
      </c>
    </row>
    <row r="112" spans="2:30" x14ac:dyDescent="0.45">
      <c r="B112" s="246" t="s">
        <v>280</v>
      </c>
      <c r="C112" s="247">
        <v>2</v>
      </c>
      <c r="D112" s="247">
        <v>3</v>
      </c>
      <c r="E112" s="247">
        <v>3</v>
      </c>
      <c r="F112" s="247">
        <v>2</v>
      </c>
      <c r="G112" s="247">
        <v>2</v>
      </c>
      <c r="H112" s="247">
        <v>2</v>
      </c>
      <c r="I112" s="247">
        <v>1</v>
      </c>
      <c r="J112" s="247">
        <v>0</v>
      </c>
      <c r="K112" s="247">
        <v>2</v>
      </c>
      <c r="L112" s="247">
        <v>2</v>
      </c>
      <c r="M112" s="247">
        <v>2</v>
      </c>
      <c r="N112" s="247">
        <v>2</v>
      </c>
      <c r="O112" s="247">
        <v>1</v>
      </c>
      <c r="P112" s="247">
        <v>1</v>
      </c>
      <c r="Q112" s="247">
        <v>3</v>
      </c>
      <c r="R112" s="247">
        <v>3</v>
      </c>
      <c r="S112" s="247">
        <v>1</v>
      </c>
      <c r="T112" s="247">
        <v>3</v>
      </c>
      <c r="U112" s="247">
        <v>3</v>
      </c>
      <c r="V112" s="247">
        <v>3</v>
      </c>
      <c r="W112" s="247">
        <v>1</v>
      </c>
      <c r="X112" s="247">
        <v>3</v>
      </c>
      <c r="Y112" s="247">
        <v>0</v>
      </c>
      <c r="Z112" s="247">
        <v>0</v>
      </c>
      <c r="AA112" s="247">
        <v>0</v>
      </c>
      <c r="AB112" s="247">
        <v>0</v>
      </c>
      <c r="AC112" s="247">
        <v>0</v>
      </c>
      <c r="AD112" s="248">
        <v>0</v>
      </c>
    </row>
    <row r="113" spans="2:30" x14ac:dyDescent="0.45">
      <c r="B113" s="249" t="s">
        <v>282</v>
      </c>
      <c r="C113" s="250">
        <v>0</v>
      </c>
      <c r="D113" s="250">
        <v>1</v>
      </c>
      <c r="E113" s="250">
        <v>3</v>
      </c>
      <c r="F113" s="250">
        <v>3</v>
      </c>
      <c r="G113" s="250">
        <v>2</v>
      </c>
      <c r="H113" s="250">
        <v>2</v>
      </c>
      <c r="I113" s="250">
        <v>1</v>
      </c>
      <c r="J113" s="250">
        <v>3</v>
      </c>
      <c r="K113" s="250">
        <v>3</v>
      </c>
      <c r="L113" s="250">
        <v>2</v>
      </c>
      <c r="M113" s="250">
        <v>3</v>
      </c>
      <c r="N113" s="250">
        <v>3</v>
      </c>
      <c r="O113" s="250">
        <v>3</v>
      </c>
      <c r="P113" s="250">
        <v>0</v>
      </c>
      <c r="Q113" s="250">
        <v>3</v>
      </c>
      <c r="R113" s="250">
        <v>2</v>
      </c>
      <c r="S113" s="250">
        <v>3</v>
      </c>
      <c r="T113" s="250">
        <v>3</v>
      </c>
      <c r="U113" s="250">
        <v>3</v>
      </c>
      <c r="V113" s="250">
        <v>2</v>
      </c>
      <c r="W113" s="250">
        <v>3</v>
      </c>
      <c r="X113" s="250">
        <v>2</v>
      </c>
      <c r="Y113" s="250">
        <v>0</v>
      </c>
      <c r="Z113" s="250">
        <v>0</v>
      </c>
      <c r="AA113" s="250">
        <v>0</v>
      </c>
      <c r="AB113" s="250">
        <v>0</v>
      </c>
      <c r="AC113" s="250">
        <v>0</v>
      </c>
      <c r="AD113" s="251">
        <v>0</v>
      </c>
    </row>
    <row r="116" spans="2:30" x14ac:dyDescent="0.45">
      <c r="B116" s="437" t="s">
        <v>324</v>
      </c>
      <c r="C116" s="437"/>
      <c r="D116" s="437"/>
      <c r="E116" s="437"/>
      <c r="F116" s="437"/>
      <c r="G116" s="437"/>
      <c r="H116" s="136"/>
      <c r="I116" s="136"/>
    </row>
    <row r="117" spans="2:30" x14ac:dyDescent="0.45">
      <c r="B117" s="182" t="s">
        <v>153</v>
      </c>
      <c r="C117" s="182" t="s">
        <v>18</v>
      </c>
      <c r="D117" s="252" t="s">
        <v>217</v>
      </c>
      <c r="E117" s="253" t="s">
        <v>316</v>
      </c>
      <c r="F117" s="253" t="s">
        <v>325</v>
      </c>
      <c r="G117" s="253" t="s">
        <v>326</v>
      </c>
      <c r="H117" s="253" t="s">
        <v>327</v>
      </c>
      <c r="I117" s="253" t="s">
        <v>328</v>
      </c>
    </row>
    <row r="118" spans="2:30" x14ac:dyDescent="0.45">
      <c r="B118" s="216">
        <f>IF($C118="","",ROWS($B$118:B118))</f>
        <v>1</v>
      </c>
      <c r="C118" s="229" t="str">
        <f t="shared" ref="C118:C137" si="42">IF($C64="","",$C64)</f>
        <v>Aoife Kennan</v>
      </c>
      <c r="D118" s="254" t="str">
        <f t="shared" ref="D118:D137" si="43">IF($C118="","",$D64)</f>
        <v>GK</v>
      </c>
      <c r="E118" s="255" t="s">
        <v>307</v>
      </c>
      <c r="F118" s="256"/>
      <c r="G118" s="257"/>
      <c r="H118" s="247"/>
      <c r="I118" s="258" t="str">
        <f t="shared" ref="I118:I137" si="44">IF($C118="","",IF(AND($E118="Injured",$G118&lt;&gt;"",$H118&lt;&gt;""),$G118+$H118*7,""))</f>
        <v/>
      </c>
    </row>
    <row r="119" spans="2:30" x14ac:dyDescent="0.45">
      <c r="B119" s="220">
        <f>IF($C119="","",ROWS($B$118:B119))</f>
        <v>2</v>
      </c>
      <c r="C119" s="233" t="str">
        <f t="shared" si="42"/>
        <v>Stella McEvoy</v>
      </c>
      <c r="D119" s="259" t="str">
        <f t="shared" si="43"/>
        <v>LB / RB / CB</v>
      </c>
      <c r="E119" s="255" t="s">
        <v>307</v>
      </c>
      <c r="F119" s="256"/>
      <c r="G119" s="257"/>
      <c r="H119" s="247"/>
      <c r="I119" s="258" t="str">
        <f t="shared" si="44"/>
        <v/>
      </c>
    </row>
    <row r="120" spans="2:30" x14ac:dyDescent="0.45">
      <c r="B120" s="216">
        <f>IF($C120="","",ROWS($B$118:B120))</f>
        <v>3</v>
      </c>
      <c r="C120" s="229" t="str">
        <f t="shared" si="42"/>
        <v>Zara Power</v>
      </c>
      <c r="D120" s="254" t="str">
        <f t="shared" si="43"/>
        <v>RB</v>
      </c>
      <c r="E120" s="255" t="s">
        <v>308</v>
      </c>
      <c r="F120" s="256" t="s">
        <v>329</v>
      </c>
      <c r="G120" s="257">
        <v>46255</v>
      </c>
      <c r="H120" s="247">
        <v>6</v>
      </c>
      <c r="I120" s="258">
        <f t="shared" si="44"/>
        <v>46297</v>
      </c>
    </row>
    <row r="121" spans="2:30" x14ac:dyDescent="0.45">
      <c r="B121" s="220">
        <f>IF($C121="","",ROWS($B$118:B121))</f>
        <v>4</v>
      </c>
      <c r="C121" s="233" t="str">
        <f t="shared" si="42"/>
        <v>Heidi Cerubini Dunne</v>
      </c>
      <c r="D121" s="259" t="str">
        <f t="shared" si="43"/>
        <v>LB / RB</v>
      </c>
      <c r="E121" s="255" t="s">
        <v>307</v>
      </c>
      <c r="F121" s="256"/>
      <c r="G121" s="257"/>
      <c r="H121" s="247"/>
      <c r="I121" s="258" t="str">
        <f t="shared" si="44"/>
        <v/>
      </c>
    </row>
    <row r="122" spans="2:30" x14ac:dyDescent="0.45">
      <c r="B122" s="216">
        <f>IF($C122="","",ROWS($B$118:B122))</f>
        <v>5</v>
      </c>
      <c r="C122" s="229" t="str">
        <f t="shared" si="42"/>
        <v>Roisin Offenhausen</v>
      </c>
      <c r="D122" s="254" t="str">
        <f>IF($C122="","",$D68)</f>
        <v>RW / CM / ST</v>
      </c>
      <c r="E122" s="255" t="s">
        <v>307</v>
      </c>
      <c r="F122" s="256"/>
      <c r="G122" s="257"/>
      <c r="H122" s="247"/>
      <c r="I122" s="258" t="str">
        <f t="shared" si="44"/>
        <v/>
      </c>
    </row>
    <row r="123" spans="2:30" x14ac:dyDescent="0.45">
      <c r="B123" s="220">
        <f>IF($C123="","",ROWS($B$118:B123))</f>
        <v>6</v>
      </c>
      <c r="C123" s="233" t="str">
        <f t="shared" si="42"/>
        <v>Naomi Adewoyin</v>
      </c>
      <c r="D123" s="259" t="str">
        <f t="shared" si="43"/>
        <v>CM / ACM</v>
      </c>
      <c r="E123" s="255" t="s">
        <v>307</v>
      </c>
      <c r="F123" s="256"/>
      <c r="G123" s="257"/>
      <c r="H123" s="247"/>
      <c r="I123" s="258" t="str">
        <f t="shared" si="44"/>
        <v/>
      </c>
    </row>
    <row r="124" spans="2:30" x14ac:dyDescent="0.45">
      <c r="B124" s="216">
        <f>IF($C124="","",ROWS($B$118:B124))</f>
        <v>7</v>
      </c>
      <c r="C124" s="229" t="str">
        <f t="shared" si="42"/>
        <v>Amber Kilalee</v>
      </c>
      <c r="D124" s="254" t="str">
        <f t="shared" si="43"/>
        <v>LW / ST</v>
      </c>
      <c r="E124" s="255" t="s">
        <v>307</v>
      </c>
      <c r="F124" s="256"/>
      <c r="G124" s="257"/>
      <c r="H124" s="247"/>
      <c r="I124" s="258" t="str">
        <f t="shared" si="44"/>
        <v/>
      </c>
    </row>
    <row r="125" spans="2:30" x14ac:dyDescent="0.45">
      <c r="B125" s="220">
        <f>IF($C125="","",ROWS($B$118:B125))</f>
        <v>8</v>
      </c>
      <c r="C125" s="233" t="str">
        <f t="shared" si="42"/>
        <v>Shauna Kavanagh</v>
      </c>
      <c r="D125" s="259" t="str">
        <f t="shared" si="43"/>
        <v>ST / RW</v>
      </c>
      <c r="E125" s="255" t="s">
        <v>307</v>
      </c>
      <c r="F125" s="256"/>
      <c r="G125" s="257"/>
      <c r="H125" s="247"/>
      <c r="I125" s="258" t="str">
        <f t="shared" si="44"/>
        <v/>
      </c>
    </row>
    <row r="126" spans="2:30" x14ac:dyDescent="0.45">
      <c r="B126" s="216">
        <f>IF($C126="","",ROWS($B$118:B126))</f>
        <v>9</v>
      </c>
      <c r="C126" s="229" t="str">
        <f t="shared" si="42"/>
        <v>Tara Brannigan</v>
      </c>
      <c r="D126" s="254" t="str">
        <f t="shared" si="43"/>
        <v>DM / CM</v>
      </c>
      <c r="E126" s="255" t="s">
        <v>307</v>
      </c>
      <c r="F126" s="256"/>
      <c r="G126" s="257"/>
      <c r="H126" s="247"/>
      <c r="I126" s="258" t="str">
        <f t="shared" si="44"/>
        <v/>
      </c>
    </row>
    <row r="127" spans="2:30" x14ac:dyDescent="0.45">
      <c r="B127" s="220">
        <f>IF($C127="","",ROWS($B$118:B127))</f>
        <v>10</v>
      </c>
      <c r="C127" s="233" t="str">
        <f t="shared" si="42"/>
        <v>Semilore Adesanya</v>
      </c>
      <c r="D127" s="259" t="str">
        <f t="shared" si="43"/>
        <v>CB / CM</v>
      </c>
      <c r="E127" s="255" t="s">
        <v>307</v>
      </c>
      <c r="F127" s="256"/>
      <c r="G127" s="257"/>
      <c r="H127" s="247"/>
      <c r="I127" s="258" t="str">
        <f t="shared" si="44"/>
        <v/>
      </c>
    </row>
    <row r="128" spans="2:30" x14ac:dyDescent="0.45">
      <c r="B128" s="216">
        <f>IF($C128="","",ROWS($B$118:B128))</f>
        <v>11</v>
      </c>
      <c r="C128" s="229" t="str">
        <f t="shared" si="42"/>
        <v>Hannah Fleming</v>
      </c>
      <c r="D128" s="254" t="str">
        <f t="shared" si="43"/>
        <v>LB / LW</v>
      </c>
      <c r="E128" s="255" t="s">
        <v>307</v>
      </c>
      <c r="F128" s="256"/>
      <c r="G128" s="257"/>
      <c r="H128" s="247"/>
      <c r="I128" s="258" t="str">
        <f t="shared" si="44"/>
        <v/>
      </c>
    </row>
    <row r="129" spans="2:9" x14ac:dyDescent="0.45">
      <c r="B129" s="220">
        <f>IF($C129="","",ROWS($B$118:B129))</f>
        <v>12</v>
      </c>
      <c r="C129" s="233" t="str">
        <f t="shared" si="42"/>
        <v>Emma Kelly</v>
      </c>
      <c r="D129" s="259" t="str">
        <f t="shared" si="43"/>
        <v>CB</v>
      </c>
      <c r="E129" s="255" t="s">
        <v>307</v>
      </c>
      <c r="F129" s="256"/>
      <c r="G129" s="257"/>
      <c r="H129" s="247"/>
      <c r="I129" s="258" t="str">
        <f t="shared" si="44"/>
        <v/>
      </c>
    </row>
    <row r="130" spans="2:9" x14ac:dyDescent="0.45">
      <c r="B130" s="216">
        <f>IF($C130="","",ROWS($B$118:B130))</f>
        <v>13</v>
      </c>
      <c r="C130" s="229" t="str">
        <f t="shared" si="42"/>
        <v>Roma Memon</v>
      </c>
      <c r="D130" s="254" t="str">
        <f t="shared" si="43"/>
        <v>DM / CM</v>
      </c>
      <c r="E130" s="255" t="s">
        <v>307</v>
      </c>
      <c r="F130" s="256"/>
      <c r="G130" s="257"/>
      <c r="H130" s="247"/>
      <c r="I130" s="258" t="str">
        <f t="shared" si="44"/>
        <v/>
      </c>
    </row>
    <row r="131" spans="2:9" x14ac:dyDescent="0.45">
      <c r="B131" s="220">
        <f>IF($C131="","",ROWS($B$118:B131))</f>
        <v>14</v>
      </c>
      <c r="C131" s="233" t="str">
        <f t="shared" si="42"/>
        <v>Emma Dromgoole</v>
      </c>
      <c r="D131" s="259" t="str">
        <f t="shared" si="43"/>
        <v>RW / ST</v>
      </c>
      <c r="E131" s="255" t="s">
        <v>308</v>
      </c>
      <c r="F131" s="256" t="s">
        <v>330</v>
      </c>
      <c r="G131" s="257">
        <v>46248</v>
      </c>
      <c r="H131" s="247">
        <v>2</v>
      </c>
      <c r="I131" s="258">
        <f t="shared" si="44"/>
        <v>46262</v>
      </c>
    </row>
    <row r="132" spans="2:9" x14ac:dyDescent="0.45">
      <c r="B132" s="216">
        <f>IF($C132="","",ROWS($B$118:B132))</f>
        <v>15</v>
      </c>
      <c r="C132" s="229" t="str">
        <f t="shared" si="42"/>
        <v>Elsie Morrison</v>
      </c>
      <c r="D132" s="254" t="str">
        <f t="shared" si="43"/>
        <v>LW / ST / GK</v>
      </c>
      <c r="E132" s="255" t="s">
        <v>307</v>
      </c>
      <c r="F132" s="256"/>
      <c r="G132" s="257"/>
      <c r="H132" s="247"/>
      <c r="I132" s="258" t="str">
        <f t="shared" si="44"/>
        <v/>
      </c>
    </row>
    <row r="133" spans="2:9" x14ac:dyDescent="0.45">
      <c r="B133" s="220">
        <f>IF($C133="","",ROWS($B$118:B133))</f>
        <v>16</v>
      </c>
      <c r="C133" s="233" t="str">
        <f t="shared" si="42"/>
        <v>Zara Freeman</v>
      </c>
      <c r="D133" s="259" t="str">
        <f t="shared" si="43"/>
        <v xml:space="preserve">ST </v>
      </c>
      <c r="E133" s="255" t="s">
        <v>307</v>
      </c>
      <c r="F133" s="256"/>
      <c r="G133" s="257"/>
      <c r="H133" s="247"/>
      <c r="I133" s="258" t="str">
        <f t="shared" si="44"/>
        <v/>
      </c>
    </row>
    <row r="134" spans="2:9" x14ac:dyDescent="0.45">
      <c r="B134" s="216">
        <f>IF($C134="","",ROWS($B$118:B134))</f>
        <v>17</v>
      </c>
      <c r="C134" s="229" t="str">
        <f t="shared" si="42"/>
        <v>Mariana Soares</v>
      </c>
      <c r="D134" s="254" t="str">
        <f t="shared" si="43"/>
        <v>RB / CB</v>
      </c>
      <c r="E134" s="255" t="s">
        <v>307</v>
      </c>
      <c r="F134" s="256"/>
      <c r="G134" s="257"/>
      <c r="H134" s="247"/>
      <c r="I134" s="258" t="str">
        <f t="shared" si="44"/>
        <v/>
      </c>
    </row>
    <row r="135" spans="2:9" x14ac:dyDescent="0.45">
      <c r="B135" s="220">
        <f>IF($C135="","",ROWS($B$118:B135))</f>
        <v>18</v>
      </c>
      <c r="C135" s="233" t="str">
        <f t="shared" si="42"/>
        <v>Rama Abuowda</v>
      </c>
      <c r="D135" s="259" t="str">
        <f t="shared" si="43"/>
        <v>RW / ST / LW</v>
      </c>
      <c r="E135" s="255"/>
      <c r="F135" s="256"/>
      <c r="G135" s="257"/>
      <c r="H135" s="247"/>
      <c r="I135" s="258" t="str">
        <f t="shared" si="44"/>
        <v/>
      </c>
    </row>
    <row r="136" spans="2:9" x14ac:dyDescent="0.45">
      <c r="B136" s="216" t="str">
        <f>IF($C136="","",ROWS($B$118:B136))</f>
        <v/>
      </c>
      <c r="C136" s="229" t="str">
        <f t="shared" si="42"/>
        <v/>
      </c>
      <c r="D136" s="254" t="str">
        <f t="shared" si="43"/>
        <v/>
      </c>
      <c r="E136" s="255"/>
      <c r="F136" s="256"/>
      <c r="G136" s="257"/>
      <c r="H136" s="247"/>
      <c r="I136" s="258" t="str">
        <f t="shared" si="44"/>
        <v/>
      </c>
    </row>
    <row r="137" spans="2:9" x14ac:dyDescent="0.45">
      <c r="B137" s="220" t="str">
        <f>IF($C137="","",ROWS($B$118:B137))</f>
        <v/>
      </c>
      <c r="C137" s="233" t="str">
        <f t="shared" si="42"/>
        <v/>
      </c>
      <c r="D137" s="259" t="str">
        <f t="shared" si="43"/>
        <v/>
      </c>
      <c r="E137" s="260"/>
      <c r="F137" s="261"/>
      <c r="G137" s="262"/>
      <c r="H137" s="250"/>
      <c r="I137" s="263" t="str">
        <f t="shared" si="44"/>
        <v/>
      </c>
    </row>
    <row r="138" spans="2:9" x14ac:dyDescent="0.45">
      <c r="E138" s="264"/>
      <c r="F138" s="264"/>
      <c r="G138" s="264"/>
      <c r="H138" s="264"/>
      <c r="I138" s="264"/>
    </row>
    <row r="139" spans="2:9" x14ac:dyDescent="0.45">
      <c r="B139" s="265" t="s">
        <v>331</v>
      </c>
      <c r="D139" s="266" t="str">
        <f t="array" ref="D139">COUNTIF($E$64:$E$83,"Yes")&amp;" of "&amp;SUMPRODUCT(--($C$64:$C$83&lt;&gt;""))</f>
        <v>16 of 18</v>
      </c>
    </row>
    <row r="140" spans="2:9" x14ac:dyDescent="0.45">
      <c r="B140" s="267" t="s">
        <v>308</v>
      </c>
      <c r="D140" s="268">
        <f>COUNTIF($E$118:$E$137,"Injured")</f>
        <v>2</v>
      </c>
    </row>
    <row r="141" spans="2:9" x14ac:dyDescent="0.45">
      <c r="B141" s="267" t="s">
        <v>309</v>
      </c>
      <c r="D141" s="268">
        <f>COUNTIF($E$118:$E$137,"Absent")</f>
        <v>0</v>
      </c>
    </row>
    <row r="142" spans="2:9" x14ac:dyDescent="0.45">
      <c r="B142" s="267"/>
      <c r="D142" s="268"/>
    </row>
    <row r="144" spans="2:9" x14ac:dyDescent="0.45">
      <c r="B144" s="428" t="s">
        <v>600</v>
      </c>
    </row>
    <row r="145" spans="2:9" x14ac:dyDescent="0.45">
      <c r="B145" s="429" t="s">
        <v>312</v>
      </c>
      <c r="C145" s="430" t="s">
        <v>217</v>
      </c>
      <c r="D145" s="430" t="s">
        <v>486</v>
      </c>
      <c r="E145" s="430" t="s">
        <v>601</v>
      </c>
      <c r="F145" s="430" t="s">
        <v>18</v>
      </c>
      <c r="G145" s="430" t="s">
        <v>313</v>
      </c>
      <c r="H145" s="430" t="s">
        <v>24</v>
      </c>
      <c r="I145" s="430" t="s">
        <v>314</v>
      </c>
    </row>
    <row r="146" spans="2:9" x14ac:dyDescent="0.45">
      <c r="B146" s="301">
        <f>ROWS($B$146:B146)</f>
        <v>1</v>
      </c>
      <c r="C146" s="305" t="str" cm="1">
        <f t="array" ref="C146">INDEX($Z$88:$Z$98,$B146)</f>
        <v>GK</v>
      </c>
      <c r="D146" s="305" t="str">
        <f>IF($C146="RWB","RB",IF($C146="LWB","LB",$C146))</f>
        <v>GK</v>
      </c>
      <c r="E146" s="305" t="str" cm="1">
        <f t="array" ref="E146">IF(INDEX($H$25:$H$35,$B146)="","",INDEX($H$25:$H$35,$B146))</f>
        <v/>
      </c>
      <c r="F146" s="290" t="str">
        <f>IF($E146&lt;&gt;"",$E146,IFERROR(INDEX($C$64:$C$83,MATCH(MAX(INDEX($AF$64:$AP$83,0,$B146)),INDEX($AF$64:$AP$83,0,$B146),0)),""))</f>
        <v>Elsie Morrison</v>
      </c>
      <c r="G146" s="431">
        <f>IFERROR(INDEX($R$64:$AA$83,MATCH($F146,$C$64:$C$83,0),MATCH($D146,$R$63:$AA$63,0)),"")</f>
        <v>10.942424242424241</v>
      </c>
      <c r="H146" s="432">
        <f>IFERROR(INDEX($AB$64:$AB$83,MATCH($F146,$C$64:$C$83,0)),"")</f>
        <v>0.76666666666666661</v>
      </c>
      <c r="I146" s="431">
        <f>IFERROR(INDEX($AC$64:$AC$83,MATCH($F146,$C$64:$C$83,0)),"")</f>
        <v>10.508333333333331</v>
      </c>
    </row>
    <row r="147" spans="2:9" x14ac:dyDescent="0.45">
      <c r="B147" s="301">
        <f>ROWS($B$146:B147)</f>
        <v>2</v>
      </c>
      <c r="C147" s="305" t="str" cm="1">
        <f t="array" ref="C147">INDEX($Z$88:$Z$98,$B147)</f>
        <v>CB</v>
      </c>
      <c r="D147" s="305" t="str">
        <f t="shared" ref="D147:D156" si="45">IF($C147="RWB","RB",IF($C147="LWB","LB",$C147))</f>
        <v>CB</v>
      </c>
      <c r="E147" s="305" t="str" cm="1">
        <f t="array" ref="E147">IF(INDEX($H$25:$H$35,$B147)="","",INDEX($H$25:$H$35,$B147))</f>
        <v>Stella McEvoy</v>
      </c>
      <c r="F147" s="290" t="str">
        <f t="shared" ref="F147:F156" si="46">IF($E147&lt;&gt;"",$E147,IFERROR(INDEX($C$64:$C$83,MATCH(MAX(INDEX($AF$64:$AP$83,0,$B147)),INDEX($AF$64:$AP$83,0,$B147),0)),""))</f>
        <v>Stella McEvoy</v>
      </c>
      <c r="G147" s="431">
        <f t="shared" ref="G147:G156" si="47">IFERROR(INDEX($R$64:$AA$83,MATCH($F147,$C$64:$C$83,0),MATCH($D147,$R$63:$AA$63,0)),"")</f>
        <v>14.11869918699187</v>
      </c>
      <c r="H147" s="432">
        <f t="shared" ref="H147:H156" si="48">IFERROR(INDEX($AB$64:$AB$83,MATCH($F147,$C$64:$C$83,0)),"")</f>
        <v>0.76666666666666661</v>
      </c>
      <c r="I147" s="431">
        <f t="shared" ref="I147:I156" si="49">IFERROR(INDEX($AC$64:$AC$83,MATCH($F147,$C$64:$C$83,0)),"")</f>
        <v>11.135185185185186</v>
      </c>
    </row>
    <row r="148" spans="2:9" x14ac:dyDescent="0.45">
      <c r="B148" s="301">
        <f>ROWS($B$146:B148)</f>
        <v>3</v>
      </c>
      <c r="C148" s="305" t="str" cm="1">
        <f t="array" ref="C148">INDEX($Z$88:$Z$98,$B148)</f>
        <v>CB</v>
      </c>
      <c r="D148" s="305" t="str">
        <f t="shared" si="45"/>
        <v>CB</v>
      </c>
      <c r="E148" s="305" t="str" cm="1">
        <f t="array" ref="E148">IF(INDEX($H$25:$H$35,$B148)="","",INDEX($H$25:$H$35,$B148))</f>
        <v>Emma Kelly</v>
      </c>
      <c r="F148" s="290" t="str">
        <f t="shared" si="46"/>
        <v>Emma Kelly</v>
      </c>
      <c r="G148" s="431">
        <f t="shared" si="47"/>
        <v>15.918428184281842</v>
      </c>
      <c r="H148" s="432">
        <f t="shared" si="48"/>
        <v>0.60555555555555551</v>
      </c>
      <c r="I148" s="431">
        <f t="shared" si="49"/>
        <v>13.725925925925926</v>
      </c>
    </row>
    <row r="149" spans="2:9" x14ac:dyDescent="0.45">
      <c r="B149" s="301">
        <f>ROWS($B$146:B149)</f>
        <v>4</v>
      </c>
      <c r="C149" s="305" t="str" cm="1">
        <f t="array" ref="C149">INDEX($Z$88:$Z$98,$B149)</f>
        <v>CB</v>
      </c>
      <c r="D149" s="305" t="str">
        <f t="shared" si="45"/>
        <v>CB</v>
      </c>
      <c r="E149" s="305" t="str" cm="1">
        <f t="array" ref="E149">IF(INDEX($H$25:$H$35,$B149)="","",INDEX($H$25:$H$35,$B149))</f>
        <v>Mariana Soares</v>
      </c>
      <c r="F149" s="290" t="str">
        <f t="shared" si="46"/>
        <v>Mariana Soares</v>
      </c>
      <c r="G149" s="431">
        <f t="shared" si="47"/>
        <v>13.484552845528455</v>
      </c>
      <c r="H149" s="432">
        <f t="shared" si="48"/>
        <v>0.76666666666666661</v>
      </c>
      <c r="I149" s="431">
        <f t="shared" si="49"/>
        <v>10.487037037037036</v>
      </c>
    </row>
    <row r="150" spans="2:9" x14ac:dyDescent="0.45">
      <c r="B150" s="301">
        <f>ROWS($B$146:B150)</f>
        <v>5</v>
      </c>
      <c r="C150" s="305" t="str" cm="1">
        <f t="array" ref="C150">INDEX($Z$88:$Z$98,$B150)</f>
        <v>RWB</v>
      </c>
      <c r="D150" s="305" t="str">
        <f t="shared" si="45"/>
        <v>RB</v>
      </c>
      <c r="E150" s="305" t="str" cm="1">
        <f t="array" ref="E150">IF(INDEX($H$25:$H$35,$B150)="","",INDEX($H$25:$H$35,$B150))</f>
        <v>Rama Abuowda</v>
      </c>
      <c r="F150" s="290" t="str">
        <f t="shared" si="46"/>
        <v>Rama Abuowda</v>
      </c>
      <c r="G150" s="431" t="str">
        <f t="shared" si="47"/>
        <v/>
      </c>
      <c r="H150" s="432">
        <f t="shared" si="48"/>
        <v>0.76666666666666661</v>
      </c>
      <c r="I150" s="431">
        <f t="shared" si="49"/>
        <v>13.629629629629628</v>
      </c>
    </row>
    <row r="151" spans="2:9" x14ac:dyDescent="0.45">
      <c r="B151" s="301">
        <f>ROWS($B$146:B151)</f>
        <v>6</v>
      </c>
      <c r="C151" s="305" t="str" cm="1">
        <f t="array" ref="C151">INDEX($Z$88:$Z$98,$B151)</f>
        <v>LWB</v>
      </c>
      <c r="D151" s="305" t="str">
        <f t="shared" si="45"/>
        <v>LB</v>
      </c>
      <c r="E151" s="305" t="str" cm="1">
        <f t="array" ref="E151">IF(INDEX($H$25:$H$35,$B151)="","",INDEX($H$25:$H$35,$B151))</f>
        <v/>
      </c>
      <c r="F151" s="290" t="str">
        <f t="shared" si="46"/>
        <v>Hannah Fleming</v>
      </c>
      <c r="G151" s="431">
        <f t="shared" si="47"/>
        <v>13.133333333333333</v>
      </c>
      <c r="H151" s="432">
        <f t="shared" si="48"/>
        <v>0.76666666666666661</v>
      </c>
      <c r="I151" s="431">
        <f t="shared" si="49"/>
        <v>12.22037037037037</v>
      </c>
    </row>
    <row r="152" spans="2:9" x14ac:dyDescent="0.45">
      <c r="B152" s="301">
        <f>ROWS($B$146:B152)</f>
        <v>7</v>
      </c>
      <c r="C152" s="305" t="str" cm="1">
        <f t="array" ref="C152">INDEX($Z$88:$Z$98,$B152)</f>
        <v>CM</v>
      </c>
      <c r="D152" s="305" t="str">
        <f t="shared" si="45"/>
        <v>CM</v>
      </c>
      <c r="E152" s="305" t="str" cm="1">
        <f t="array" ref="E152">IF(INDEX($H$25:$H$35,$B152)="","",INDEX($H$25:$H$35,$B152))</f>
        <v/>
      </c>
      <c r="F152" s="290" t="str">
        <f t="shared" si="46"/>
        <v>Roisin Offenhausen</v>
      </c>
      <c r="G152" s="431">
        <f t="shared" si="47"/>
        <v>12.933786848072561</v>
      </c>
      <c r="H152" s="432">
        <f t="shared" si="48"/>
        <v>0.84444444444444433</v>
      </c>
      <c r="I152" s="431">
        <f t="shared" si="49"/>
        <v>11.965740740740742</v>
      </c>
    </row>
    <row r="153" spans="2:9" x14ac:dyDescent="0.45">
      <c r="B153" s="301">
        <f>ROWS($B$146:B153)</f>
        <v>8</v>
      </c>
      <c r="C153" s="305" t="str" cm="1">
        <f t="array" ref="C153">INDEX($Z$88:$Z$98,$B153)</f>
        <v>CM</v>
      </c>
      <c r="D153" s="305" t="str">
        <f t="shared" si="45"/>
        <v>CM</v>
      </c>
      <c r="E153" s="305" t="str" cm="1">
        <f t="array" ref="E153">IF(INDEX($H$25:$H$35,$B153)="","",INDEX($H$25:$H$35,$B153))</f>
        <v>Semilore Adesanya</v>
      </c>
      <c r="F153" s="290" t="str">
        <f t="shared" si="46"/>
        <v>Semilore Adesanya</v>
      </c>
      <c r="G153" s="431">
        <f t="shared" si="47"/>
        <v>13.678344671201813</v>
      </c>
      <c r="H153" s="432">
        <f t="shared" si="48"/>
        <v>0.68611111111111112</v>
      </c>
      <c r="I153" s="431">
        <f t="shared" si="49"/>
        <v>12.763888888888888</v>
      </c>
    </row>
    <row r="154" spans="2:9" x14ac:dyDescent="0.45">
      <c r="B154" s="301">
        <f>ROWS($B$146:B154)</f>
        <v>9</v>
      </c>
      <c r="C154" s="305" t="str" cm="1">
        <f t="array" ref="C154">INDEX($Z$88:$Z$98,$B154)</f>
        <v>CM</v>
      </c>
      <c r="D154" s="305" t="str">
        <f t="shared" si="45"/>
        <v>CM</v>
      </c>
      <c r="E154" s="305" t="str" cm="1">
        <f t="array" ref="E154">IF(INDEX($H$25:$H$35,$B154)="","",INDEX($H$25:$H$35,$B154))</f>
        <v/>
      </c>
      <c r="F154" s="290" t="str">
        <f t="shared" si="46"/>
        <v>Tara Brannigan</v>
      </c>
      <c r="G154" s="431">
        <f t="shared" si="47"/>
        <v>12.676190476190476</v>
      </c>
      <c r="H154" s="432">
        <f t="shared" si="48"/>
        <v>0.76666666666666661</v>
      </c>
      <c r="I154" s="431">
        <f t="shared" si="49"/>
        <v>11.726851851851853</v>
      </c>
    </row>
    <row r="155" spans="2:9" x14ac:dyDescent="0.45">
      <c r="B155" s="301">
        <f>ROWS($B$146:B155)</f>
        <v>10</v>
      </c>
      <c r="C155" s="305" t="str" cm="1">
        <f t="array" ref="C155">INDEX($Z$88:$Z$98,$B155)</f>
        <v>ST</v>
      </c>
      <c r="D155" s="305" t="str">
        <f t="shared" si="45"/>
        <v>ST</v>
      </c>
      <c r="E155" s="305" t="str" cm="1">
        <f t="array" ref="E155">IF(INDEX($H$25:$H$35,$B155)="","",INDEX($H$25:$H$35,$B155))</f>
        <v/>
      </c>
      <c r="F155" s="290" t="str">
        <f t="shared" si="46"/>
        <v>Zara Freeman</v>
      </c>
      <c r="G155" s="431">
        <f t="shared" si="47"/>
        <v>12.855555555555554</v>
      </c>
      <c r="H155" s="432">
        <f t="shared" si="48"/>
        <v>0.62777777777777777</v>
      </c>
      <c r="I155" s="431">
        <f t="shared" si="49"/>
        <v>11.864814814814814</v>
      </c>
    </row>
    <row r="156" spans="2:9" x14ac:dyDescent="0.45">
      <c r="B156" s="301">
        <f>ROWS($B$146:B156)</f>
        <v>11</v>
      </c>
      <c r="C156" s="305" t="str" cm="1">
        <f t="array" ref="C156">INDEX($Z$88:$Z$98,$B156)</f>
        <v>ST</v>
      </c>
      <c r="D156" s="305" t="str">
        <f t="shared" si="45"/>
        <v>ST</v>
      </c>
      <c r="E156" s="305" t="str" cm="1">
        <f t="array" ref="E156">IF(INDEX($H$25:$H$35,$B156)="","",INDEX($H$25:$H$35,$B156))</f>
        <v/>
      </c>
      <c r="F156" s="290" t="str">
        <f t="shared" si="46"/>
        <v>Amber Kilalee</v>
      </c>
      <c r="G156" s="431">
        <f t="shared" si="47"/>
        <v>9.5733333333333324</v>
      </c>
      <c r="H156" s="432">
        <f t="shared" si="48"/>
        <v>0.76666666666666661</v>
      </c>
      <c r="I156" s="431">
        <f t="shared" si="49"/>
        <v>9.0111111111111111</v>
      </c>
    </row>
    <row r="158" spans="2:9" x14ac:dyDescent="0.45">
      <c r="B158" s="433" t="s">
        <v>602</v>
      </c>
    </row>
    <row r="159" spans="2:9" x14ac:dyDescent="0.45">
      <c r="B159" s="429" t="s">
        <v>312</v>
      </c>
      <c r="C159" s="430" t="s">
        <v>217</v>
      </c>
      <c r="D159" s="430" t="s">
        <v>486</v>
      </c>
      <c r="E159" s="430" t="s">
        <v>601</v>
      </c>
      <c r="F159" s="430" t="s">
        <v>18</v>
      </c>
      <c r="G159" s="430" t="s">
        <v>313</v>
      </c>
      <c r="H159" s="430" t="s">
        <v>24</v>
      </c>
      <c r="I159" s="430" t="s">
        <v>314</v>
      </c>
    </row>
    <row r="160" spans="2:9" x14ac:dyDescent="0.45">
      <c r="B160" s="301">
        <f>ROWS($B$160:B160)</f>
        <v>1</v>
      </c>
      <c r="C160" s="305" t="str" cm="1">
        <f t="array" ref="C160">INDEX($Y$88:$Y$98,$B160)</f>
        <v>GK</v>
      </c>
      <c r="D160" s="305" t="str">
        <f>IF($C160="RWB","RB",IF($C160="LWB","LB",$C160))</f>
        <v>GK</v>
      </c>
      <c r="E160" s="305" t="str" cm="1">
        <f t="array" ref="E160">IF(INDEX($I$25:$I$35,$B160)="","",INDEX($I$25:$I$35,$B160))</f>
        <v/>
      </c>
      <c r="F160" s="290" t="str">
        <f>IF($E160&lt;&gt;"",$E160,IFERROR(INDEX($C$64:$C$83,MATCH(MAX(INDEX($AR$64:$BB$83,0,$B160)),INDEX($AR$64:$BB$83,0,$B160),0)),""))</f>
        <v>Elsie Morrison</v>
      </c>
      <c r="G160" s="431">
        <f>IFERROR(INDEX($R$64:$AA$83,MATCH($F160,$C$64:$C$83,0),MATCH($D160,$R$63:$AA$63,0)),"")</f>
        <v>10.942424242424241</v>
      </c>
      <c r="H160" s="432">
        <f>IFERROR(INDEX($AB$64:$AB$83,MATCH($F160,$C$64:$C$83,0)),"")</f>
        <v>0.76666666666666661</v>
      </c>
      <c r="I160" s="431">
        <f>IFERROR(INDEX($AC$64:$AC$83,MATCH($F160,$C$64:$C$83,0)),"")</f>
        <v>10.508333333333331</v>
      </c>
    </row>
    <row r="161" spans="2:9" x14ac:dyDescent="0.45">
      <c r="B161" s="301">
        <f>ROWS($B$160:B161)</f>
        <v>2</v>
      </c>
      <c r="C161" s="305" t="str" cm="1">
        <f t="array" ref="C161">INDEX($Y$88:$Y$98,$B161)</f>
        <v>RB</v>
      </c>
      <c r="D161" s="305" t="str">
        <f t="shared" ref="D161:D170" si="50">IF($C161="RWB","RB",IF($C161="LWB","LB",$C161))</f>
        <v>RB</v>
      </c>
      <c r="E161" s="305" t="str" cm="1">
        <f t="array" ref="E161">IF(INDEX($I$25:$I$35,$B161)="","",INDEX($I$25:$I$35,$B161))</f>
        <v/>
      </c>
      <c r="F161" s="290" t="str">
        <f t="shared" ref="F161:F170" si="51">IF($E161&lt;&gt;"",$E161,IFERROR(INDEX($C$64:$C$83,MATCH(MAX(INDEX($AR$64:$BB$83,0,$B161)),INDEX($AR$64:$BB$83,0,$B161),0)),""))</f>
        <v>Stella McEvoy</v>
      </c>
      <c r="G161" s="431">
        <f t="shared" ref="G161:G170" si="52">IFERROR(INDEX($R$64:$AA$83,MATCH($F161,$C$64:$C$83,0),MATCH($D161,$R$63:$AA$63,0)),"")</f>
        <v>12.666666666666666</v>
      </c>
      <c r="H161" s="432">
        <f t="shared" ref="H161:H170" si="53">IFERROR(INDEX($AB$64:$AB$83,MATCH($F161,$C$64:$C$83,0)),"")</f>
        <v>0.76666666666666661</v>
      </c>
      <c r="I161" s="431">
        <f t="shared" ref="I161:I170" si="54">IFERROR(INDEX($AC$64:$AC$83,MATCH($F161,$C$64:$C$83,0)),"")</f>
        <v>11.135185185185186</v>
      </c>
    </row>
    <row r="162" spans="2:9" x14ac:dyDescent="0.45">
      <c r="B162" s="301">
        <f>ROWS($B$160:B162)</f>
        <v>3</v>
      </c>
      <c r="C162" s="305" t="str" cm="1">
        <f t="array" ref="C162">INDEX($Y$88:$Y$98,$B162)</f>
        <v>CB</v>
      </c>
      <c r="D162" s="305" t="str">
        <f t="shared" si="50"/>
        <v>CB</v>
      </c>
      <c r="E162" s="305" t="str" cm="1">
        <f t="array" ref="E162">IF(INDEX($I$25:$I$35,$B162)="","",INDEX($I$25:$I$35,$B162))</f>
        <v/>
      </c>
      <c r="F162" s="290" t="str">
        <f t="shared" si="51"/>
        <v>Emma Kelly</v>
      </c>
      <c r="G162" s="431">
        <f t="shared" si="52"/>
        <v>15.918428184281842</v>
      </c>
      <c r="H162" s="432">
        <f t="shared" si="53"/>
        <v>0.60555555555555551</v>
      </c>
      <c r="I162" s="431">
        <f t="shared" si="54"/>
        <v>13.725925925925926</v>
      </c>
    </row>
    <row r="163" spans="2:9" x14ac:dyDescent="0.45">
      <c r="B163" s="301">
        <f>ROWS($B$160:B163)</f>
        <v>4</v>
      </c>
      <c r="C163" s="305" t="str" cm="1">
        <f t="array" ref="C163">INDEX($Y$88:$Y$98,$B163)</f>
        <v>CB</v>
      </c>
      <c r="D163" s="305" t="str">
        <f t="shared" si="50"/>
        <v>CB</v>
      </c>
      <c r="E163" s="305" t="str" cm="1">
        <f t="array" ref="E163">IF(INDEX($I$25:$I$35,$B163)="","",INDEX($I$25:$I$35,$B163))</f>
        <v/>
      </c>
      <c r="F163" s="290" t="str">
        <f t="shared" si="51"/>
        <v>Semilore Adesanya</v>
      </c>
      <c r="G163" s="431">
        <f t="shared" si="52"/>
        <v>14.689295392953928</v>
      </c>
      <c r="H163" s="432">
        <f t="shared" si="53"/>
        <v>0.68611111111111112</v>
      </c>
      <c r="I163" s="431">
        <f t="shared" si="54"/>
        <v>12.763888888888888</v>
      </c>
    </row>
    <row r="164" spans="2:9" x14ac:dyDescent="0.45">
      <c r="B164" s="301">
        <f>ROWS($B$160:B164)</f>
        <v>5</v>
      </c>
      <c r="C164" s="305" t="str" cm="1">
        <f t="array" ref="C164">INDEX($Y$88:$Y$98,$B164)</f>
        <v>LB</v>
      </c>
      <c r="D164" s="305" t="str">
        <f t="shared" si="50"/>
        <v>LB</v>
      </c>
      <c r="E164" s="305" t="str" cm="1">
        <f t="array" ref="E164">IF(INDEX($I$25:$I$35,$B164)="","",INDEX($I$25:$I$35,$B164))</f>
        <v/>
      </c>
      <c r="F164" s="290" t="str">
        <f t="shared" si="51"/>
        <v>Hannah Fleming</v>
      </c>
      <c r="G164" s="431">
        <f t="shared" si="52"/>
        <v>13.133333333333333</v>
      </c>
      <c r="H164" s="432">
        <f t="shared" si="53"/>
        <v>0.76666666666666661</v>
      </c>
      <c r="I164" s="431">
        <f t="shared" si="54"/>
        <v>12.22037037037037</v>
      </c>
    </row>
    <row r="165" spans="2:9" x14ac:dyDescent="0.45">
      <c r="B165" s="301">
        <f>ROWS($B$160:B165)</f>
        <v>6</v>
      </c>
      <c r="C165" s="305" t="str" cm="1">
        <f t="array" ref="C165">INDEX($Y$88:$Y$98,$B165)</f>
        <v>DM</v>
      </c>
      <c r="D165" s="305" t="str">
        <f t="shared" si="50"/>
        <v>DM</v>
      </c>
      <c r="E165" s="305" t="str" cm="1">
        <f t="array" ref="E165">IF(INDEX($I$25:$I$35,$B165)="","",INDEX($I$25:$I$35,$B165))</f>
        <v/>
      </c>
      <c r="F165" s="290" t="str">
        <f t="shared" si="51"/>
        <v>Tara Brannigan</v>
      </c>
      <c r="G165" s="431">
        <f t="shared" si="52"/>
        <v>13.533333333333333</v>
      </c>
      <c r="H165" s="432">
        <f t="shared" si="53"/>
        <v>0.76666666666666661</v>
      </c>
      <c r="I165" s="431">
        <f t="shared" si="54"/>
        <v>11.726851851851853</v>
      </c>
    </row>
    <row r="166" spans="2:9" x14ac:dyDescent="0.45">
      <c r="B166" s="301">
        <f>ROWS($B$160:B166)</f>
        <v>7</v>
      </c>
      <c r="C166" s="305" t="str" cm="1">
        <f t="array" ref="C166">INDEX($Y$88:$Y$98,$B166)</f>
        <v>CM</v>
      </c>
      <c r="D166" s="305" t="str">
        <f t="shared" si="50"/>
        <v>CM</v>
      </c>
      <c r="E166" s="305" t="str" cm="1">
        <f t="array" ref="E166">IF(INDEX($I$25:$I$35,$B166)="","",INDEX($I$25:$I$35,$B166))</f>
        <v/>
      </c>
      <c r="F166" s="290" t="str">
        <f t="shared" si="51"/>
        <v>Roisin Offenhausen</v>
      </c>
      <c r="G166" s="431">
        <f t="shared" si="52"/>
        <v>12.933786848072561</v>
      </c>
      <c r="H166" s="432">
        <f t="shared" si="53"/>
        <v>0.84444444444444433</v>
      </c>
      <c r="I166" s="431">
        <f t="shared" si="54"/>
        <v>11.965740740740742</v>
      </c>
    </row>
    <row r="167" spans="2:9" x14ac:dyDescent="0.45">
      <c r="B167" s="301">
        <f>ROWS($B$160:B167)</f>
        <v>8</v>
      </c>
      <c r="C167" s="305" t="str" cm="1">
        <f t="array" ref="C167">INDEX($Y$88:$Y$98,$B167)</f>
        <v>ACM</v>
      </c>
      <c r="D167" s="305" t="str">
        <f t="shared" si="50"/>
        <v>ACM</v>
      </c>
      <c r="E167" s="305" t="str" cm="1">
        <f t="array" ref="E167">IF(INDEX($I$25:$I$35,$B167)="","",INDEX($I$25:$I$35,$B167))</f>
        <v/>
      </c>
      <c r="F167" s="290" t="str">
        <f t="shared" si="51"/>
        <v>Naomi Adewoyin</v>
      </c>
      <c r="G167" s="431">
        <f t="shared" si="52"/>
        <v>11.968115942028986</v>
      </c>
      <c r="H167" s="432">
        <f t="shared" si="53"/>
        <v>0.76666666666666661</v>
      </c>
      <c r="I167" s="431">
        <f t="shared" si="54"/>
        <v>10.986111111111112</v>
      </c>
    </row>
    <row r="168" spans="2:9" x14ac:dyDescent="0.45">
      <c r="B168" s="301">
        <f>ROWS($B$160:B168)</f>
        <v>9</v>
      </c>
      <c r="C168" s="305" t="str" cm="1">
        <f t="array" ref="C168">INDEX($Y$88:$Y$98,$B168)</f>
        <v>RW</v>
      </c>
      <c r="D168" s="305" t="str">
        <f t="shared" si="50"/>
        <v>RW</v>
      </c>
      <c r="E168" s="305" t="str" cm="1">
        <f t="array" ref="E168">IF(INDEX($I$25:$I$35,$B168)="","",INDEX($I$25:$I$35,$B168))</f>
        <v/>
      </c>
      <c r="F168" s="290" t="str">
        <f t="shared" si="51"/>
        <v>Rama Abuowda</v>
      </c>
      <c r="G168" s="431">
        <f t="shared" si="52"/>
        <v>14.533333333333333</v>
      </c>
      <c r="H168" s="432">
        <f t="shared" si="53"/>
        <v>0.76666666666666661</v>
      </c>
      <c r="I168" s="431">
        <f t="shared" si="54"/>
        <v>13.629629629629628</v>
      </c>
    </row>
    <row r="169" spans="2:9" x14ac:dyDescent="0.45">
      <c r="B169" s="301">
        <f>ROWS($B$160:B169)</f>
        <v>10</v>
      </c>
      <c r="C169" s="305" t="str" cm="1">
        <f t="array" ref="C169">INDEX($Y$88:$Y$98,$B169)</f>
        <v>ST</v>
      </c>
      <c r="D169" s="305" t="str">
        <f t="shared" si="50"/>
        <v>ST</v>
      </c>
      <c r="E169" s="305" t="str" cm="1">
        <f t="array" ref="E169">IF(INDEX($I$25:$I$35,$B169)="","",INDEX($I$25:$I$35,$B169))</f>
        <v/>
      </c>
      <c r="F169" s="290" t="str">
        <f t="shared" si="51"/>
        <v>Zara Freeman</v>
      </c>
      <c r="G169" s="431">
        <f t="shared" si="52"/>
        <v>12.855555555555554</v>
      </c>
      <c r="H169" s="432">
        <f t="shared" si="53"/>
        <v>0.62777777777777777</v>
      </c>
      <c r="I169" s="431">
        <f t="shared" si="54"/>
        <v>11.864814814814814</v>
      </c>
    </row>
    <row r="170" spans="2:9" x14ac:dyDescent="0.45">
      <c r="B170" s="301">
        <f>ROWS($B$160:B170)</f>
        <v>11</v>
      </c>
      <c r="C170" s="305" t="str" cm="1">
        <f t="array" ref="C170">INDEX($Y$88:$Y$98,$B170)</f>
        <v>LW</v>
      </c>
      <c r="D170" s="305" t="str">
        <f t="shared" si="50"/>
        <v>LW</v>
      </c>
      <c r="E170" s="305" t="str" cm="1">
        <f t="array" ref="E170">IF(INDEX($I$25:$I$35,$B170)="","",INDEX($I$25:$I$35,$B170))</f>
        <v/>
      </c>
      <c r="F170" s="290" t="str">
        <f t="shared" si="51"/>
        <v>Amber Kilalee</v>
      </c>
      <c r="G170" s="431">
        <f t="shared" si="52"/>
        <v>9.7333333333333325</v>
      </c>
      <c r="H170" s="432">
        <f t="shared" si="53"/>
        <v>0.76666666666666661</v>
      </c>
      <c r="I170" s="431">
        <f t="shared" si="54"/>
        <v>9.0111111111111111</v>
      </c>
    </row>
    <row r="172" spans="2:9" x14ac:dyDescent="0.45">
      <c r="B172" s="433" t="s">
        <v>603</v>
      </c>
    </row>
    <row r="173" spans="2:9" x14ac:dyDescent="0.45">
      <c r="B173" s="430" t="s">
        <v>153</v>
      </c>
      <c r="C173" s="430" t="s">
        <v>18</v>
      </c>
      <c r="D173" s="430" t="s">
        <v>217</v>
      </c>
      <c r="E173" s="430" t="s">
        <v>314</v>
      </c>
      <c r="F173" s="430" t="s">
        <v>24</v>
      </c>
      <c r="G173" s="430" t="s">
        <v>316</v>
      </c>
    </row>
    <row r="174" spans="2:9" x14ac:dyDescent="0.45">
      <c r="B174" s="301">
        <f>IF($C174="","",ROWS($B$174:B174))</f>
        <v>1</v>
      </c>
      <c r="C174" s="290" t="str" cm="1">
        <f t="array" ref="C174">IFERROR(INDEX($C$64:$C$83,_xlfn.AGGREGATE(15,6,(ROW($C$64:$C$83)-63)/(($C$64:$C$83&lt;&gt;"")*(COUNTIF($F$146:$F$156,$C$64:$C$83)=0)),ROWS($C$174:C174))),"")</f>
        <v>Aoife Kennan</v>
      </c>
      <c r="D174" s="305" t="str">
        <f>IF($C174="","",IFERROR(INDEX($D$64:$D$83,MATCH($C174,$C$64:$C$83,0)),""))</f>
        <v>GK</v>
      </c>
      <c r="E174" s="431">
        <f>IF($C174="","",IFERROR(INDEX($AC$64:$AC$83,MATCH($C174,$C$64:$C$83,0)),""))</f>
        <v>6.7041666666666666</v>
      </c>
      <c r="F174" s="432">
        <f>IF($C174="","",IFERROR(INDEX($AB$64:$AB$83,MATCH($C174,$C$64:$C$83,0)),""))</f>
        <v>0.76666666666666661</v>
      </c>
      <c r="G174" s="305" t="str">
        <f>IF($C174="","",IF(INDEX($E$64:$E$83,MATCH($C174,$C$64:$C$83,0))="Yes","Available","Unavailable — "&amp;INDEX($F$64:$F$83,MATCH($C174,$C$64:$C$83,0))))</f>
        <v>Available</v>
      </c>
    </row>
    <row r="175" spans="2:9" x14ac:dyDescent="0.45">
      <c r="B175" s="301">
        <f>IF($C175="","",ROWS($B$174:B175))</f>
        <v>2</v>
      </c>
      <c r="C175" s="290" t="str" cm="1">
        <f t="array" ref="C175">IFERROR(INDEX($C$64:$C$83,_xlfn.AGGREGATE(15,6,(ROW($C$64:$C$83)-63)/(($C$64:$C$83&lt;&gt;"")*(COUNTIF($F$146:$F$156,$C$64:$C$83)=0)),ROWS($C$174:C175))),"")</f>
        <v>Zara Power</v>
      </c>
      <c r="D175" s="305" t="str">
        <f t="shared" ref="D175:D193" si="55">IF($C175="","",IFERROR(INDEX($D$64:$D$83,MATCH($C175,$C$64:$C$83,0)),""))</f>
        <v>RB</v>
      </c>
      <c r="E175" s="431">
        <f t="shared" ref="E175:E193" si="56">IF($C175="","",IFERROR(INDEX($AC$64:$AC$83,MATCH($C175,$C$64:$C$83,0)),""))</f>
        <v>10.538888888888888</v>
      </c>
      <c r="F175" s="432">
        <f t="shared" ref="F175:F193" si="57">IF($C175="","",IFERROR(INDEX($AB$64:$AB$83,MATCH($C175,$C$64:$C$83,0)),""))</f>
        <v>0</v>
      </c>
      <c r="G175" s="305" t="str">
        <f t="shared" ref="G175:G193" si="58">IF($C175="","",IF(INDEX($E$64:$E$83,MATCH($C175,$C$64:$C$83,0))="Yes","Available","Unavailable — "&amp;INDEX($F$64:$F$83,MATCH($C175,$C$64:$C$83,0))))</f>
        <v>Unavailable — Injured - Ankle injury - 6 week recovery plan (back 2 Oct)</v>
      </c>
    </row>
    <row r="176" spans="2:9" x14ac:dyDescent="0.45">
      <c r="B176" s="301">
        <f>IF($C176="","",ROWS($B$174:B176))</f>
        <v>3</v>
      </c>
      <c r="C176" s="290" t="str" cm="1">
        <f t="array" ref="C176">IFERROR(INDEX($C$64:$C$83,_xlfn.AGGREGATE(15,6,(ROW($C$64:$C$83)-63)/(($C$64:$C$83&lt;&gt;"")*(COUNTIF($F$146:$F$156,$C$64:$C$83)=0)),ROWS($C$174:C176))),"")</f>
        <v>Heidi Cerubini Dunne</v>
      </c>
      <c r="D176" s="305" t="str">
        <f t="shared" si="55"/>
        <v>LB / RB</v>
      </c>
      <c r="E176" s="431">
        <f t="shared" si="56"/>
        <v>4.1879629629629633</v>
      </c>
      <c r="F176" s="432">
        <f t="shared" si="57"/>
        <v>0</v>
      </c>
      <c r="G176" s="305" t="str">
        <f t="shared" si="58"/>
        <v>Available</v>
      </c>
    </row>
    <row r="177" spans="2:7" x14ac:dyDescent="0.45">
      <c r="B177" s="301">
        <f>IF($C177="","",ROWS($B$174:B177))</f>
        <v>4</v>
      </c>
      <c r="C177" s="290" t="str" cm="1">
        <f t="array" ref="C177">IFERROR(INDEX($C$64:$C$83,_xlfn.AGGREGATE(15,6,(ROW($C$64:$C$83)-63)/(($C$64:$C$83&lt;&gt;"")*(COUNTIF($F$146:$F$156,$C$64:$C$83)=0)),ROWS($C$174:C177))),"")</f>
        <v>Naomi Adewoyin</v>
      </c>
      <c r="D177" s="305" t="str">
        <f t="shared" si="55"/>
        <v>CM / ACM</v>
      </c>
      <c r="E177" s="431">
        <f t="shared" si="56"/>
        <v>10.986111111111112</v>
      </c>
      <c r="F177" s="432">
        <f t="shared" si="57"/>
        <v>0.76666666666666661</v>
      </c>
      <c r="G177" s="305" t="str">
        <f t="shared" si="58"/>
        <v>Available</v>
      </c>
    </row>
    <row r="178" spans="2:7" x14ac:dyDescent="0.45">
      <c r="B178" s="301">
        <f>IF($C178="","",ROWS($B$174:B178))</f>
        <v>5</v>
      </c>
      <c r="C178" s="290" t="str" cm="1">
        <f t="array" ref="C178">IFERROR(INDEX($C$64:$C$83,_xlfn.AGGREGATE(15,6,(ROW($C$64:$C$83)-63)/(($C$64:$C$83&lt;&gt;"")*(COUNTIF($F$146:$F$156,$C$64:$C$83)=0)),ROWS($C$174:C178))),"")</f>
        <v>Shauna Kavanagh</v>
      </c>
      <c r="D178" s="305" t="str">
        <f t="shared" si="55"/>
        <v>ST / RW</v>
      </c>
      <c r="E178" s="431">
        <f t="shared" si="56"/>
        <v>7.7342592592592601</v>
      </c>
      <c r="F178" s="432">
        <f t="shared" si="57"/>
        <v>0.72777777777777775</v>
      </c>
      <c r="G178" s="305" t="str">
        <f t="shared" si="58"/>
        <v>Available</v>
      </c>
    </row>
    <row r="179" spans="2:7" x14ac:dyDescent="0.45">
      <c r="B179" s="301">
        <f>IF($C179="","",ROWS($B$174:B179))</f>
        <v>6</v>
      </c>
      <c r="C179" s="290" t="str" cm="1">
        <f t="array" ref="C179">IFERROR(INDEX($C$64:$C$83,_xlfn.AGGREGATE(15,6,(ROW($C$64:$C$83)-63)/(($C$64:$C$83&lt;&gt;"")*(COUNTIF($F$146:$F$156,$C$64:$C$83)=0)),ROWS($C$174:C179))),"")</f>
        <v>Roma Memon</v>
      </c>
      <c r="D179" s="305" t="str">
        <f t="shared" si="55"/>
        <v>DM / CM</v>
      </c>
      <c r="E179" s="431">
        <f t="shared" si="56"/>
        <v>10.622222222222222</v>
      </c>
      <c r="F179" s="432">
        <f t="shared" si="57"/>
        <v>0.62777777777777777</v>
      </c>
      <c r="G179" s="305" t="str">
        <f t="shared" si="58"/>
        <v>Available</v>
      </c>
    </row>
    <row r="180" spans="2:7" x14ac:dyDescent="0.45">
      <c r="B180" s="301">
        <f>IF($C180="","",ROWS($B$174:B180))</f>
        <v>7</v>
      </c>
      <c r="C180" s="290" t="str" cm="1">
        <f t="array" ref="C180">IFERROR(INDEX($C$64:$C$83,_xlfn.AGGREGATE(15,6,(ROW($C$64:$C$83)-63)/(($C$64:$C$83&lt;&gt;"")*(COUNTIF($F$146:$F$156,$C$64:$C$83)=0)),ROWS($C$174:C180))),"")</f>
        <v>Emma Dromgoole</v>
      </c>
      <c r="D180" s="305" t="str">
        <f t="shared" si="55"/>
        <v>RW / ST</v>
      </c>
      <c r="E180" s="431">
        <f t="shared" si="56"/>
        <v>9.6620370370370363</v>
      </c>
      <c r="F180" s="432">
        <f t="shared" si="57"/>
        <v>0.76666666666666661</v>
      </c>
      <c r="G180" s="305" t="str">
        <f t="shared" si="58"/>
        <v>Unavailable — Injured - Knee injury  (back 28 Aug)</v>
      </c>
    </row>
    <row r="181" spans="2:7" x14ac:dyDescent="0.45">
      <c r="B181" s="301" t="str">
        <f>IF($C181="","",ROWS($B$174:B181))</f>
        <v/>
      </c>
      <c r="C181" s="290" t="str" cm="1">
        <f t="array" ref="C181">IFERROR(INDEX($C$64:$C$83,_xlfn.AGGREGATE(15,6,(ROW($C$64:$C$83)-63)/(($C$64:$C$83&lt;&gt;"")*(COUNTIF($F$146:$F$156,$C$64:$C$83)=0)),ROWS($C$174:C181))),"")</f>
        <v/>
      </c>
      <c r="D181" s="305" t="str">
        <f t="shared" si="55"/>
        <v/>
      </c>
      <c r="E181" s="431" t="str">
        <f t="shared" si="56"/>
        <v/>
      </c>
      <c r="F181" s="432" t="str">
        <f t="shared" si="57"/>
        <v/>
      </c>
      <c r="G181" s="305" t="str">
        <f t="shared" si="58"/>
        <v/>
      </c>
    </row>
    <row r="182" spans="2:7" x14ac:dyDescent="0.45">
      <c r="B182" s="301" t="str">
        <f>IF($C182="","",ROWS($B$174:B182))</f>
        <v/>
      </c>
      <c r="C182" s="290" t="str" cm="1">
        <f t="array" ref="C182">IFERROR(INDEX($C$64:$C$83,_xlfn.AGGREGATE(15,6,(ROW($C$64:$C$83)-63)/(($C$64:$C$83&lt;&gt;"")*(COUNTIF($F$146:$F$156,$C$64:$C$83)=0)),ROWS($C$174:C182))),"")</f>
        <v/>
      </c>
      <c r="D182" s="305" t="str">
        <f t="shared" si="55"/>
        <v/>
      </c>
      <c r="E182" s="431" t="str">
        <f t="shared" si="56"/>
        <v/>
      </c>
      <c r="F182" s="432" t="str">
        <f t="shared" si="57"/>
        <v/>
      </c>
      <c r="G182" s="305" t="str">
        <f t="shared" si="58"/>
        <v/>
      </c>
    </row>
    <row r="183" spans="2:7" x14ac:dyDescent="0.45">
      <c r="B183" s="301" t="str">
        <f>IF($C183="","",ROWS($B$174:B183))</f>
        <v/>
      </c>
      <c r="C183" s="290" t="str" cm="1">
        <f t="array" ref="C183">IFERROR(INDEX($C$64:$C$83,_xlfn.AGGREGATE(15,6,(ROW($C$64:$C$83)-63)/(($C$64:$C$83&lt;&gt;"")*(COUNTIF($F$146:$F$156,$C$64:$C$83)=0)),ROWS($C$174:C183))),"")</f>
        <v/>
      </c>
      <c r="D183" s="305" t="str">
        <f t="shared" si="55"/>
        <v/>
      </c>
      <c r="E183" s="431" t="str">
        <f t="shared" si="56"/>
        <v/>
      </c>
      <c r="F183" s="432" t="str">
        <f t="shared" si="57"/>
        <v/>
      </c>
      <c r="G183" s="305" t="str">
        <f t="shared" si="58"/>
        <v/>
      </c>
    </row>
    <row r="184" spans="2:7" x14ac:dyDescent="0.45">
      <c r="B184" s="301" t="str">
        <f>IF($C184="","",ROWS($B$174:B184))</f>
        <v/>
      </c>
      <c r="C184" s="290" t="str" cm="1">
        <f t="array" ref="C184">IFERROR(INDEX($C$64:$C$83,_xlfn.AGGREGATE(15,6,(ROW($C$64:$C$83)-63)/(($C$64:$C$83&lt;&gt;"")*(COUNTIF($F$146:$F$156,$C$64:$C$83)=0)),ROWS($C$174:C184))),"")</f>
        <v/>
      </c>
      <c r="D184" s="305" t="str">
        <f t="shared" si="55"/>
        <v/>
      </c>
      <c r="E184" s="431" t="str">
        <f t="shared" si="56"/>
        <v/>
      </c>
      <c r="F184" s="432" t="str">
        <f t="shared" si="57"/>
        <v/>
      </c>
      <c r="G184" s="305" t="str">
        <f t="shared" si="58"/>
        <v/>
      </c>
    </row>
    <row r="185" spans="2:7" x14ac:dyDescent="0.45">
      <c r="B185" s="301" t="str">
        <f>IF($C185="","",ROWS($B$174:B185))</f>
        <v/>
      </c>
      <c r="C185" s="290" t="str" cm="1">
        <f t="array" ref="C185">IFERROR(INDEX($C$64:$C$83,_xlfn.AGGREGATE(15,6,(ROW($C$64:$C$83)-63)/(($C$64:$C$83&lt;&gt;"")*(COUNTIF($F$146:$F$156,$C$64:$C$83)=0)),ROWS($C$174:C185))),"")</f>
        <v/>
      </c>
      <c r="D185" s="305" t="str">
        <f t="shared" si="55"/>
        <v/>
      </c>
      <c r="E185" s="431" t="str">
        <f t="shared" si="56"/>
        <v/>
      </c>
      <c r="F185" s="432" t="str">
        <f t="shared" si="57"/>
        <v/>
      </c>
      <c r="G185" s="305" t="str">
        <f t="shared" si="58"/>
        <v/>
      </c>
    </row>
    <row r="186" spans="2:7" x14ac:dyDescent="0.45">
      <c r="B186" s="301" t="str">
        <f>IF($C186="","",ROWS($B$174:B186))</f>
        <v/>
      </c>
      <c r="C186" s="290" t="str" cm="1">
        <f t="array" ref="C186">IFERROR(INDEX($C$64:$C$83,_xlfn.AGGREGATE(15,6,(ROW($C$64:$C$83)-63)/(($C$64:$C$83&lt;&gt;"")*(COUNTIF($F$146:$F$156,$C$64:$C$83)=0)),ROWS($C$174:C186))),"")</f>
        <v/>
      </c>
      <c r="D186" s="305" t="str">
        <f t="shared" si="55"/>
        <v/>
      </c>
      <c r="E186" s="431" t="str">
        <f t="shared" si="56"/>
        <v/>
      </c>
      <c r="F186" s="432" t="str">
        <f t="shared" si="57"/>
        <v/>
      </c>
      <c r="G186" s="305" t="str">
        <f t="shared" si="58"/>
        <v/>
      </c>
    </row>
    <row r="187" spans="2:7" x14ac:dyDescent="0.45">
      <c r="B187" s="301" t="str">
        <f>IF($C187="","",ROWS($B$174:B187))</f>
        <v/>
      </c>
      <c r="C187" s="290" t="str" cm="1">
        <f t="array" ref="C187">IFERROR(INDEX($C$64:$C$83,_xlfn.AGGREGATE(15,6,(ROW($C$64:$C$83)-63)/(($C$64:$C$83&lt;&gt;"")*(COUNTIF($F$146:$F$156,$C$64:$C$83)=0)),ROWS($C$174:C187))),"")</f>
        <v/>
      </c>
      <c r="D187" s="305" t="str">
        <f t="shared" si="55"/>
        <v/>
      </c>
      <c r="E187" s="431" t="str">
        <f t="shared" si="56"/>
        <v/>
      </c>
      <c r="F187" s="432" t="str">
        <f t="shared" si="57"/>
        <v/>
      </c>
      <c r="G187" s="305" t="str">
        <f t="shared" si="58"/>
        <v/>
      </c>
    </row>
    <row r="188" spans="2:7" x14ac:dyDescent="0.45">
      <c r="B188" s="301" t="str">
        <f>IF($C188="","",ROWS($B$174:B188))</f>
        <v/>
      </c>
      <c r="C188" s="290" t="str" cm="1">
        <f t="array" ref="C188">IFERROR(INDEX($C$64:$C$83,_xlfn.AGGREGATE(15,6,(ROW($C$64:$C$83)-63)/(($C$64:$C$83&lt;&gt;"")*(COUNTIF($F$146:$F$156,$C$64:$C$83)=0)),ROWS($C$174:C188))),"")</f>
        <v/>
      </c>
      <c r="D188" s="305" t="str">
        <f t="shared" si="55"/>
        <v/>
      </c>
      <c r="E188" s="431" t="str">
        <f t="shared" si="56"/>
        <v/>
      </c>
      <c r="F188" s="432" t="str">
        <f t="shared" si="57"/>
        <v/>
      </c>
      <c r="G188" s="305" t="str">
        <f t="shared" si="58"/>
        <v/>
      </c>
    </row>
    <row r="189" spans="2:7" x14ac:dyDescent="0.45">
      <c r="B189" s="301" t="str">
        <f>IF($C189="","",ROWS($B$174:B189))</f>
        <v/>
      </c>
      <c r="C189" s="290" t="str" cm="1">
        <f t="array" ref="C189">IFERROR(INDEX($C$64:$C$83,_xlfn.AGGREGATE(15,6,(ROW($C$64:$C$83)-63)/(($C$64:$C$83&lt;&gt;"")*(COUNTIF($F$146:$F$156,$C$64:$C$83)=0)),ROWS($C$174:C189))),"")</f>
        <v/>
      </c>
      <c r="D189" s="305" t="str">
        <f t="shared" si="55"/>
        <v/>
      </c>
      <c r="E189" s="431" t="str">
        <f t="shared" si="56"/>
        <v/>
      </c>
      <c r="F189" s="432" t="str">
        <f t="shared" si="57"/>
        <v/>
      </c>
      <c r="G189" s="305" t="str">
        <f t="shared" si="58"/>
        <v/>
      </c>
    </row>
    <row r="190" spans="2:7" x14ac:dyDescent="0.45">
      <c r="B190" s="301" t="str">
        <f>IF($C190="","",ROWS($B$174:B190))</f>
        <v/>
      </c>
      <c r="C190" s="290" t="str" cm="1">
        <f t="array" ref="C190">IFERROR(INDEX($C$64:$C$83,_xlfn.AGGREGATE(15,6,(ROW($C$64:$C$83)-63)/(($C$64:$C$83&lt;&gt;"")*(COUNTIF($F$146:$F$156,$C$64:$C$83)=0)),ROWS($C$174:C190))),"")</f>
        <v/>
      </c>
      <c r="D190" s="305" t="str">
        <f t="shared" si="55"/>
        <v/>
      </c>
      <c r="E190" s="431" t="str">
        <f t="shared" si="56"/>
        <v/>
      </c>
      <c r="F190" s="432" t="str">
        <f t="shared" si="57"/>
        <v/>
      </c>
      <c r="G190" s="305" t="str">
        <f t="shared" si="58"/>
        <v/>
      </c>
    </row>
    <row r="191" spans="2:7" x14ac:dyDescent="0.45">
      <c r="B191" s="301" t="str">
        <f>IF($C191="","",ROWS($B$174:B191))</f>
        <v/>
      </c>
      <c r="C191" s="290" t="str" cm="1">
        <f t="array" ref="C191">IFERROR(INDEX($C$64:$C$83,_xlfn.AGGREGATE(15,6,(ROW($C$64:$C$83)-63)/(($C$64:$C$83&lt;&gt;"")*(COUNTIF($F$146:$F$156,$C$64:$C$83)=0)),ROWS($C$174:C191))),"")</f>
        <v/>
      </c>
      <c r="D191" s="305" t="str">
        <f t="shared" si="55"/>
        <v/>
      </c>
      <c r="E191" s="431" t="str">
        <f t="shared" si="56"/>
        <v/>
      </c>
      <c r="F191" s="432" t="str">
        <f t="shared" si="57"/>
        <v/>
      </c>
      <c r="G191" s="305" t="str">
        <f t="shared" si="58"/>
        <v/>
      </c>
    </row>
    <row r="192" spans="2:7" x14ac:dyDescent="0.45">
      <c r="B192" s="301" t="str">
        <f>IF($C192="","",ROWS($B$174:B192))</f>
        <v/>
      </c>
      <c r="C192" s="290" t="str" cm="1">
        <f t="array" ref="C192">IFERROR(INDEX($C$64:$C$83,_xlfn.AGGREGATE(15,6,(ROW($C$64:$C$83)-63)/(($C$64:$C$83&lt;&gt;"")*(COUNTIF($F$146:$F$156,$C$64:$C$83)=0)),ROWS($C$174:C192))),"")</f>
        <v/>
      </c>
      <c r="D192" s="305" t="str">
        <f t="shared" si="55"/>
        <v/>
      </c>
      <c r="E192" s="431" t="str">
        <f t="shared" si="56"/>
        <v/>
      </c>
      <c r="F192" s="432" t="str">
        <f t="shared" si="57"/>
        <v/>
      </c>
      <c r="G192" s="305" t="str">
        <f t="shared" si="58"/>
        <v/>
      </c>
    </row>
    <row r="193" spans="2:7" x14ac:dyDescent="0.45">
      <c r="B193" s="301" t="str">
        <f>IF($C193="","",ROWS($B$174:B193))</f>
        <v/>
      </c>
      <c r="C193" s="290" t="str" cm="1">
        <f t="array" ref="C193">IFERROR(INDEX($C$64:$C$83,_xlfn.AGGREGATE(15,6,(ROW($C$64:$C$83)-63)/(($C$64:$C$83&lt;&gt;"")*(COUNTIF($F$146:$F$156,$C$64:$C$83)=0)),ROWS($C$174:C193))),"")</f>
        <v/>
      </c>
      <c r="D193" s="305" t="str">
        <f t="shared" si="55"/>
        <v/>
      </c>
      <c r="E193" s="431" t="str">
        <f t="shared" si="56"/>
        <v/>
      </c>
      <c r="F193" s="432" t="str">
        <f t="shared" si="57"/>
        <v/>
      </c>
      <c r="G193" s="305" t="str">
        <f t="shared" si="58"/>
        <v/>
      </c>
    </row>
    <row r="195" spans="2:7" x14ac:dyDescent="0.45">
      <c r="B195" s="433" t="s">
        <v>604</v>
      </c>
    </row>
    <row r="196" spans="2:7" x14ac:dyDescent="0.45">
      <c r="B196" s="430" t="s">
        <v>153</v>
      </c>
      <c r="C196" s="430" t="s">
        <v>18</v>
      </c>
      <c r="D196" s="430" t="s">
        <v>217</v>
      </c>
      <c r="E196" s="430" t="s">
        <v>314</v>
      </c>
      <c r="F196" s="430" t="s">
        <v>24</v>
      </c>
      <c r="G196" s="430" t="s">
        <v>316</v>
      </c>
    </row>
    <row r="197" spans="2:7" x14ac:dyDescent="0.45">
      <c r="B197" s="301">
        <f>IF($C197="","",ROWS($B$174:B197))</f>
        <v>24</v>
      </c>
      <c r="C197" s="290" t="str" cm="1">
        <f t="array" ref="C197">IFERROR(INDEX($C$64:$C$83,_xlfn.AGGREGATE(15,6,(ROW($C$64:$C$83)-63)/(($C$64:$C$83&lt;&gt;"")*(COUNTIF($F$160:$F$170,$C$64:$C$83)=0)),ROWS($C$197:C197))),"")</f>
        <v>Aoife Kennan</v>
      </c>
      <c r="D197" s="305" t="str">
        <f>IF($C197="","",IFERROR(INDEX($D$64:$D$83,MATCH($C197,$C$64:$C$83,0)),""))</f>
        <v>GK</v>
      </c>
      <c r="E197" s="431">
        <f>IF($C197="","",IFERROR(INDEX($AC$64:$AC$83,MATCH($C197,$C$64:$C$83,0)),""))</f>
        <v>6.7041666666666666</v>
      </c>
      <c r="F197" s="432">
        <f>IF($C197="","",IFERROR(INDEX($AB$64:$AB$83,MATCH($C197,$C$64:$C$83,0)),""))</f>
        <v>0.76666666666666661</v>
      </c>
      <c r="G197" s="305" t="str">
        <f>IF($C197="","",IF(INDEX($E$64:$E$83,MATCH($C197,$C$64:$C$83,0))="Yes","Available","Unavailable — "&amp;INDEX($F$64:$F$83,MATCH($C197,$C$64:$C$83,0))))</f>
        <v>Available</v>
      </c>
    </row>
    <row r="198" spans="2:7" x14ac:dyDescent="0.45">
      <c r="B198" s="301">
        <f>IF($C198="","",ROWS($B$174:B198))</f>
        <v>25</v>
      </c>
      <c r="C198" s="290" t="str" cm="1">
        <f t="array" ref="C198">IFERROR(INDEX($C$64:$C$83,_xlfn.AGGREGATE(15,6,(ROW($C$64:$C$83)-63)/(($C$64:$C$83&lt;&gt;"")*(COUNTIF($F$160:$F$170,$C$64:$C$83)=0)),ROWS($C$197:C198))),"")</f>
        <v>Zara Power</v>
      </c>
      <c r="D198" s="305" t="str">
        <f t="shared" ref="D198:D216" si="59">IF($C198="","",IFERROR(INDEX($D$64:$D$83,MATCH($C198,$C$64:$C$83,0)),""))</f>
        <v>RB</v>
      </c>
      <c r="E198" s="431">
        <f t="shared" ref="E198:E216" si="60">IF($C198="","",IFERROR(INDEX($AC$64:$AC$83,MATCH($C198,$C$64:$C$83,0)),""))</f>
        <v>10.538888888888888</v>
      </c>
      <c r="F198" s="432">
        <f t="shared" ref="F198:F216" si="61">IF($C198="","",IFERROR(INDEX($AB$64:$AB$83,MATCH($C198,$C$64:$C$83,0)),""))</f>
        <v>0</v>
      </c>
      <c r="G198" s="305" t="str">
        <f t="shared" ref="G198:G216" si="62">IF($C198="","",IF(INDEX($E$64:$E$83,MATCH($C198,$C$64:$C$83,0))="Yes","Available","Unavailable — "&amp;INDEX($F$64:$F$83,MATCH($C198,$C$64:$C$83,0))))</f>
        <v>Unavailable — Injured - Ankle injury - 6 week recovery plan (back 2 Oct)</v>
      </c>
    </row>
    <row r="199" spans="2:7" x14ac:dyDescent="0.45">
      <c r="B199" s="301">
        <f>IF($C199="","",ROWS($B$174:B199))</f>
        <v>26</v>
      </c>
      <c r="C199" s="290" t="str" cm="1">
        <f t="array" ref="C199">IFERROR(INDEX($C$64:$C$83,_xlfn.AGGREGATE(15,6,(ROW($C$64:$C$83)-63)/(($C$64:$C$83&lt;&gt;"")*(COUNTIF($F$160:$F$170,$C$64:$C$83)=0)),ROWS($C$197:C199))),"")</f>
        <v>Heidi Cerubini Dunne</v>
      </c>
      <c r="D199" s="305" t="str">
        <f t="shared" si="59"/>
        <v>LB / RB</v>
      </c>
      <c r="E199" s="431">
        <f t="shared" si="60"/>
        <v>4.1879629629629633</v>
      </c>
      <c r="F199" s="432">
        <f t="shared" si="61"/>
        <v>0</v>
      </c>
      <c r="G199" s="305" t="str">
        <f t="shared" si="62"/>
        <v>Available</v>
      </c>
    </row>
    <row r="200" spans="2:7" x14ac:dyDescent="0.45">
      <c r="B200" s="301">
        <f>IF($C200="","",ROWS($B$174:B200))</f>
        <v>27</v>
      </c>
      <c r="C200" s="290" t="str" cm="1">
        <f t="array" ref="C200">IFERROR(INDEX($C$64:$C$83,_xlfn.AGGREGATE(15,6,(ROW($C$64:$C$83)-63)/(($C$64:$C$83&lt;&gt;"")*(COUNTIF($F$160:$F$170,$C$64:$C$83)=0)),ROWS($C$197:C200))),"")</f>
        <v>Shauna Kavanagh</v>
      </c>
      <c r="D200" s="305" t="str">
        <f t="shared" si="59"/>
        <v>ST / RW</v>
      </c>
      <c r="E200" s="431">
        <f t="shared" si="60"/>
        <v>7.7342592592592601</v>
      </c>
      <c r="F200" s="432">
        <f t="shared" si="61"/>
        <v>0.72777777777777775</v>
      </c>
      <c r="G200" s="305" t="str">
        <f t="shared" si="62"/>
        <v>Available</v>
      </c>
    </row>
    <row r="201" spans="2:7" x14ac:dyDescent="0.45">
      <c r="B201" s="301">
        <f>IF($C201="","",ROWS($B$174:B201))</f>
        <v>28</v>
      </c>
      <c r="C201" s="290" t="str" cm="1">
        <f t="array" ref="C201">IFERROR(INDEX($C$64:$C$83,_xlfn.AGGREGATE(15,6,(ROW($C$64:$C$83)-63)/(($C$64:$C$83&lt;&gt;"")*(COUNTIF($F$160:$F$170,$C$64:$C$83)=0)),ROWS($C$197:C201))),"")</f>
        <v>Roma Memon</v>
      </c>
      <c r="D201" s="305" t="str">
        <f t="shared" si="59"/>
        <v>DM / CM</v>
      </c>
      <c r="E201" s="431">
        <f t="shared" si="60"/>
        <v>10.622222222222222</v>
      </c>
      <c r="F201" s="432">
        <f t="shared" si="61"/>
        <v>0.62777777777777777</v>
      </c>
      <c r="G201" s="305" t="str">
        <f t="shared" si="62"/>
        <v>Available</v>
      </c>
    </row>
    <row r="202" spans="2:7" x14ac:dyDescent="0.45">
      <c r="B202" s="301">
        <f>IF($C202="","",ROWS($B$174:B202))</f>
        <v>29</v>
      </c>
      <c r="C202" s="290" t="str" cm="1">
        <f t="array" ref="C202">IFERROR(INDEX($C$64:$C$83,_xlfn.AGGREGATE(15,6,(ROW($C$64:$C$83)-63)/(($C$64:$C$83&lt;&gt;"")*(COUNTIF($F$160:$F$170,$C$64:$C$83)=0)),ROWS($C$197:C202))),"")</f>
        <v>Emma Dromgoole</v>
      </c>
      <c r="D202" s="305" t="str">
        <f t="shared" si="59"/>
        <v>RW / ST</v>
      </c>
      <c r="E202" s="431">
        <f t="shared" si="60"/>
        <v>9.6620370370370363</v>
      </c>
      <c r="F202" s="432">
        <f t="shared" si="61"/>
        <v>0.76666666666666661</v>
      </c>
      <c r="G202" s="305" t="str">
        <f t="shared" si="62"/>
        <v>Unavailable — Injured - Knee injury  (back 28 Aug)</v>
      </c>
    </row>
    <row r="203" spans="2:7" x14ac:dyDescent="0.45">
      <c r="B203" s="301">
        <f>IF($C203="","",ROWS($B$174:B203))</f>
        <v>30</v>
      </c>
      <c r="C203" s="290" t="str" cm="1">
        <f t="array" ref="C203">IFERROR(INDEX($C$64:$C$83,_xlfn.AGGREGATE(15,6,(ROW($C$64:$C$83)-63)/(($C$64:$C$83&lt;&gt;"")*(COUNTIF($F$160:$F$170,$C$64:$C$83)=0)),ROWS($C$197:C203))),"")</f>
        <v>Mariana Soares</v>
      </c>
      <c r="D203" s="305" t="str">
        <f t="shared" si="59"/>
        <v>RB / CB</v>
      </c>
      <c r="E203" s="431">
        <f t="shared" si="60"/>
        <v>10.487037037037036</v>
      </c>
      <c r="F203" s="432">
        <f t="shared" si="61"/>
        <v>0.76666666666666661</v>
      </c>
      <c r="G203" s="305" t="str">
        <f t="shared" si="62"/>
        <v>Available</v>
      </c>
    </row>
    <row r="204" spans="2:7" x14ac:dyDescent="0.45">
      <c r="B204" s="301" t="str">
        <f>IF($C204="","",ROWS($B$174:B204))</f>
        <v/>
      </c>
      <c r="C204" s="290" t="str" cm="1">
        <f t="array" ref="C204">IFERROR(INDEX($C$64:$C$83,_xlfn.AGGREGATE(15,6,(ROW($C$64:$C$83)-63)/(($C$64:$C$83&lt;&gt;"")*(COUNTIF($F$160:$F$170,$C$64:$C$83)=0)),ROWS($C$197:C204))),"")</f>
        <v/>
      </c>
      <c r="D204" s="305" t="str">
        <f t="shared" si="59"/>
        <v/>
      </c>
      <c r="E204" s="431" t="str">
        <f t="shared" si="60"/>
        <v/>
      </c>
      <c r="F204" s="432" t="str">
        <f t="shared" si="61"/>
        <v/>
      </c>
      <c r="G204" s="305" t="str">
        <f t="shared" si="62"/>
        <v/>
      </c>
    </row>
    <row r="205" spans="2:7" x14ac:dyDescent="0.45">
      <c r="B205" s="301" t="str">
        <f>IF($C205="","",ROWS($B$174:B205))</f>
        <v/>
      </c>
      <c r="C205" s="290" t="str" cm="1">
        <f t="array" ref="C205">IFERROR(INDEX($C$64:$C$83,_xlfn.AGGREGATE(15,6,(ROW($C$64:$C$83)-63)/(($C$64:$C$83&lt;&gt;"")*(COUNTIF($F$160:$F$170,$C$64:$C$83)=0)),ROWS($C$197:C205))),"")</f>
        <v/>
      </c>
      <c r="D205" s="305" t="str">
        <f t="shared" si="59"/>
        <v/>
      </c>
      <c r="E205" s="431" t="str">
        <f t="shared" si="60"/>
        <v/>
      </c>
      <c r="F205" s="432" t="str">
        <f t="shared" si="61"/>
        <v/>
      </c>
      <c r="G205" s="305" t="str">
        <f t="shared" si="62"/>
        <v/>
      </c>
    </row>
    <row r="206" spans="2:7" x14ac:dyDescent="0.45">
      <c r="B206" s="301" t="str">
        <f>IF($C206="","",ROWS($B$174:B206))</f>
        <v/>
      </c>
      <c r="C206" s="290" t="str" cm="1">
        <f t="array" ref="C206">IFERROR(INDEX($C$64:$C$83,_xlfn.AGGREGATE(15,6,(ROW($C$64:$C$83)-63)/(($C$64:$C$83&lt;&gt;"")*(COUNTIF($F$160:$F$170,$C$64:$C$83)=0)),ROWS($C$197:C206))),"")</f>
        <v/>
      </c>
      <c r="D206" s="305" t="str">
        <f t="shared" si="59"/>
        <v/>
      </c>
      <c r="E206" s="431" t="str">
        <f t="shared" si="60"/>
        <v/>
      </c>
      <c r="F206" s="432" t="str">
        <f t="shared" si="61"/>
        <v/>
      </c>
      <c r="G206" s="305" t="str">
        <f t="shared" si="62"/>
        <v/>
      </c>
    </row>
    <row r="207" spans="2:7" x14ac:dyDescent="0.45">
      <c r="B207" s="301" t="str">
        <f>IF($C207="","",ROWS($B$174:B207))</f>
        <v/>
      </c>
      <c r="C207" s="290" t="str" cm="1">
        <f t="array" ref="C207">IFERROR(INDEX($C$64:$C$83,_xlfn.AGGREGATE(15,6,(ROW($C$64:$C$83)-63)/(($C$64:$C$83&lt;&gt;"")*(COUNTIF($F$160:$F$170,$C$64:$C$83)=0)),ROWS($C$197:C207))),"")</f>
        <v/>
      </c>
      <c r="D207" s="305" t="str">
        <f t="shared" si="59"/>
        <v/>
      </c>
      <c r="E207" s="431" t="str">
        <f t="shared" si="60"/>
        <v/>
      </c>
      <c r="F207" s="432" t="str">
        <f t="shared" si="61"/>
        <v/>
      </c>
      <c r="G207" s="305" t="str">
        <f t="shared" si="62"/>
        <v/>
      </c>
    </row>
    <row r="208" spans="2:7" x14ac:dyDescent="0.45">
      <c r="B208" s="301" t="str">
        <f>IF($C208="","",ROWS($B$174:B208))</f>
        <v/>
      </c>
      <c r="C208" s="290" t="str" cm="1">
        <f t="array" ref="C208">IFERROR(INDEX($C$64:$C$83,_xlfn.AGGREGATE(15,6,(ROW($C$64:$C$83)-63)/(($C$64:$C$83&lt;&gt;"")*(COUNTIF($F$160:$F$170,$C$64:$C$83)=0)),ROWS($C$197:C208))),"")</f>
        <v/>
      </c>
      <c r="D208" s="305" t="str">
        <f t="shared" si="59"/>
        <v/>
      </c>
      <c r="E208" s="431" t="str">
        <f t="shared" si="60"/>
        <v/>
      </c>
      <c r="F208" s="432" t="str">
        <f t="shared" si="61"/>
        <v/>
      </c>
      <c r="G208" s="305" t="str">
        <f t="shared" si="62"/>
        <v/>
      </c>
    </row>
    <row r="209" spans="2:7" x14ac:dyDescent="0.45">
      <c r="B209" s="301" t="str">
        <f>IF($C209="","",ROWS($B$174:B209))</f>
        <v/>
      </c>
      <c r="C209" s="290" t="str" cm="1">
        <f t="array" ref="C209">IFERROR(INDEX($C$64:$C$83,_xlfn.AGGREGATE(15,6,(ROW($C$64:$C$83)-63)/(($C$64:$C$83&lt;&gt;"")*(COUNTIF($F$160:$F$170,$C$64:$C$83)=0)),ROWS($C$197:C209))),"")</f>
        <v/>
      </c>
      <c r="D209" s="305" t="str">
        <f t="shared" si="59"/>
        <v/>
      </c>
      <c r="E209" s="431" t="str">
        <f t="shared" si="60"/>
        <v/>
      </c>
      <c r="F209" s="432" t="str">
        <f t="shared" si="61"/>
        <v/>
      </c>
      <c r="G209" s="305" t="str">
        <f t="shared" si="62"/>
        <v/>
      </c>
    </row>
    <row r="210" spans="2:7" x14ac:dyDescent="0.45">
      <c r="B210" s="301" t="str">
        <f>IF($C210="","",ROWS($B$174:B210))</f>
        <v/>
      </c>
      <c r="C210" s="290" t="str" cm="1">
        <f t="array" ref="C210">IFERROR(INDEX($C$64:$C$83,_xlfn.AGGREGATE(15,6,(ROW($C$64:$C$83)-63)/(($C$64:$C$83&lt;&gt;"")*(COUNTIF($F$160:$F$170,$C$64:$C$83)=0)),ROWS($C$197:C210))),"")</f>
        <v/>
      </c>
      <c r="D210" s="305" t="str">
        <f t="shared" si="59"/>
        <v/>
      </c>
      <c r="E210" s="431" t="str">
        <f t="shared" si="60"/>
        <v/>
      </c>
      <c r="F210" s="432" t="str">
        <f t="shared" si="61"/>
        <v/>
      </c>
      <c r="G210" s="305" t="str">
        <f t="shared" si="62"/>
        <v/>
      </c>
    </row>
    <row r="211" spans="2:7" x14ac:dyDescent="0.45">
      <c r="B211" s="301" t="str">
        <f>IF($C211="","",ROWS($B$174:B211))</f>
        <v/>
      </c>
      <c r="C211" s="290" t="str" cm="1">
        <f t="array" ref="C211">IFERROR(INDEX($C$64:$C$83,_xlfn.AGGREGATE(15,6,(ROW($C$64:$C$83)-63)/(($C$64:$C$83&lt;&gt;"")*(COUNTIF($F$160:$F$170,$C$64:$C$83)=0)),ROWS($C$197:C211))),"")</f>
        <v/>
      </c>
      <c r="D211" s="305" t="str">
        <f t="shared" si="59"/>
        <v/>
      </c>
      <c r="E211" s="431" t="str">
        <f t="shared" si="60"/>
        <v/>
      </c>
      <c r="F211" s="432" t="str">
        <f t="shared" si="61"/>
        <v/>
      </c>
      <c r="G211" s="305" t="str">
        <f t="shared" si="62"/>
        <v/>
      </c>
    </row>
    <row r="212" spans="2:7" x14ac:dyDescent="0.45">
      <c r="B212" s="301" t="str">
        <f>IF($C212="","",ROWS($B$174:B212))</f>
        <v/>
      </c>
      <c r="C212" s="290" t="str" cm="1">
        <f t="array" ref="C212">IFERROR(INDEX($C$64:$C$83,_xlfn.AGGREGATE(15,6,(ROW($C$64:$C$83)-63)/(($C$64:$C$83&lt;&gt;"")*(COUNTIF($F$160:$F$170,$C$64:$C$83)=0)),ROWS($C$197:C212))),"")</f>
        <v/>
      </c>
      <c r="D212" s="305" t="str">
        <f t="shared" si="59"/>
        <v/>
      </c>
      <c r="E212" s="431" t="str">
        <f t="shared" si="60"/>
        <v/>
      </c>
      <c r="F212" s="432" t="str">
        <f t="shared" si="61"/>
        <v/>
      </c>
      <c r="G212" s="305" t="str">
        <f t="shared" si="62"/>
        <v/>
      </c>
    </row>
    <row r="213" spans="2:7" x14ac:dyDescent="0.45">
      <c r="B213" s="301" t="str">
        <f>IF($C213="","",ROWS($B$174:B213))</f>
        <v/>
      </c>
      <c r="C213" s="290" t="str" cm="1">
        <f t="array" ref="C213">IFERROR(INDEX($C$64:$C$83,_xlfn.AGGREGATE(15,6,(ROW($C$64:$C$83)-63)/(($C$64:$C$83&lt;&gt;"")*(COUNTIF($F$160:$F$170,$C$64:$C$83)=0)),ROWS($C$197:C213))),"")</f>
        <v/>
      </c>
      <c r="D213" s="305" t="str">
        <f t="shared" si="59"/>
        <v/>
      </c>
      <c r="E213" s="431" t="str">
        <f t="shared" si="60"/>
        <v/>
      </c>
      <c r="F213" s="432" t="str">
        <f t="shared" si="61"/>
        <v/>
      </c>
      <c r="G213" s="305" t="str">
        <f t="shared" si="62"/>
        <v/>
      </c>
    </row>
    <row r="214" spans="2:7" x14ac:dyDescent="0.45">
      <c r="B214" s="301" t="str">
        <f>IF($C214="","",ROWS($B$174:B214))</f>
        <v/>
      </c>
      <c r="C214" s="290" t="str" cm="1">
        <f t="array" ref="C214">IFERROR(INDEX($C$64:$C$83,_xlfn.AGGREGATE(15,6,(ROW($C$64:$C$83)-63)/(($C$64:$C$83&lt;&gt;"")*(COUNTIF($F$160:$F$170,$C$64:$C$83)=0)),ROWS($C$197:C214))),"")</f>
        <v/>
      </c>
      <c r="D214" s="305" t="str">
        <f t="shared" si="59"/>
        <v/>
      </c>
      <c r="E214" s="431" t="str">
        <f t="shared" si="60"/>
        <v/>
      </c>
      <c r="F214" s="432" t="str">
        <f t="shared" si="61"/>
        <v/>
      </c>
      <c r="G214" s="305" t="str">
        <f t="shared" si="62"/>
        <v/>
      </c>
    </row>
    <row r="215" spans="2:7" x14ac:dyDescent="0.45">
      <c r="B215" s="301" t="str">
        <f>IF($C215="","",ROWS($B$174:B215))</f>
        <v/>
      </c>
      <c r="C215" s="290" t="str" cm="1">
        <f t="array" ref="C215">IFERROR(INDEX($C$64:$C$83,_xlfn.AGGREGATE(15,6,(ROW($C$64:$C$83)-63)/(($C$64:$C$83&lt;&gt;"")*(COUNTIF($F$160:$F$170,$C$64:$C$83)=0)),ROWS($C$197:C215))),"")</f>
        <v/>
      </c>
      <c r="D215" s="305" t="str">
        <f t="shared" si="59"/>
        <v/>
      </c>
      <c r="E215" s="431" t="str">
        <f t="shared" si="60"/>
        <v/>
      </c>
      <c r="F215" s="432" t="str">
        <f t="shared" si="61"/>
        <v/>
      </c>
      <c r="G215" s="305" t="str">
        <f t="shared" si="62"/>
        <v/>
      </c>
    </row>
    <row r="216" spans="2:7" x14ac:dyDescent="0.45">
      <c r="B216" s="301" t="str">
        <f>IF($C216="","",ROWS($B$174:B216))</f>
        <v/>
      </c>
      <c r="C216" s="290" t="str" cm="1">
        <f t="array" ref="C216">IFERROR(INDEX($C$64:$C$83,_xlfn.AGGREGATE(15,6,(ROW($C$64:$C$83)-63)/(($C$64:$C$83&lt;&gt;"")*(COUNTIF($F$160:$F$170,$C$64:$C$83)=0)),ROWS($C$197:C216))),"")</f>
        <v/>
      </c>
      <c r="D216" s="305" t="str">
        <f t="shared" si="59"/>
        <v/>
      </c>
      <c r="E216" s="431" t="str">
        <f t="shared" si="60"/>
        <v/>
      </c>
      <c r="F216" s="432" t="str">
        <f t="shared" si="61"/>
        <v/>
      </c>
      <c r="G216" s="305" t="str">
        <f t="shared" si="62"/>
        <v/>
      </c>
    </row>
  </sheetData>
  <mergeCells count="53">
    <mergeCell ref="B2:F2"/>
    <mergeCell ref="B3:L3"/>
    <mergeCell ref="B8:F8"/>
    <mergeCell ref="G8:U8"/>
    <mergeCell ref="G9:I9"/>
    <mergeCell ref="M9:O9"/>
    <mergeCell ref="S9:U9"/>
    <mergeCell ref="J9:L9"/>
    <mergeCell ref="P9:R9"/>
    <mergeCell ref="B10:C10"/>
    <mergeCell ref="D10:F10"/>
    <mergeCell ref="G10:I10"/>
    <mergeCell ref="M10:O10"/>
    <mergeCell ref="S10:U10"/>
    <mergeCell ref="J10:L10"/>
    <mergeCell ref="P10:R10"/>
    <mergeCell ref="B13:C13"/>
    <mergeCell ref="D13:F13"/>
    <mergeCell ref="M13:O13"/>
    <mergeCell ref="B11:C11"/>
    <mergeCell ref="D11:F11"/>
    <mergeCell ref="B12:C12"/>
    <mergeCell ref="D12:F12"/>
    <mergeCell ref="G12:I12"/>
    <mergeCell ref="P12:R12"/>
    <mergeCell ref="S12:U12"/>
    <mergeCell ref="G13:I13"/>
    <mergeCell ref="J13:L13"/>
    <mergeCell ref="P13:R13"/>
    <mergeCell ref="S13:U13"/>
    <mergeCell ref="J12:L12"/>
    <mergeCell ref="M12:O12"/>
    <mergeCell ref="B14:C14"/>
    <mergeCell ref="D14:F14"/>
    <mergeCell ref="G15:I15"/>
    <mergeCell ref="J15:L15"/>
    <mergeCell ref="M15:O15"/>
    <mergeCell ref="P15:R15"/>
    <mergeCell ref="S15:U15"/>
    <mergeCell ref="G16:I16"/>
    <mergeCell ref="S16:U16"/>
    <mergeCell ref="J16:L16"/>
    <mergeCell ref="M16:O16"/>
    <mergeCell ref="P16:R16"/>
    <mergeCell ref="R62:AA62"/>
    <mergeCell ref="B86:F86"/>
    <mergeCell ref="B102:H102"/>
    <mergeCell ref="B116:G116"/>
    <mergeCell ref="M18:O18"/>
    <mergeCell ref="M19:O19"/>
    <mergeCell ref="B23:H23"/>
    <mergeCell ref="B38:G38"/>
    <mergeCell ref="B62:P62"/>
  </mergeCells>
  <conditionalFormatting sqref="E118:E137">
    <cfRule type="containsText" dxfId="33" priority="2" operator="containsText" text="Injured">
      <formula>NOT(ISERROR(SEARCH("Injured",E118)))</formula>
    </cfRule>
    <cfRule type="containsText" dxfId="32" priority="3" operator="containsText" text="Holiday">
      <formula>NOT(ISERROR(SEARCH("Holiday",E118)))</formula>
    </cfRule>
    <cfRule type="containsText" dxfId="31" priority="4" operator="containsText" text="Suspended">
      <formula>NOT(ISERROR(SEARCH("Suspended",E118)))</formula>
    </cfRule>
  </conditionalFormatting>
  <conditionalFormatting sqref="G40:G59">
    <cfRule type="containsText" dxfId="30" priority="5" operator="containsText" text="Unavailable">
      <formula>NOT(ISERROR(SEARCH("Unavailable",G40)))</formula>
    </cfRule>
  </conditionalFormatting>
  <conditionalFormatting sqref="G9:U16">
    <cfRule type="expression" dxfId="29" priority="6">
      <formula>G9=""</formula>
    </cfRule>
  </conditionalFormatting>
  <dataValidations count="7">
    <dataValidation type="whole" allowBlank="1" showInputMessage="1" showErrorMessage="1" sqref="C104:AD113" xr:uid="{00000000-0002-0000-0400-000000000000}">
      <formula1>0</formula1>
      <formula2>3</formula2>
    </dataValidation>
    <dataValidation type="list" allowBlank="1" showInputMessage="1" showErrorMessage="1" sqref="B6" xr:uid="{00000000-0002-0000-0400-000001000000}">
      <formula1>"1,2,3,4,5,6,7,8,9,10,11,12,13,14,15,16,17,18,19,20,21,22"</formula1>
      <formula2>0</formula2>
    </dataValidation>
    <dataValidation type="list" allowBlank="1" showInputMessage="1" showErrorMessage="1" sqref="J6" xr:uid="{00000000-0002-0000-0400-000002000000}">
      <formula1>"On,Off"</formula1>
      <formula2>0</formula2>
    </dataValidation>
    <dataValidation type="list" allowBlank="1" showInputMessage="1" showErrorMessage="1" sqref="H25:H35" xr:uid="{00000000-0002-0000-0400-000003000000}">
      <formula1>PlayerList</formula1>
      <formula2>0</formula2>
    </dataValidation>
    <dataValidation type="list" allowBlank="1" showInputMessage="1" showErrorMessage="1" promptTitle="Availability" prompt="Pick Available, Injured or Absent. Leave blank to use the Attendance sheet." sqref="E118:E137" xr:uid="{00000000-0002-0000-0400-000004000000}">
      <formula1>"Available,Injured,Absent"</formula1>
      <formula2>0</formula2>
    </dataValidation>
    <dataValidation type="whole" operator="greaterThanOrEqual" allowBlank="1" showInputMessage="1" showErrorMessage="1" sqref="H118:H137" xr:uid="{00000000-0002-0000-0400-000005000000}">
      <formula1>0</formula1>
      <formula2>0</formula2>
    </dataValidation>
    <dataValidation type="list" allowBlank="1" showInputMessage="1" showErrorMessage="1" sqref="L6" xr:uid="{FAD1569B-44A4-4401-827A-189485801C7A}">
      <formula1>"4-3-3,3-5-2"</formula1>
    </dataValidation>
  </dataValidations>
  <hyperlinks>
    <hyperlink ref="C4" location="'Team Selection'!B8" display="① Fixture" xr:uid="{00000000-0004-0000-0400-000000000000}"/>
    <hyperlink ref="D4" location="'Team Selection'!G8" display="② Starting XI" xr:uid="{00000000-0004-0000-0400-000001000000}"/>
    <hyperlink ref="E4" location="'Team Selection'!B23" display="③ Selected XI" xr:uid="{00000000-0004-0000-0400-000002000000}"/>
    <hyperlink ref="F4" location="'Team Selection'!B38" display="④ Not Selected" xr:uid="{00000000-0004-0000-0400-000003000000}"/>
    <hyperlink ref="H4" location="'Team Selection'!B102" display="⑤ Weightings" xr:uid="{00000000-0004-0000-0400-000004000000}"/>
    <hyperlink ref="I4" location="'Team Selection'!B116" display="⑥ Availability" xr:uid="{00000000-0004-0000-0400-000005000000}"/>
    <hyperlink ref="K4" location="'Team Selection'!B62" display="Workings" xr:uid="{00000000-0004-0000-0400-000006000000}"/>
  </hyperlink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72"/>
  <sheetViews>
    <sheetView topLeftCell="D1" zoomScaleNormal="100" workbookViewId="0">
      <pane ySplit="6" topLeftCell="A42" activePane="bottomLeft" state="frozen"/>
      <selection pane="bottomLeft" activeCell="J58" sqref="J58"/>
    </sheetView>
  </sheetViews>
  <sheetFormatPr defaultColWidth="8.53125" defaultRowHeight="14.25" x14ac:dyDescent="0.45"/>
  <cols>
    <col min="1" max="1" width="2.1328125" customWidth="1"/>
    <col min="2" max="3" width="26.73046875" customWidth="1"/>
    <col min="4" max="4" width="19.59765625" customWidth="1"/>
    <col min="5" max="6" width="12.3984375" customWidth="1"/>
    <col min="7" max="8" width="19.59765625" customWidth="1"/>
    <col min="9" max="9" width="14.19921875" customWidth="1"/>
    <col min="10" max="11" width="16" customWidth="1"/>
    <col min="12" max="12" width="19.53125" customWidth="1"/>
    <col min="13" max="16" width="23.1328125" customWidth="1"/>
    <col min="17" max="17" width="12.59765625" customWidth="1"/>
    <col min="18" max="18" width="30.1328125" customWidth="1"/>
    <col min="19" max="21" width="23.1328125" customWidth="1"/>
    <col min="22" max="23" width="16" customWidth="1"/>
    <col min="24" max="24" width="26.6640625" customWidth="1"/>
    <col min="25" max="28" width="16" customWidth="1"/>
    <col min="29" max="30" width="56.86328125" customWidth="1"/>
    <col min="32" max="32" width="19.53125" customWidth="1"/>
    <col min="33" max="33" width="14.19921875" customWidth="1"/>
  </cols>
  <sheetData>
    <row r="1" spans="1:33" x14ac:dyDescent="0.45">
      <c r="A1" s="269"/>
      <c r="B1" s="269"/>
      <c r="C1" s="269"/>
      <c r="D1" s="269"/>
      <c r="E1" s="269"/>
      <c r="F1" s="269"/>
      <c r="G1" s="269"/>
      <c r="H1" s="269"/>
    </row>
    <row r="2" spans="1:33" ht="18" customHeight="1" x14ac:dyDescent="0.55000000000000004">
      <c r="A2" s="269"/>
      <c r="B2" s="523" t="s">
        <v>332</v>
      </c>
      <c r="C2" s="523"/>
      <c r="D2" s="523"/>
      <c r="E2" s="269"/>
      <c r="F2" s="269"/>
      <c r="G2" s="269"/>
      <c r="H2" s="269"/>
    </row>
    <row r="3" spans="1:33" x14ac:dyDescent="0.45">
      <c r="A3" s="269"/>
      <c r="B3" s="524" t="s">
        <v>569</v>
      </c>
      <c r="C3" s="524"/>
      <c r="D3" s="524"/>
      <c r="E3" s="524"/>
      <c r="F3" s="524"/>
      <c r="G3" s="524"/>
      <c r="H3" s="524"/>
    </row>
    <row r="4" spans="1:33" x14ac:dyDescent="0.45">
      <c r="A4" s="269"/>
      <c r="B4" s="269"/>
      <c r="C4" s="269"/>
      <c r="D4" s="269"/>
      <c r="E4" s="269"/>
      <c r="F4" s="269"/>
      <c r="G4" s="269"/>
      <c r="H4" s="269"/>
    </row>
    <row r="5" spans="1:33" x14ac:dyDescent="0.45">
      <c r="A5" s="269"/>
      <c r="B5" s="91" t="s">
        <v>298</v>
      </c>
      <c r="C5" s="269"/>
      <c r="D5" s="269"/>
      <c r="E5" s="269"/>
      <c r="F5" s="269"/>
      <c r="G5" s="269"/>
      <c r="H5" s="269"/>
    </row>
    <row r="6" spans="1:33" ht="15.75" customHeight="1" x14ac:dyDescent="0.5">
      <c r="A6" s="269"/>
      <c r="B6" s="270">
        <v>1</v>
      </c>
      <c r="C6" s="525" t="str">
        <f>"GW "&amp;$B$6&amp;" of 22"&amp;IF($D$10="(not set)",""," — vs "&amp;$D$10&amp;" ("&amp;$D$11&amp;")"&amp;IF($D$12="Not played",""," — "&amp;$D$12&amp;" "&amp;$D$13))</f>
        <v>GW 1 of 22 — vs Stamullen FC (Away) — 9 - 1 Win</v>
      </c>
      <c r="D6" s="525"/>
      <c r="E6" s="525"/>
      <c r="F6" s="525"/>
      <c r="G6" s="525"/>
      <c r="H6" s="269"/>
    </row>
    <row r="7" spans="1:33" x14ac:dyDescent="0.45">
      <c r="A7" s="269"/>
      <c r="B7" s="269"/>
      <c r="C7" s="269"/>
      <c r="D7" s="269"/>
      <c r="E7" s="269"/>
      <c r="F7" s="269"/>
      <c r="G7" s="269"/>
      <c r="H7" s="269"/>
      <c r="AF7" s="522" t="s">
        <v>571</v>
      </c>
      <c r="AG7" s="459"/>
    </row>
    <row r="8" spans="1:33" ht="26.25" customHeight="1" x14ac:dyDescent="0.45">
      <c r="A8" s="269"/>
      <c r="B8" s="526" t="s">
        <v>333</v>
      </c>
      <c r="C8" s="526"/>
      <c r="D8" s="526"/>
      <c r="E8" s="526"/>
      <c r="F8" s="526"/>
      <c r="AF8" s="362"/>
    </row>
    <row r="9" spans="1:33" x14ac:dyDescent="0.45">
      <c r="A9" s="269"/>
      <c r="B9" s="518" t="s">
        <v>301</v>
      </c>
      <c r="C9" s="518"/>
      <c r="D9" s="527" cm="1">
        <f t="array" ref="D9">IF(INDEX($B:$B,$K$68+2)="","(not set)",INDEX($B:$B,$K$68+2))</f>
        <v>46264</v>
      </c>
      <c r="E9" s="527"/>
      <c r="F9" s="527"/>
      <c r="G9" s="269"/>
      <c r="H9" s="269"/>
      <c r="AF9" s="363" t="s">
        <v>348</v>
      </c>
      <c r="AG9" s="364" t="s">
        <v>347</v>
      </c>
    </row>
    <row r="10" spans="1:33" x14ac:dyDescent="0.45">
      <c r="A10" s="269"/>
      <c r="B10" s="518" t="s">
        <v>343</v>
      </c>
      <c r="C10" s="518"/>
      <c r="D10" s="519" t="str" cm="1">
        <f t="array" ref="D10">IF(INDEX($C:$C,$K$68+2)="","(not set)",INDEX($C:$C,$K$68+2))</f>
        <v>Stamullen FC</v>
      </c>
      <c r="E10" s="519"/>
      <c r="F10" s="519"/>
      <c r="G10" s="269"/>
      <c r="H10" s="269"/>
      <c r="AF10" s="365">
        <v>0</v>
      </c>
      <c r="AG10" s="366" t="s">
        <v>206</v>
      </c>
    </row>
    <row r="11" spans="1:33" x14ac:dyDescent="0.45">
      <c r="A11" s="269"/>
      <c r="B11" s="518" t="s">
        <v>344</v>
      </c>
      <c r="C11" s="518"/>
      <c r="D11" s="520" t="str" cm="1">
        <f t="array" ref="D11">IF(INDEX($D:$D,$K$68+2)="","(not set)",IF(INDEX($D:$D,$K$68+2)="H","Home","Away"))</f>
        <v>Away</v>
      </c>
      <c r="E11" s="520"/>
      <c r="F11" s="520"/>
      <c r="G11" s="269"/>
      <c r="H11" s="269"/>
      <c r="AF11" s="365">
        <v>5</v>
      </c>
      <c r="AG11" s="366" t="s">
        <v>203</v>
      </c>
    </row>
    <row r="12" spans="1:33" x14ac:dyDescent="0.45">
      <c r="A12" s="269"/>
      <c r="B12" s="518" t="s">
        <v>345</v>
      </c>
      <c r="C12" s="518"/>
      <c r="D12" s="519" t="str" cm="1">
        <f t="array" ref="D12">IF(OR(INDEX($E:$E,$K$68+2)="",INDEX($F:$F,$K$68+2)=""),"Not played",INDEX($E:$E,$K$68+2)&amp;" - "&amp;INDEX($F:$F,$K$68+2))</f>
        <v>9 - 1</v>
      </c>
      <c r="E12" s="519"/>
      <c r="F12" s="519"/>
      <c r="G12" s="269"/>
      <c r="H12" s="269"/>
      <c r="AF12" s="365">
        <v>6</v>
      </c>
      <c r="AG12" s="366" t="s">
        <v>200</v>
      </c>
    </row>
    <row r="13" spans="1:33" x14ac:dyDescent="0.45">
      <c r="A13" s="269"/>
      <c r="B13" s="518" t="s">
        <v>304</v>
      </c>
      <c r="C13" s="518"/>
      <c r="D13" s="520" t="str" cm="1">
        <f t="array" ref="D13">IF(INDEX($G:$G,$K$68+2)="","Not played",INDEX($G:$G,$K$68+2))</f>
        <v>Win</v>
      </c>
      <c r="E13" s="520"/>
      <c r="F13" s="520"/>
      <c r="G13" s="269"/>
      <c r="H13" s="269"/>
      <c r="K13" s="273"/>
      <c r="L13" s="273"/>
      <c r="M13" s="273"/>
      <c r="N13" s="273"/>
      <c r="O13" s="273"/>
      <c r="P13" s="273"/>
      <c r="Q13" s="273"/>
      <c r="R13" s="273"/>
      <c r="S13" s="273"/>
      <c r="T13" s="273"/>
      <c r="U13" s="273"/>
      <c r="V13" s="273"/>
      <c r="W13" s="273"/>
      <c r="X13" s="273"/>
      <c r="Y13" s="273"/>
      <c r="Z13" s="273"/>
      <c r="AA13" s="273"/>
      <c r="AB13" s="273"/>
      <c r="AC13" s="274"/>
      <c r="AD13" s="274"/>
      <c r="AF13" s="365">
        <v>7</v>
      </c>
      <c r="AG13" s="366" t="s">
        <v>197</v>
      </c>
    </row>
    <row r="14" spans="1:33" x14ac:dyDescent="0.45">
      <c r="A14" s="269"/>
      <c r="B14" s="518" t="s">
        <v>346</v>
      </c>
      <c r="C14" s="518"/>
      <c r="D14" s="519" t="str" cm="1">
        <f t="array" ref="D14">IF(INDEX($H:$H,$K$68+2)="","(not awarded)",INDEX($H:$H,$K$68+2))</f>
        <v>Roisin Offenhausen</v>
      </c>
      <c r="E14" s="519"/>
      <c r="F14" s="519"/>
      <c r="G14" s="269"/>
      <c r="H14" s="269"/>
      <c r="K14" s="273"/>
      <c r="L14" s="273"/>
      <c r="M14" s="273"/>
      <c r="N14" s="273"/>
      <c r="O14" s="273"/>
      <c r="P14" s="273"/>
      <c r="Q14" s="273"/>
      <c r="R14" s="273"/>
      <c r="S14" s="273"/>
      <c r="T14" s="273"/>
      <c r="U14" s="273"/>
      <c r="V14" s="273"/>
      <c r="W14" s="273"/>
      <c r="X14" s="273"/>
      <c r="Y14" s="273"/>
      <c r="Z14" s="273"/>
      <c r="AA14" s="273"/>
      <c r="AB14" s="273"/>
      <c r="AC14" s="274"/>
      <c r="AD14" s="274"/>
      <c r="AF14" s="365">
        <v>8</v>
      </c>
      <c r="AG14" s="366" t="s">
        <v>194</v>
      </c>
    </row>
    <row r="15" spans="1:33" x14ac:dyDescent="0.45">
      <c r="A15" s="269"/>
      <c r="B15" s="269"/>
      <c r="C15" s="269"/>
      <c r="D15" s="269"/>
      <c r="E15" s="269"/>
      <c r="F15" s="269"/>
      <c r="G15" s="269"/>
      <c r="H15" s="269"/>
      <c r="K15" s="273"/>
      <c r="L15" s="273"/>
      <c r="M15" s="273"/>
      <c r="N15" s="273"/>
      <c r="O15" s="273"/>
      <c r="P15" s="273"/>
      <c r="Q15" s="273"/>
      <c r="R15" s="273"/>
      <c r="S15" s="273"/>
      <c r="T15" s="273"/>
      <c r="U15" s="273"/>
      <c r="V15" s="273"/>
      <c r="W15" s="273"/>
      <c r="X15" s="273"/>
      <c r="Y15" s="273"/>
      <c r="Z15" s="273"/>
      <c r="AA15" s="273"/>
      <c r="AB15" s="273"/>
      <c r="AC15" s="274"/>
      <c r="AD15" s="274"/>
      <c r="AF15" s="365">
        <v>9</v>
      </c>
      <c r="AG15" s="366" t="s">
        <v>111</v>
      </c>
    </row>
    <row r="16" spans="1:33" x14ac:dyDescent="0.45">
      <c r="A16" s="269"/>
      <c r="B16" s="513" t="s">
        <v>553</v>
      </c>
      <c r="C16" s="513"/>
      <c r="D16" s="513"/>
      <c r="E16" s="513"/>
      <c r="F16" s="513"/>
      <c r="G16" s="513"/>
      <c r="H16" s="513"/>
      <c r="I16" s="513"/>
      <c r="J16" s="513"/>
      <c r="K16" s="514"/>
      <c r="L16" s="273"/>
      <c r="M16" s="273"/>
      <c r="N16" s="273"/>
      <c r="O16" s="273"/>
      <c r="P16" s="273"/>
      <c r="Q16" s="273"/>
      <c r="R16" s="273"/>
      <c r="S16" s="273"/>
      <c r="T16" s="273"/>
      <c r="U16" s="273"/>
      <c r="V16" s="273"/>
      <c r="W16" s="273"/>
      <c r="X16" s="273"/>
      <c r="Y16" s="273"/>
      <c r="Z16" s="273"/>
      <c r="AA16" s="273"/>
      <c r="AB16" s="273"/>
      <c r="AC16" s="274"/>
      <c r="AD16" s="274"/>
      <c r="AF16" s="362"/>
    </row>
    <row r="17" spans="1:32" x14ac:dyDescent="0.45">
      <c r="A17" s="269"/>
      <c r="B17" s="390" t="s">
        <v>153</v>
      </c>
      <c r="C17" s="390" t="s">
        <v>18</v>
      </c>
      <c r="D17" s="390" t="s">
        <v>316</v>
      </c>
      <c r="E17" s="390" t="s">
        <v>217</v>
      </c>
      <c r="F17" s="390" t="s">
        <v>523</v>
      </c>
      <c r="G17" s="390" t="s">
        <v>524</v>
      </c>
      <c r="H17" s="373" t="s">
        <v>525</v>
      </c>
      <c r="I17" s="373" t="s">
        <v>155</v>
      </c>
      <c r="J17" s="392" t="s">
        <v>347</v>
      </c>
      <c r="K17" s="393" t="s">
        <v>156</v>
      </c>
      <c r="AF17" s="363" t="s">
        <v>508</v>
      </c>
    </row>
    <row r="18" spans="1:32" x14ac:dyDescent="0.45">
      <c r="A18" s="269"/>
      <c r="B18" s="275">
        <v>1</v>
      </c>
      <c r="C18" s="401" t="str" cm="1">
        <f t="array" ref="C18">IF(INDEX(C:C,$K$68+4+ROWS($C$18:C18))="","",INDEX(C:C,$K$68+4+ROWS($C$18:C18)))</f>
        <v>Elsie Morrison</v>
      </c>
      <c r="D18" s="394" t="str" cm="1">
        <f t="array" ref="D18">IF(INDEX(D:D,$K$68+4+ROWS($C$18:D18))="","",INDEX(D:D,$K$68+4+ROWS($C$18:D18)))</f>
        <v>Started</v>
      </c>
      <c r="E18" s="395" t="str" cm="1">
        <f t="array" ref="E18">IF(INDEX(E:E,$K$68+4+ROWS($C$18:E18))="","",INDEX(E:E,$K$68+4+ROWS($C$18:E18)))</f>
        <v>GK</v>
      </c>
      <c r="F18" s="396" t="str" cm="1">
        <f t="array" ref="F18">IF(INDEX(F:F,$K$68+4+ROWS($C$18:F18))="","",INDEX(F:F,$K$68+4+ROWS($C$18:F18)))</f>
        <v>Striker</v>
      </c>
      <c r="G18" s="382" cm="1">
        <f t="array" ref="G18">IF(INDEX(G:G,$K$68+4+ROWS($C$18:G18))="","",INDEX(G:G,$K$68+4+ROWS($C$18:G18)))</f>
        <v>1</v>
      </c>
      <c r="H18" s="396" cm="1">
        <f t="array" ref="H18">IF(INDEX(H:H,$K$68+4+ROWS($C$18:H18))="","",INDEX(H:H,$K$68+4+ROWS($C$18:H18)))</f>
        <v>0</v>
      </c>
      <c r="I18" s="405" cm="1">
        <f t="array" ref="I18">IF(INDEX(I:I,$K$68+4+ROWS($C$18:I18))="","",INDEX(I:I,$K$68+4+ROWS($C$18:I18)))</f>
        <v>8</v>
      </c>
      <c r="J18" s="416" t="str">
        <f t="shared" ref="J18:J28" si="0">IF(OR($I18="",$I18=0,$D18="Sub - unused"),"",LOOKUP($I18,$AF$10:$AF$15,$AG$10:$AG$15))</f>
        <v>Excellent</v>
      </c>
      <c r="K18" s="417" t="str">
        <f>IF($C18="","",IF($C18=$D$14,"★ MOTM",""))</f>
        <v/>
      </c>
      <c r="AF18" s="365" t="s">
        <v>250</v>
      </c>
    </row>
    <row r="19" spans="1:32" x14ac:dyDescent="0.45">
      <c r="A19" s="269"/>
      <c r="B19" s="277">
        <v>2</v>
      </c>
      <c r="C19" s="402" t="str" cm="1">
        <f t="array" ref="C19">IF(INDEX(C:C,$K$68+4+ROWS($C$18:C19))="","",INDEX(C:C,$K$68+4+ROWS($C$18:C19)))</f>
        <v>Stella McEvoy</v>
      </c>
      <c r="D19" s="397" t="str" cm="1">
        <f t="array" ref="D19">IF(INDEX(D:D,$K$68+4+ROWS($C$18:D19))="","",INDEX(D:D,$K$68+4+ROWS($C$18:D19)))</f>
        <v>Started</v>
      </c>
      <c r="E19" s="398" t="str" cm="1">
        <f t="array" ref="E19">IF(INDEX(E:E,$K$68+4+ROWS($C$18:E19))="","",INDEX(E:E,$K$68+4+ROWS($C$18:E19)))</f>
        <v>LCB</v>
      </c>
      <c r="F19" s="399" t="str" cm="1">
        <f t="array" ref="F19">IF(INDEX(F:F,$K$68+4+ROWS($C$18:F19))="","",INDEX(F:F,$K$68+4+ROWS($C$18:F19)))</f>
        <v>CB</v>
      </c>
      <c r="G19" s="400" t="str" cm="1">
        <f t="array" ref="G19">IF(INDEX(G:G,$K$68+4+ROWS($C$18:G19))="","",INDEX(G:G,$K$68+4+ROWS($C$18:G19)))</f>
        <v/>
      </c>
      <c r="H19" s="396" t="str" cm="1">
        <f t="array" ref="H19">IF(INDEX(H:H,$K$68+4+ROWS($C$18:H19))="","",INDEX(H:H,$K$68+4+ROWS($C$18:H19)))</f>
        <v/>
      </c>
      <c r="I19" s="405" cm="1">
        <f t="array" ref="I19">IF(INDEX(I:I,$K$68+4+ROWS($C$18:I19))="","",INDEX(I:I,$K$68+4+ROWS($C$18:I19)))</f>
        <v>7.5</v>
      </c>
      <c r="J19" s="416" t="str">
        <f t="shared" si="0"/>
        <v>Good</v>
      </c>
      <c r="K19" s="417" t="str">
        <f t="shared" ref="K19:K28" si="1">IF($C19="","",IF($C19=$D$14,"★ MOTM",""))</f>
        <v/>
      </c>
      <c r="AF19" s="365" t="s">
        <v>269</v>
      </c>
    </row>
    <row r="20" spans="1:32" x14ac:dyDescent="0.45">
      <c r="A20" s="269"/>
      <c r="B20" s="275">
        <v>3</v>
      </c>
      <c r="C20" s="401" t="str" cm="1">
        <f t="array" ref="C20">IF(INDEX(C:C,$K$68+4+ROWS($C$18:C20))="","",INDEX(C:C,$K$68+4+ROWS($C$18:C20)))</f>
        <v>Emma Kelly</v>
      </c>
      <c r="D20" s="394" t="str" cm="1">
        <f t="array" ref="D20">IF(INDEX(D:D,$K$68+4+ROWS($C$18:D20))="","",INDEX(D:D,$K$68+4+ROWS($C$18:D20)))</f>
        <v>Started</v>
      </c>
      <c r="E20" s="395" t="str" cm="1">
        <f t="array" ref="E20">IF(INDEX(E:E,$K$68+4+ROWS($C$18:E20))="","",INDEX(E:E,$K$68+4+ROWS($C$18:E20)))</f>
        <v>CB</v>
      </c>
      <c r="F20" s="396" t="str" cm="1">
        <f t="array" ref="F20">IF(INDEX(F:F,$K$68+4+ROWS($C$18:F20))="","",INDEX(F:F,$K$68+4+ROWS($C$18:F20)))</f>
        <v/>
      </c>
      <c r="G20" s="382" cm="1">
        <f t="array" ref="G20">IF(INDEX(G:G,$K$68+4+ROWS($C$18:G20))="","",INDEX(G:G,$K$68+4+ROWS($C$18:G20)))</f>
        <v>1</v>
      </c>
      <c r="H20" s="396" t="str" cm="1">
        <f t="array" ref="H20">IF(INDEX(H:H,$K$68+4+ROWS($C$18:H20))="","",INDEX(H:H,$K$68+4+ROWS($C$18:H20)))</f>
        <v/>
      </c>
      <c r="I20" s="405" cm="1">
        <f t="array" ref="I20">IF(INDEX(I:I,$K$68+4+ROWS($C$18:I20))="","",INDEX(I:I,$K$68+4+ROWS($C$18:I20)))</f>
        <v>8</v>
      </c>
      <c r="J20" s="416" t="str">
        <f t="shared" si="0"/>
        <v>Excellent</v>
      </c>
      <c r="K20" s="417" t="str">
        <f t="shared" si="1"/>
        <v/>
      </c>
      <c r="AF20" s="365" t="s">
        <v>509</v>
      </c>
    </row>
    <row r="21" spans="1:32" x14ac:dyDescent="0.45">
      <c r="A21" s="269"/>
      <c r="B21" s="277">
        <v>4</v>
      </c>
      <c r="C21" s="402" t="str" cm="1">
        <f t="array" ref="C21">IF(INDEX(C:C,$K$68+4+ROWS($C$18:C21))="","",INDEX(C:C,$K$68+4+ROWS($C$18:C21)))</f>
        <v>Mariana Soares</v>
      </c>
      <c r="D21" s="397" t="str" cm="1">
        <f t="array" ref="D21">IF(INDEX(D:D,$K$68+4+ROWS($C$18:D21))="","",INDEX(D:D,$K$68+4+ROWS($C$18:D21)))</f>
        <v>Started</v>
      </c>
      <c r="E21" s="398" t="str" cm="1">
        <f t="array" ref="E21">IF(INDEX(E:E,$K$68+4+ROWS($C$18:E21))="","",INDEX(E:E,$K$68+4+ROWS($C$18:E21)))</f>
        <v>RCB</v>
      </c>
      <c r="F21" s="399" t="str" cm="1">
        <f t="array" ref="F21">IF(INDEX(F:F,$K$68+4+ROWS($C$18:F21))="","",INDEX(F:F,$K$68+4+ROWS($C$18:F21)))</f>
        <v>RB</v>
      </c>
      <c r="G21" s="400" t="str" cm="1">
        <f t="array" ref="G21">IF(INDEX(G:G,$K$68+4+ROWS($C$18:G21))="","",INDEX(G:G,$K$68+4+ROWS($C$18:G21)))</f>
        <v/>
      </c>
      <c r="H21" s="396" t="str" cm="1">
        <f t="array" ref="H21">IF(INDEX(H:H,$K$68+4+ROWS($C$18:H21))="","",INDEX(H:H,$K$68+4+ROWS($C$18:H21)))</f>
        <v/>
      </c>
      <c r="I21" s="405" cm="1">
        <f t="array" ref="I21">IF(INDEX(I:I,$K$68+4+ROWS($C$18:I21))="","",INDEX(I:I,$K$68+4+ROWS($C$18:I21)))</f>
        <v>7.5</v>
      </c>
      <c r="J21" s="416" t="str">
        <f t="shared" si="0"/>
        <v>Good</v>
      </c>
      <c r="K21" s="417" t="str">
        <f t="shared" si="1"/>
        <v/>
      </c>
      <c r="AF21" s="365" t="s">
        <v>259</v>
      </c>
    </row>
    <row r="22" spans="1:32" x14ac:dyDescent="0.45">
      <c r="A22" s="269"/>
      <c r="B22" s="275">
        <v>5</v>
      </c>
      <c r="C22" s="401" t="str" cm="1">
        <f t="array" ref="C22">IF(INDEX(C:C,$K$68+4+ROWS($C$18:C22))="","",INDEX(C:C,$K$68+4+ROWS($C$18:C22)))</f>
        <v>Semilore Adesanya</v>
      </c>
      <c r="D22" s="394" t="str" cm="1">
        <f t="array" ref="D22">IF(INDEX(D:D,$K$68+4+ROWS($C$18:D22))="","",INDEX(D:D,$K$68+4+ROWS($C$18:D22)))</f>
        <v>Started</v>
      </c>
      <c r="E22" s="395" t="str" cm="1">
        <f t="array" ref="E22">IF(INDEX(E:E,$K$68+4+ROWS($C$18:E22))="","",INDEX(E:E,$K$68+4+ROWS($C$18:E22)))</f>
        <v>CDM</v>
      </c>
      <c r="F22" s="396" t="str" cm="1">
        <f t="array" ref="F22">IF(INDEX(F:F,$K$68+4+ROWS($C$18:F22))="","",INDEX(F:F,$K$68+4+ROWS($C$18:F22)))</f>
        <v>CB</v>
      </c>
      <c r="G22" s="382" cm="1">
        <f t="array" ref="G22">IF(INDEX(G:G,$K$68+4+ROWS($C$18:G22))="","",INDEX(G:G,$K$68+4+ROWS($C$18:G22)))</f>
        <v>1</v>
      </c>
      <c r="H22" s="396" cm="1">
        <f t="array" ref="H22">IF(INDEX(H:H,$K$68+4+ROWS($C$18:H22))="","",INDEX(H:H,$K$68+4+ROWS($C$18:H22)))</f>
        <v>1</v>
      </c>
      <c r="I22" s="405" cm="1">
        <f t="array" ref="I22">IF(INDEX(I:I,$K$68+4+ROWS($C$18:I22))="","",INDEX(I:I,$K$68+4+ROWS($C$18:I22)))</f>
        <v>8.5</v>
      </c>
      <c r="J22" s="416" t="str">
        <f t="shared" si="0"/>
        <v>Excellent</v>
      </c>
      <c r="K22" s="417" t="str">
        <f t="shared" si="1"/>
        <v/>
      </c>
      <c r="AF22" s="365" t="s">
        <v>510</v>
      </c>
    </row>
    <row r="23" spans="1:32" x14ac:dyDescent="0.45">
      <c r="A23" s="269"/>
      <c r="B23" s="277">
        <v>6</v>
      </c>
      <c r="C23" s="402" t="str" cm="1">
        <f t="array" ref="C23">IF(INDEX(C:C,$K$68+4+ROWS($C$18:C23))="","",INDEX(C:C,$K$68+4+ROWS($C$18:C23)))</f>
        <v>Tara Brannigan</v>
      </c>
      <c r="D23" s="397" t="str" cm="1">
        <f t="array" ref="D23">IF(INDEX(D:D,$K$68+4+ROWS($C$18:D23))="","",INDEX(D:D,$K$68+4+ROWS($C$18:D23)))</f>
        <v>Started</v>
      </c>
      <c r="E23" s="398" t="str" cm="1">
        <f t="array" ref="E23">IF(INDEX(E:E,$K$68+4+ROWS($C$18:E23))="","",INDEX(E:E,$K$68+4+ROWS($C$18:E23)))</f>
        <v>CM</v>
      </c>
      <c r="F23" s="399" t="str" cm="1">
        <f t="array" ref="F23">IF(INDEX(F:F,$K$68+4+ROWS($C$18:F23))="","",INDEX(F:F,$K$68+4+ROWS($C$18:F23)))</f>
        <v/>
      </c>
      <c r="G23" s="400" t="str" cm="1">
        <f t="array" ref="G23">IF(INDEX(G:G,$K$68+4+ROWS($C$18:G23))="","",INDEX(G:G,$K$68+4+ROWS($C$18:G23)))</f>
        <v/>
      </c>
      <c r="H23" s="396" t="str" cm="1">
        <f t="array" ref="H23">IF(INDEX(H:H,$K$68+4+ROWS($C$18:H23))="","",INDEX(H:H,$K$68+4+ROWS($C$18:H23)))</f>
        <v/>
      </c>
      <c r="I23" s="405" cm="1">
        <f t="array" ref="I23">IF(INDEX(I:I,$K$68+4+ROWS($C$18:I23))="","",INDEX(I:I,$K$68+4+ROWS($C$18:I23)))</f>
        <v>8</v>
      </c>
      <c r="J23" s="416" t="str">
        <f t="shared" si="0"/>
        <v>Excellent</v>
      </c>
      <c r="K23" s="417" t="str">
        <f t="shared" si="1"/>
        <v/>
      </c>
      <c r="AF23" s="365" t="s">
        <v>252</v>
      </c>
    </row>
    <row r="24" spans="1:32" x14ac:dyDescent="0.45">
      <c r="A24" s="269"/>
      <c r="B24" s="275">
        <v>7</v>
      </c>
      <c r="C24" s="401" t="str" cm="1">
        <f t="array" ref="C24">IF(INDEX(C:C,$K$68+4+ROWS($C$18:C24))="","",INDEX(C:C,$K$68+4+ROWS($C$18:C24)))</f>
        <v>Hannah Fleming</v>
      </c>
      <c r="D24" s="394" t="str" cm="1">
        <f t="array" ref="D24">IF(INDEX(D:D,$K$68+4+ROWS($C$18:D24))="","",INDEX(D:D,$K$68+4+ROWS($C$18:D24)))</f>
        <v>Started</v>
      </c>
      <c r="E24" s="395" t="str" cm="1">
        <f t="array" ref="E24">IF(INDEX(E:E,$K$68+4+ROWS($C$18:E24))="","",INDEX(E:E,$K$68+4+ROWS($C$18:E24)))</f>
        <v>LWB</v>
      </c>
      <c r="F24" s="396" t="str" cm="1">
        <f t="array" ref="F24">IF(INDEX(F:F,$K$68+4+ROWS($C$18:F24))="","",INDEX(F:F,$K$68+4+ROWS($C$18:F24)))</f>
        <v>LB</v>
      </c>
      <c r="G24" s="382" t="str" cm="1">
        <f t="array" ref="G24">IF(INDEX(G:G,$K$68+4+ROWS($C$18:G24))="","",INDEX(G:G,$K$68+4+ROWS($C$18:G24)))</f>
        <v/>
      </c>
      <c r="H24" s="396" t="str" cm="1">
        <f t="array" ref="H24">IF(INDEX(H:H,$K$68+4+ROWS($C$18:H24))="","",INDEX(H:H,$K$68+4+ROWS($C$18:H24)))</f>
        <v/>
      </c>
      <c r="I24" s="405" cm="1">
        <f t="array" ref="I24">IF(INDEX(I:I,$K$68+4+ROWS($C$18:I24))="","",INDEX(I:I,$K$68+4+ROWS($C$18:I24)))</f>
        <v>8</v>
      </c>
      <c r="J24" s="416" t="str">
        <f t="shared" si="0"/>
        <v>Excellent</v>
      </c>
      <c r="K24" s="417" t="str">
        <f t="shared" si="1"/>
        <v/>
      </c>
      <c r="AF24" s="365" t="s">
        <v>511</v>
      </c>
    </row>
    <row r="25" spans="1:32" x14ac:dyDescent="0.45">
      <c r="A25" s="269"/>
      <c r="B25" s="277">
        <v>8</v>
      </c>
      <c r="C25" s="402" t="str" cm="1">
        <f t="array" ref="C25">IF(INDEX(C:C,$K$68+4+ROWS($C$18:C25))="","",INDEX(C:C,$K$68+4+ROWS($C$18:C25)))</f>
        <v>Naomi Adewoyin</v>
      </c>
      <c r="D25" s="397" t="str" cm="1">
        <f t="array" ref="D25">IF(INDEX(D:D,$K$68+4+ROWS($C$18:D25))="","",INDEX(D:D,$K$68+4+ROWS($C$18:D25)))</f>
        <v>Started</v>
      </c>
      <c r="E25" s="398" t="str" cm="1">
        <f t="array" ref="E25">IF(INDEX(E:E,$K$68+4+ROWS($C$18:E25))="","",INDEX(E:E,$K$68+4+ROWS($C$18:E25)))</f>
        <v>ACM</v>
      </c>
      <c r="F25" s="399" t="str" cm="1">
        <f t="array" ref="F25">IF(INDEX(F:F,$K$68+4+ROWS($C$18:F25))="","",INDEX(F:F,$K$68+4+ROWS($C$18:F25)))</f>
        <v>CM</v>
      </c>
      <c r="G25" s="400" cm="1">
        <f t="array" ref="G25">IF(INDEX(G:G,$K$68+4+ROWS($C$18:G25))="","",INDEX(G:G,$K$68+4+ROWS($C$18:G25)))</f>
        <v>1</v>
      </c>
      <c r="H25" s="396" t="str" cm="1">
        <f t="array" ref="H25">IF(INDEX(H:H,$K$68+4+ROWS($C$18:H25))="","",INDEX(H:H,$K$68+4+ROWS($C$18:H25)))</f>
        <v/>
      </c>
      <c r="I25" s="405" cm="1">
        <f t="array" ref="I25">IF(INDEX(I:I,$K$68+4+ROWS($C$18:I25))="","",INDEX(I:I,$K$68+4+ROWS($C$18:I25)))</f>
        <v>7.5</v>
      </c>
      <c r="J25" s="416" t="str">
        <f t="shared" si="0"/>
        <v>Good</v>
      </c>
      <c r="K25" s="417" t="str">
        <f t="shared" si="1"/>
        <v/>
      </c>
      <c r="AF25" s="365" t="s">
        <v>274</v>
      </c>
    </row>
    <row r="26" spans="1:32" x14ac:dyDescent="0.45">
      <c r="A26" s="269"/>
      <c r="B26" s="275">
        <v>9</v>
      </c>
      <c r="C26" s="401" t="str" cm="1">
        <f t="array" ref="C26">IF(INDEX(C:C,$K$68+4+ROWS($C$18:C26))="","",INDEX(C:C,$K$68+4+ROWS($C$18:C26)))</f>
        <v>Zara Freeman</v>
      </c>
      <c r="D26" s="394" t="str" cm="1">
        <f t="array" ref="D26">IF(INDEX(D:D,$K$68+4+ROWS($C$18:D26))="","",INDEX(D:D,$K$68+4+ROWS($C$18:D26)))</f>
        <v>Started</v>
      </c>
      <c r="E26" s="395" t="str" cm="1">
        <f t="array" ref="E26">IF(INDEX(E:E,$K$68+4+ROWS($C$18:E26))="","",INDEX(E:E,$K$68+4+ROWS($C$18:E26)))</f>
        <v>Striker</v>
      </c>
      <c r="F26" s="396" t="str" cm="1">
        <f t="array" ref="F26">IF(INDEX(F:F,$K$68+4+ROWS($C$18:F26))="","",INDEX(F:F,$K$68+4+ROWS($C$18:F26)))</f>
        <v/>
      </c>
      <c r="G26" s="382" cm="1">
        <f t="array" ref="G26">IF(INDEX(G:G,$K$68+4+ROWS($C$18:G26))="","",INDEX(G:G,$K$68+4+ROWS($C$18:G26)))</f>
        <v>1</v>
      </c>
      <c r="H26" s="396" t="str" cm="1">
        <f t="array" ref="H26">IF(INDEX(H:H,$K$68+4+ROWS($C$18:H26))="","",INDEX(H:H,$K$68+4+ROWS($C$18:H26)))</f>
        <v/>
      </c>
      <c r="I26" s="405" cm="1">
        <f t="array" ref="I26">IF(INDEX(I:I,$K$68+4+ROWS($C$18:I26))="","",INDEX(I:I,$K$68+4+ROWS($C$18:I26)))</f>
        <v>8.5</v>
      </c>
      <c r="J26" s="416" t="str">
        <f t="shared" si="0"/>
        <v>Excellent</v>
      </c>
      <c r="K26" s="417" t="str">
        <f t="shared" si="1"/>
        <v/>
      </c>
      <c r="AF26" s="365" t="s">
        <v>276</v>
      </c>
    </row>
    <row r="27" spans="1:32" x14ac:dyDescent="0.45">
      <c r="A27" s="269"/>
      <c r="B27" s="277">
        <v>10</v>
      </c>
      <c r="C27" s="402" t="str" cm="1">
        <f t="array" ref="C27">IF(INDEX(C:C,$K$68+4+ROWS($C$18:C27))="","",INDEX(C:C,$K$68+4+ROWS($C$18:C27)))</f>
        <v>Roisin Offenhausen</v>
      </c>
      <c r="D27" s="397" t="str" cm="1">
        <f t="array" ref="D27">IF(INDEX(D:D,$K$68+4+ROWS($C$18:D27))="","",INDEX(D:D,$K$68+4+ROWS($C$18:D27)))</f>
        <v>Started</v>
      </c>
      <c r="E27" s="398" t="str" cm="1">
        <f t="array" ref="E27">IF(INDEX(E:E,$K$68+4+ROWS($C$18:E27))="","",INDEX(E:E,$K$68+4+ROWS($C$18:E27)))</f>
        <v>Shadow Striker</v>
      </c>
      <c r="F27" s="399" t="str" cm="1">
        <f t="array" ref="F27">IF(INDEX(F:F,$K$68+4+ROWS($C$18:F27))="","",INDEX(F:F,$K$68+4+ROWS($C$18:F27)))</f>
        <v/>
      </c>
      <c r="G27" s="400" cm="1">
        <f t="array" ref="G27">IF(INDEX(G:G,$K$68+4+ROWS($C$18:G27))="","",INDEX(G:G,$K$68+4+ROWS($C$18:G27)))</f>
        <v>3</v>
      </c>
      <c r="H27" s="396" t="str" cm="1">
        <f t="array" ref="H27">IF(INDEX(H:H,$K$68+4+ROWS($C$18:H27))="","",INDEX(H:H,$K$68+4+ROWS($C$18:H27)))</f>
        <v/>
      </c>
      <c r="I27" s="405" cm="1">
        <f t="array" ref="I27">IF(INDEX(I:I,$K$68+4+ROWS($C$18:I27))="","",INDEX(I:I,$K$68+4+ROWS($C$18:I27)))</f>
        <v>10</v>
      </c>
      <c r="J27" s="416" t="str">
        <f t="shared" si="0"/>
        <v>Outstanding</v>
      </c>
      <c r="K27" s="417" t="str">
        <f t="shared" si="1"/>
        <v>★ MOTM</v>
      </c>
      <c r="AF27" s="365" t="s">
        <v>488</v>
      </c>
    </row>
    <row r="28" spans="1:32" x14ac:dyDescent="0.45">
      <c r="A28" s="269"/>
      <c r="B28" s="275">
        <v>11</v>
      </c>
      <c r="C28" s="401" t="str" cm="1">
        <f t="array" ref="C28">IF(INDEX(C:C,$K$68+4+ROWS($C$18:C28))="","",INDEX(C:C,$K$68+4+ROWS($C$18:C28)))</f>
        <v>Rama Abuowda</v>
      </c>
      <c r="D28" s="394" t="str" cm="1">
        <f t="array" ref="D28">IF(INDEX(D:D,$K$68+4+ROWS($C$18:D28))="","",INDEX(D:D,$K$68+4+ROWS($C$18:D28)))</f>
        <v>Started</v>
      </c>
      <c r="E28" s="395" t="str" cm="1">
        <f t="array" ref="E28">IF(INDEX(E:E,$K$68+4+ROWS($C$18:E28))="","",INDEX(E:E,$K$68+4+ROWS($C$18:E28)))</f>
        <v>RWB</v>
      </c>
      <c r="F28" s="396" t="str" cm="1">
        <f t="array" ref="F28">IF(INDEX(F:F,$K$68+4+ROWS($C$18:F28))="","",INDEX(F:F,$K$68+4+ROWS($C$18:F28)))</f>
        <v>LWB</v>
      </c>
      <c r="G28" s="382" t="str" cm="1">
        <f t="array" ref="G28">IF(INDEX(G:G,$K$68+4+ROWS($C$18:G28))="","",INDEX(G:G,$K$68+4+ROWS($C$18:G28)))</f>
        <v/>
      </c>
      <c r="H28" s="396" cm="1">
        <f t="array" ref="H28">IF(INDEX(H:H,$K$68+4+ROWS($C$18:H28))="","",INDEX(H:H,$K$68+4+ROWS($C$18:H28)))</f>
        <v>2</v>
      </c>
      <c r="I28" s="405" cm="1">
        <f t="array" ref="I28">IF(INDEX(I:I,$K$68+4+ROWS($C$18:I28))="","",INDEX(I:I,$K$68+4+ROWS($C$18:I28)))</f>
        <v>8.5</v>
      </c>
      <c r="J28" s="416" t="str">
        <f t="shared" si="0"/>
        <v>Excellent</v>
      </c>
      <c r="K28" s="417" t="str">
        <f t="shared" si="1"/>
        <v/>
      </c>
      <c r="AF28" s="365" t="s">
        <v>280</v>
      </c>
    </row>
    <row r="29" spans="1:32" x14ac:dyDescent="0.45">
      <c r="A29" s="269"/>
      <c r="B29" s="269"/>
      <c r="C29" s="269"/>
      <c r="D29" s="269"/>
      <c r="E29" s="269"/>
      <c r="F29" s="269"/>
      <c r="G29" s="269"/>
      <c r="H29" s="269"/>
      <c r="K29" s="404"/>
      <c r="AF29" s="365" t="s">
        <v>487</v>
      </c>
    </row>
    <row r="30" spans="1:32" x14ac:dyDescent="0.45">
      <c r="A30" s="269"/>
      <c r="B30" s="513" t="s">
        <v>554</v>
      </c>
      <c r="C30" s="513"/>
      <c r="D30" s="513"/>
      <c r="E30" s="513"/>
      <c r="F30" s="513"/>
      <c r="G30" s="513"/>
      <c r="H30" s="513"/>
      <c r="I30" s="513"/>
      <c r="J30" s="513"/>
      <c r="K30" s="514"/>
      <c r="AF30" s="365" t="s">
        <v>278</v>
      </c>
    </row>
    <row r="31" spans="1:32" x14ac:dyDescent="0.45">
      <c r="A31" s="269"/>
      <c r="B31" s="390" t="s">
        <v>153</v>
      </c>
      <c r="C31" s="390" t="s">
        <v>18</v>
      </c>
      <c r="D31" s="390" t="s">
        <v>316</v>
      </c>
      <c r="E31" s="390" t="s">
        <v>217</v>
      </c>
      <c r="F31" s="390" t="s">
        <v>523</v>
      </c>
      <c r="G31" s="390" t="s">
        <v>524</v>
      </c>
      <c r="H31" s="373" t="s">
        <v>525</v>
      </c>
      <c r="I31" s="373" t="s">
        <v>155</v>
      </c>
      <c r="J31" s="373" t="s">
        <v>347</v>
      </c>
      <c r="K31" s="373" t="s">
        <v>156</v>
      </c>
      <c r="AF31" s="365" t="s">
        <v>512</v>
      </c>
    </row>
    <row r="32" spans="1:32" x14ac:dyDescent="0.45">
      <c r="A32" s="269"/>
      <c r="B32" s="37" t="s">
        <v>335</v>
      </c>
      <c r="C32" s="401" t="str" cm="1">
        <f t="array" ref="C32">IF(INDEX(C:C,$K$68+15+ROWS($C$32:C32))="","",INDEX(C:C,$K$68+15+ROWS($C$32:C32)))</f>
        <v>Aoife Kennan</v>
      </c>
      <c r="D32" s="394" t="str" cm="1">
        <f t="array" ref="D32">IF(INDEX(D:D,$K$68+15+ROWS($C$32:D32))="","",INDEX(D:D,$K$68+15+ROWS($C$32:D32)))</f>
        <v>Sub - used</v>
      </c>
      <c r="E32" s="395" t="str" cm="1">
        <f t="array" ref="E32">IF(INDEX(E:E,$K$68+15+ROWS($C$32:E32))="","",INDEX(E:E,$K$68+15+ROWS($C$32:E32)))</f>
        <v>GK</v>
      </c>
      <c r="F32" s="396" t="str" cm="1">
        <f t="array" ref="F32">IF(INDEX(F:F,$K$68+15+ROWS($C$32:F32))="","",INDEX(F:F,$K$68+15+ROWS($C$32:F32)))</f>
        <v/>
      </c>
      <c r="G32" s="382" t="str" cm="1">
        <f t="array" ref="G32">IF(INDEX(G:G,$K$68+15+ROWS($C$32:G32))="","",INDEX(G:G,$K$68+15+ROWS($C$32:G32)))</f>
        <v/>
      </c>
      <c r="H32" s="396" t="str" cm="1">
        <f t="array" ref="H32">IF(INDEX(H:H,$K$68+15+ROWS($C$32:H32))="","",INDEX(H:H,$K$68+15+ROWS($C$32:H32)))</f>
        <v/>
      </c>
      <c r="I32" s="405" cm="1">
        <f t="array" ref="I32">IF(INDEX(I:I,$K$68+15+ROWS($C$32:I32))="","",INDEX(I:I,$K$68+15+ROWS($C$32:I32)))</f>
        <v>6.5</v>
      </c>
      <c r="J32" s="396" t="str">
        <f t="shared" ref="J32:J38" si="2">IF(OR($I32="",$I32=0,$D32="Sub - unused"),"",LOOKUP($I32,$AF$10:$AF$15,$AG$10:$AG$15))</f>
        <v>Solid</v>
      </c>
      <c r="K32" s="396" t="str">
        <f>IF($C32="","",IF($C32=$D$14,"★ MOTM",""))</f>
        <v/>
      </c>
      <c r="AF32" s="365" t="s">
        <v>513</v>
      </c>
    </row>
    <row r="33" spans="1:35" x14ac:dyDescent="0.45">
      <c r="A33" s="269"/>
      <c r="B33" s="222" t="s">
        <v>336</v>
      </c>
      <c r="C33" s="402" t="str" cm="1">
        <f t="array" ref="C33">IF(INDEX(C:C,$K$68+15+ROWS($C$32:C33))="","",INDEX(C:C,$K$68+15+ROWS($C$32:C33)))</f>
        <v>Emma Dromgoole</v>
      </c>
      <c r="D33" s="397" t="str" cm="1">
        <f t="array" ref="D33">IF(INDEX(D:D,$K$68+15+ROWS($C$32:D33))="","",INDEX(D:D,$K$68+15+ROWS($C$32:D33)))</f>
        <v>Sub - used</v>
      </c>
      <c r="E33" s="398" t="str" cm="1">
        <f t="array" ref="E33">IF(INDEX(E:E,$K$68+15+ROWS($C$32:E33))="","",INDEX(E:E,$K$68+15+ROWS($C$32:E33)))</f>
        <v>RWB</v>
      </c>
      <c r="F33" s="399" t="str" cm="1">
        <f t="array" ref="F33">IF(INDEX(F:F,$K$68+15+ROWS($C$32:F33))="","",INDEX(F:F,$K$68+15+ROWS($C$32:F33)))</f>
        <v/>
      </c>
      <c r="G33" s="400" t="str" cm="1">
        <f t="array" ref="G33">IF(INDEX(G:G,$K$68+15+ROWS($C$32:G33))="","",INDEX(G:G,$K$68+15+ROWS($C$32:G33)))</f>
        <v/>
      </c>
      <c r="H33" s="396" t="str" cm="1">
        <f t="array" ref="H33">IF(INDEX(H:H,$K$68+15+ROWS($C$32:H33))="","",INDEX(H:H,$K$68+15+ROWS($C$32:H33)))</f>
        <v/>
      </c>
      <c r="I33" s="405" cm="1">
        <f t="array" ref="I33">IF(INDEX(I:I,$K$68+15+ROWS($C$32:I33))="","",INDEX(I:I,$K$68+15+ROWS($C$32:I33)))</f>
        <v>6.5</v>
      </c>
      <c r="J33" s="396" t="str">
        <f t="shared" si="2"/>
        <v>Solid</v>
      </c>
      <c r="K33" s="396" t="str">
        <f t="shared" ref="K33:K38" si="3">IF($C33="","",IF($C33=$D$14,"★ MOTM",""))</f>
        <v/>
      </c>
      <c r="AF33" s="365" t="s">
        <v>514</v>
      </c>
    </row>
    <row r="34" spans="1:35" x14ac:dyDescent="0.45">
      <c r="A34" s="269"/>
      <c r="B34" s="37" t="s">
        <v>337</v>
      </c>
      <c r="C34" s="401" t="str" cm="1">
        <f t="array" ref="C34">IF(INDEX(C:C,$K$68+15+ROWS($C$32:C34))="","",INDEX(C:C,$K$68+15+ROWS($C$32:C34)))</f>
        <v>Roma Memon</v>
      </c>
      <c r="D34" s="394" t="str" cm="1">
        <f t="array" ref="D34">IF(INDEX(D:D,$K$68+15+ROWS($C$32:D34))="","",INDEX(D:D,$K$68+15+ROWS($C$32:D34)))</f>
        <v>Sub - used</v>
      </c>
      <c r="E34" s="395" t="str" cm="1">
        <f t="array" ref="E34">IF(INDEX(E:E,$K$68+15+ROWS($C$32:E34))="","",INDEX(E:E,$K$68+15+ROWS($C$32:E34)))</f>
        <v>CM</v>
      </c>
      <c r="F34" s="396" t="str" cm="1">
        <f t="array" ref="F34">IF(INDEX(F:F,$K$68+15+ROWS($C$32:F34))="","",INDEX(F:F,$K$68+15+ROWS($C$32:F34)))</f>
        <v/>
      </c>
      <c r="G34" s="382" t="str" cm="1">
        <f t="array" ref="G34">IF(INDEX(G:G,$K$68+15+ROWS($C$32:G34))="","",INDEX(G:G,$K$68+15+ROWS($C$32:G34)))</f>
        <v/>
      </c>
      <c r="H34" s="396" t="str" cm="1">
        <f t="array" ref="H34">IF(INDEX(H:H,$K$68+15+ROWS($C$32:H34))="","",INDEX(H:H,$K$68+15+ROWS($C$32:H34)))</f>
        <v/>
      </c>
      <c r="I34" s="405" cm="1">
        <f t="array" ref="I34">IF(INDEX(I:I,$K$68+15+ROWS($C$32:I34))="","",INDEX(I:I,$K$68+15+ROWS($C$32:I34)))</f>
        <v>6.5</v>
      </c>
      <c r="J34" s="396" t="str">
        <f t="shared" si="2"/>
        <v>Solid</v>
      </c>
      <c r="K34" s="396" t="str">
        <f t="shared" si="3"/>
        <v/>
      </c>
      <c r="AF34" s="365" t="s">
        <v>283</v>
      </c>
    </row>
    <row r="35" spans="1:35" x14ac:dyDescent="0.45">
      <c r="A35" s="269"/>
      <c r="B35" s="222" t="s">
        <v>338</v>
      </c>
      <c r="C35" s="402" t="str" cm="1">
        <f t="array" ref="C35">IF(INDEX(C:C,$K$68+15+ROWS($C$32:C35))="","",INDEX(C:C,$K$68+15+ROWS($C$32:C35)))</f>
        <v>Shauna Kavanagh</v>
      </c>
      <c r="D35" s="397" t="str" cm="1">
        <f t="array" ref="D35">IF(INDEX(D:D,$K$68+15+ROWS($C$32:D35))="","",INDEX(D:D,$K$68+15+ROWS($C$32:D35)))</f>
        <v>Sub - used</v>
      </c>
      <c r="E35" s="398" t="str" cm="1">
        <f t="array" ref="E35">IF(INDEX(E:E,$K$68+15+ROWS($C$32:E35))="","",INDEX(E:E,$K$68+15+ROWS($C$32:E35)))</f>
        <v>Shadow Striker</v>
      </c>
      <c r="F35" s="399" t="str" cm="1">
        <f t="array" ref="F35">IF(INDEX(F:F,$K$68+15+ROWS($C$32:F35))="","",INDEX(F:F,$K$68+15+ROWS($C$32:F35)))</f>
        <v/>
      </c>
      <c r="G35" s="400" cm="1">
        <f t="array" ref="G35">IF(INDEX(G:G,$K$68+15+ROWS($C$32:G35))="","",INDEX(G:G,$K$68+15+ROWS($C$32:G35)))</f>
        <v>1</v>
      </c>
      <c r="H35" s="396" t="str" cm="1">
        <f t="array" ref="H35">IF(INDEX(H:H,$K$68+15+ROWS($C$32:H35))="","",INDEX(H:H,$K$68+15+ROWS($C$32:H35)))</f>
        <v/>
      </c>
      <c r="I35" s="405" cm="1">
        <f t="array" ref="I35">IF(INDEX(I:I,$K$68+15+ROWS($C$32:I35))="","",INDEX(I:I,$K$68+15+ROWS($C$32:I35)))</f>
        <v>7.5</v>
      </c>
      <c r="J35" s="396" t="str">
        <f t="shared" si="2"/>
        <v>Good</v>
      </c>
      <c r="K35" s="396" t="str">
        <f t="shared" si="3"/>
        <v/>
      </c>
      <c r="AF35" s="362"/>
    </row>
    <row r="36" spans="1:35" x14ac:dyDescent="0.45">
      <c r="A36" s="269"/>
      <c r="B36" s="37" t="s">
        <v>339</v>
      </c>
      <c r="C36" s="401" t="str" cm="1">
        <f t="array" ref="C36">IF(INDEX(C:C,$K$68+15+ROWS($C$32:C36))="","",INDEX(C:C,$K$68+15+ROWS($C$32:C36)))</f>
        <v>Amber Kilalee</v>
      </c>
      <c r="D36" s="394" t="str" cm="1">
        <f t="array" ref="D36">IF(INDEX(D:D,$K$68+15+ROWS($C$32:D36))="","",INDEX(D:D,$K$68+15+ROWS($C$32:D36)))</f>
        <v>Sub - used</v>
      </c>
      <c r="E36" s="395" t="str" cm="1">
        <f t="array" ref="E36">IF(INDEX(E:E,$K$68+15+ROWS($C$32:E36))="","",INDEX(E:E,$K$68+15+ROWS($C$32:E36)))</f>
        <v>ACM</v>
      </c>
      <c r="F36" s="396" t="str" cm="1">
        <f t="array" ref="F36">IF(INDEX(F:F,$K$68+15+ROWS($C$32:F36))="","",INDEX(F:F,$K$68+15+ROWS($C$32:F36)))</f>
        <v>LW</v>
      </c>
      <c r="G36" s="382" t="str" cm="1">
        <f t="array" ref="G36">IF(INDEX(G:G,$K$68+15+ROWS($C$32:G36))="","",INDEX(G:G,$K$68+15+ROWS($C$32:G36)))</f>
        <v/>
      </c>
      <c r="H36" s="396" cm="1">
        <f t="array" ref="H36">IF(INDEX(H:H,$K$68+15+ROWS($C$32:H36))="","",INDEX(H:H,$K$68+15+ROWS($C$32:H36)))</f>
        <v>2</v>
      </c>
      <c r="I36" s="405" cm="1">
        <f t="array" ref="I36">IF(INDEX(I:I,$K$68+15+ROWS($C$32:I36))="","",INDEX(I:I,$K$68+15+ROWS($C$32:I36)))</f>
        <v>7.5</v>
      </c>
      <c r="J36" s="396" t="str">
        <f t="shared" si="2"/>
        <v>Good</v>
      </c>
      <c r="K36" s="396" t="str">
        <f t="shared" si="3"/>
        <v/>
      </c>
      <c r="AF36" s="363" t="s">
        <v>316</v>
      </c>
    </row>
    <row r="37" spans="1:35" x14ac:dyDescent="0.45">
      <c r="A37" s="269"/>
      <c r="B37" s="222" t="s">
        <v>340</v>
      </c>
      <c r="C37" s="402" t="str" cm="1">
        <f t="array" ref="C37">IF(INDEX(C:C,$K$68+15+ROWS($C$32:C37))="","",INDEX(C:C,$K$68+15+ROWS($C$32:C37)))</f>
        <v/>
      </c>
      <c r="D37" s="397" t="str" cm="1">
        <f t="array" ref="D37">IF(INDEX(D:D,$K$68+15+ROWS($C$32:D37))="","",INDEX(D:D,$K$68+15+ROWS($C$32:D37)))</f>
        <v>Sub - unused</v>
      </c>
      <c r="E37" s="398" t="str" cm="1">
        <f t="array" ref="E37">IF(INDEX(E:E,$K$68+15+ROWS($C$32:E37))="","",INDEX(E:E,$K$68+15+ROWS($C$32:E37)))</f>
        <v/>
      </c>
      <c r="F37" s="399" t="str" cm="1">
        <f t="array" ref="F37">IF(INDEX(F:F,$K$68+15+ROWS($C$32:F37))="","",INDEX(F:F,$K$68+15+ROWS($C$32:F37)))</f>
        <v/>
      </c>
      <c r="G37" s="400" t="str" cm="1">
        <f t="array" ref="G37">IF(INDEX(G:G,$K$68+15+ROWS($C$32:G37))="","",INDEX(G:G,$K$68+15+ROWS($C$32:G37)))</f>
        <v/>
      </c>
      <c r="H37" s="396" t="str" cm="1">
        <f t="array" ref="H37">IF(INDEX(H:H,$K$68+15+ROWS($C$32:H37))="","",INDEX(H:H,$K$68+15+ROWS($C$32:H37)))</f>
        <v/>
      </c>
      <c r="I37" s="405" t="str" cm="1">
        <f t="array" ref="I37">IF(INDEX(I:I,$K$68+15+ROWS($C$32:I37))="","",INDEX(I:I,$K$68+15+ROWS($C$32:I37)))</f>
        <v/>
      </c>
      <c r="J37" s="396" t="str">
        <f t="shared" si="2"/>
        <v/>
      </c>
      <c r="K37" s="396" t="str">
        <f t="shared" si="3"/>
        <v/>
      </c>
      <c r="AF37" s="365" t="s">
        <v>515</v>
      </c>
    </row>
    <row r="38" spans="1:35" x14ac:dyDescent="0.45">
      <c r="A38" s="269"/>
      <c r="B38" s="37" t="s">
        <v>341</v>
      </c>
      <c r="C38" s="401" t="str" cm="1">
        <f t="array" ref="C38">IF(INDEX(C:C,$K$68+15+ROWS($C$32:C38))="","",INDEX(C:C,$K$68+15+ROWS($C$32:C38)))</f>
        <v/>
      </c>
      <c r="D38" s="394" t="str" cm="1">
        <f t="array" ref="D38">IF(INDEX(D:D,$K$68+15+ROWS($C$32:D38))="","",INDEX(D:D,$K$68+15+ROWS($C$32:D38)))</f>
        <v>Sub - unused</v>
      </c>
      <c r="E38" s="395" t="str" cm="1">
        <f t="array" ref="E38">IF(INDEX(E:E,$K$68+15+ROWS($C$32:E38))="","",INDEX(E:E,$K$68+15+ROWS($C$32:E38)))</f>
        <v/>
      </c>
      <c r="F38" s="396" t="str" cm="1">
        <f t="array" ref="F38">IF(INDEX(F:F,$K$68+15+ROWS($C$32:F38))="","",INDEX(F:F,$K$68+15+ROWS($C$32:F38)))</f>
        <v/>
      </c>
      <c r="G38" s="382" t="str" cm="1">
        <f t="array" ref="G38">IF(INDEX(G:G,$K$68+15+ROWS($C$32:G38))="","",INDEX(G:G,$K$68+15+ROWS($C$32:G38)))</f>
        <v/>
      </c>
      <c r="H38" s="396" t="str" cm="1">
        <f t="array" ref="H38">IF(INDEX(H:H,$K$68+15+ROWS($C$32:H38))="","",INDEX(H:H,$K$68+15+ROWS($C$32:H38)))</f>
        <v/>
      </c>
      <c r="I38" s="405" t="str" cm="1">
        <f t="array" ref="I38">IF(INDEX(I:I,$K$68+15+ROWS($C$32:I38))="","",INDEX(I:I,$K$68+15+ROWS($C$32:I38)))</f>
        <v/>
      </c>
      <c r="J38" s="396" t="str">
        <f t="shared" si="2"/>
        <v/>
      </c>
      <c r="K38" s="396" t="str">
        <f t="shared" si="3"/>
        <v/>
      </c>
      <c r="AF38" s="365" t="s">
        <v>516</v>
      </c>
    </row>
    <row r="39" spans="1:35" x14ac:dyDescent="0.45">
      <c r="A39" s="269"/>
      <c r="B39" s="269"/>
      <c r="C39" s="269"/>
      <c r="D39" s="269"/>
      <c r="E39" s="269"/>
      <c r="F39" s="269"/>
      <c r="G39" s="269"/>
      <c r="H39" s="269"/>
      <c r="AF39" s="365" t="s">
        <v>517</v>
      </c>
    </row>
    <row r="40" spans="1:35" x14ac:dyDescent="0.45">
      <c r="A40" s="269"/>
      <c r="B40" s="513" t="s">
        <v>556</v>
      </c>
      <c r="C40" s="513"/>
      <c r="D40" s="513"/>
      <c r="E40" s="513"/>
      <c r="F40" s="513"/>
      <c r="G40" s="513"/>
      <c r="H40" s="513"/>
      <c r="I40" s="513"/>
      <c r="J40" s="513"/>
      <c r="K40" s="513"/>
      <c r="AF40" s="362"/>
    </row>
    <row r="41" spans="1:35" x14ac:dyDescent="0.45">
      <c r="A41" s="269"/>
      <c r="B41" s="390" t="s">
        <v>153</v>
      </c>
      <c r="C41" s="390" t="s">
        <v>18</v>
      </c>
      <c r="D41" s="390" t="s">
        <v>557</v>
      </c>
      <c r="E41" s="390" t="s">
        <v>41</v>
      </c>
      <c r="F41" s="390" t="s">
        <v>154</v>
      </c>
      <c r="G41" s="390" t="s">
        <v>155</v>
      </c>
      <c r="H41" s="390" t="s">
        <v>347</v>
      </c>
      <c r="I41" s="390" t="s">
        <v>558</v>
      </c>
      <c r="J41" s="390" t="s">
        <v>524</v>
      </c>
      <c r="K41" s="390" t="s">
        <v>525</v>
      </c>
      <c r="AF41" s="363" t="s">
        <v>344</v>
      </c>
      <c r="AI41" s="406" t="s">
        <v>555</v>
      </c>
    </row>
    <row r="42" spans="1:35" x14ac:dyDescent="0.45">
      <c r="A42" s="269"/>
      <c r="B42" s="216">
        <f>IF($C42="","",ROWS($B$42:B42))</f>
        <v>1</v>
      </c>
      <c r="C42" s="229" t="str">
        <f>IF(Attendance!$D5="","",Attendance!$D5)</f>
        <v>Aoife Kennan</v>
      </c>
      <c r="D42" s="279" t="str">
        <f>IF($C42="","",'Player Grading'!$D6)</f>
        <v>GK</v>
      </c>
      <c r="E42" s="279" t="str">
        <f t="array" ref="E42">IFERROR(IF(OR($C42="",INDEX(Attendance!$CP5:$FY5,1,($B$6-1)*4+1)=""),"",INDEX(Attendance!$CP5:$FY5,1,($B$6-1)*4+1)),"")</f>
        <v/>
      </c>
      <c r="F42" s="276" t="str">
        <f t="array" ref="F42">IFERROR(IF(OR($C42="",INDEX(Attendance!$CP5:$FY5,1,($B$6-1)*4+2)=""),"",INDEX(Attendance!$CP5:$FY5,1,($B$6-1)*4+2)),"")</f>
        <v/>
      </c>
      <c r="G42" s="408" cm="1">
        <f t="array" ref="G42">IF($AI42="","",IF(INDEX($I:$I,$AI42)="","",INDEX($I:$I,$AI42)))</f>
        <v>6.5</v>
      </c>
      <c r="H42" s="396" t="str">
        <f t="shared" ref="H42:H61" si="4">IF(OR($G42="",$G42=0),"",LOOKUP($G42,$AF$10:$AF$15,$AG$10:$AG$15))</f>
        <v>Solid</v>
      </c>
      <c r="I42" s="396" t="str" cm="1">
        <f t="array" ref="I42">IF($AI42="","",INDEX($E:$E,$AI42)&amp;IF(INDEX($F:$F,$AI42)="",""," / "&amp;INDEX($F:$F,$AI42)))</f>
        <v>GK</v>
      </c>
      <c r="J42" s="396" t="str" cm="1">
        <f t="array" ref="J42">IF($AI42="","",IF(INDEX($G:$G,$AI42)="","",INDEX($G:$G,$AI42)))</f>
        <v/>
      </c>
      <c r="K42" s="416" t="str" cm="1">
        <f t="array" ref="K42">IF($AI42="","",IF(INDEX($H:$H,$AI42)="","",INDEX($H:$H,$AI42)))</f>
        <v/>
      </c>
      <c r="AF42" s="365" t="s">
        <v>518</v>
      </c>
      <c r="AI42" s="407">
        <f>IF($C42="","",IFERROR(MATCH($C42,INDEX($C:$C,$K$68+5):INDEX($C:$C,$K$68+22),0)+$K$68+4,""))</f>
        <v>96</v>
      </c>
    </row>
    <row r="43" spans="1:35" x14ac:dyDescent="0.45">
      <c r="A43" s="269"/>
      <c r="B43" s="220">
        <f>IF($C43="","",ROWS($B$42:B43))</f>
        <v>2</v>
      </c>
      <c r="C43" s="233" t="str">
        <f>IF(Attendance!$D6="","",Attendance!$D6)</f>
        <v>Stella McEvoy</v>
      </c>
      <c r="D43" s="280" t="str">
        <f>IF($C43="","",'Player Grading'!$D7)</f>
        <v>LB / RB / CB</v>
      </c>
      <c r="E43" s="280" t="str">
        <f t="array" ref="E43">IFERROR(IF(OR($C43="",INDEX(Attendance!$CP6:$FY6,1,($B$6-1)*4+1)=""),"",INDEX(Attendance!$CP6:$FY6,1,($B$6-1)*4+1)),"")</f>
        <v/>
      </c>
      <c r="F43" s="278" t="str">
        <f t="array" ref="F43">IFERROR(IF(OR($C43="",INDEX(Attendance!$CP6:$FY6,1,($B$6-1)*4+2)=""),"",INDEX(Attendance!$CP6:$FY6,1,($B$6-1)*4+2)),"")</f>
        <v/>
      </c>
      <c r="G43" s="409" cm="1">
        <f t="array" ref="G43">IF($AI43="","",IF(INDEX($I:$I,$AI43)="","",INDEX($I:$I,$AI43)))</f>
        <v>7.5</v>
      </c>
      <c r="H43" s="399" t="str">
        <f t="shared" si="4"/>
        <v>Good</v>
      </c>
      <c r="I43" s="396" t="str" cm="1">
        <f t="array" ref="I43">IF($AI43="","",INDEX($E:$E,$AI43)&amp;IF(INDEX($F:$F,$AI43)="",""," / "&amp;INDEX($F:$F,$AI43)))</f>
        <v>LCB / CB</v>
      </c>
      <c r="J43" s="396" t="str" cm="1">
        <f t="array" ref="J43">IF($AI43="","",IF(INDEX($G:$G,$AI43)="","",INDEX($G:$G,$AI43)))</f>
        <v/>
      </c>
      <c r="K43" s="416" t="str" cm="1">
        <f t="array" ref="K43">IF($AI43="","",IF(INDEX($H:$H,$AI43)="","",INDEX($H:$H,$AI43)))</f>
        <v/>
      </c>
      <c r="R43" s="281" t="s">
        <v>349</v>
      </c>
      <c r="V43" s="459" t="s">
        <v>570</v>
      </c>
      <c r="W43" s="459"/>
      <c r="X43" s="459"/>
      <c r="Y43" s="459"/>
      <c r="Z43" s="459"/>
      <c r="AA43" s="459"/>
      <c r="AB43" s="459"/>
      <c r="AF43" s="365" t="s">
        <v>502</v>
      </c>
      <c r="AI43" s="407">
        <f>IF($C43="","",IFERROR(MATCH($C43,INDEX($C:$C,$K$68+5):INDEX($C:$C,$K$68+22),0)+$K$68+4,""))</f>
        <v>86</v>
      </c>
    </row>
    <row r="44" spans="1:35" x14ac:dyDescent="0.45">
      <c r="A44" s="269"/>
      <c r="B44" s="216">
        <f>IF($C44="","",ROWS($B$42:B44))</f>
        <v>3</v>
      </c>
      <c r="C44" s="229" t="str">
        <f>IF(Attendance!$D7="","",Attendance!$D7)</f>
        <v>Zara Power</v>
      </c>
      <c r="D44" s="279" t="str">
        <f>IF($C44="","",'Player Grading'!$D8)</f>
        <v>RB</v>
      </c>
      <c r="E44" s="279" t="str">
        <f t="array" ref="E44">IFERROR(IF(OR($C44="",INDEX(Attendance!$CP7:$FY7,1,($B$6-1)*4+1)=""),"",INDEX(Attendance!$CP7:$FY7,1,($B$6-1)*4+1)),"")</f>
        <v/>
      </c>
      <c r="F44" s="276" t="str">
        <f t="array" ref="F44">IFERROR(IF(OR($C44="",INDEX(Attendance!$CP7:$FY7,1,($B$6-1)*4+2)=""),"",INDEX(Attendance!$CP7:$FY7,1,($B$6-1)*4+2)),"")</f>
        <v/>
      </c>
      <c r="G44" s="408" t="str" cm="1">
        <f t="array" ref="G44">IF($AI44="","",IF(INDEX($I:$I,$AI44)="","",INDEX($I:$I,$AI44)))</f>
        <v/>
      </c>
      <c r="H44" s="396" t="str">
        <f t="shared" si="4"/>
        <v/>
      </c>
      <c r="I44" s="396" t="str" cm="1">
        <f t="array" ref="I44">IF($AI44="","",INDEX($E:$E,$AI44)&amp;IF(INDEX($F:$F,$AI44)="",""," / "&amp;INDEX($F:$F,$AI44)))</f>
        <v/>
      </c>
      <c r="J44" s="396" t="str" cm="1">
        <f t="array" ref="J44">IF($AI44="","",IF(INDEX($G:$G,$AI44)="","",INDEX($G:$G,$AI44)))</f>
        <v/>
      </c>
      <c r="K44" s="416" t="str" cm="1">
        <f t="array" ref="K44">IF($AI44="","",IF(INDEX($H:$H,$AI44)="","",INDEX($H:$H,$AI44)))</f>
        <v/>
      </c>
      <c r="R44" s="271" t="s">
        <v>350</v>
      </c>
      <c r="V44" s="390" t="s">
        <v>334</v>
      </c>
      <c r="W44" s="390" t="s">
        <v>301</v>
      </c>
      <c r="X44" s="390" t="s">
        <v>299</v>
      </c>
      <c r="Y44" s="390" t="s">
        <v>344</v>
      </c>
      <c r="Z44" s="390" t="s">
        <v>302</v>
      </c>
      <c r="AA44" s="390" t="s">
        <v>303</v>
      </c>
      <c r="AB44" s="390" t="s">
        <v>304</v>
      </c>
      <c r="AI44" s="407" t="str">
        <f>IF($C44="","",IFERROR(MATCH($C44,INDEX($C:$C,$K$68+5):INDEX($C:$C,$K$68+22),0)+$K$68+4,""))</f>
        <v/>
      </c>
    </row>
    <row r="45" spans="1:35" x14ac:dyDescent="0.45">
      <c r="A45" s="269"/>
      <c r="B45" s="220">
        <f>IF($C45="","",ROWS($B$42:B45))</f>
        <v>4</v>
      </c>
      <c r="C45" s="233" t="str">
        <f>IF(Attendance!$D8="","",Attendance!$D8)</f>
        <v>Heidi Cerubini Dunne</v>
      </c>
      <c r="D45" s="280" t="str">
        <f>IF($C45="","",'Player Grading'!$D9)</f>
        <v>LB / RB</v>
      </c>
      <c r="E45" s="280" t="str">
        <f t="array" ref="E45">IFERROR(IF(OR($C45="",INDEX(Attendance!$CP8:$FY8,1,($B$6-1)*4+1)=""),"",INDEX(Attendance!$CP8:$FY8,1,($B$6-1)*4+1)),"")</f>
        <v/>
      </c>
      <c r="F45" s="278" t="str">
        <f t="array" ref="F45">IFERROR(IF(OR($C45="",INDEX(Attendance!$CP8:$FY8,1,($B$6-1)*4+2)=""),"",INDEX(Attendance!$CP8:$FY8,1,($B$6-1)*4+2)),"")</f>
        <v/>
      </c>
      <c r="G45" s="409" t="str" cm="1">
        <f t="array" ref="G45">IF($AI45="","",IF(INDEX($I:$I,$AI45)="","",INDEX($I:$I,$AI45)))</f>
        <v/>
      </c>
      <c r="H45" s="399" t="str">
        <f t="shared" si="4"/>
        <v/>
      </c>
      <c r="I45" s="396" t="str" cm="1">
        <f t="array" ref="I45">IF($AI45="","",INDEX($E:$E,$AI45)&amp;IF(INDEX($F:$F,$AI45)="",""," / "&amp;INDEX($F:$F,$AI45)))</f>
        <v/>
      </c>
      <c r="J45" s="416" t="str" cm="1">
        <f t="array" ref="J45">IF($AI45="","",IF(INDEX($G:$G,$AI45)="","",INDEX($G:$G,$AI45)))</f>
        <v/>
      </c>
      <c r="K45" s="416" t="str" cm="1">
        <f t="array" ref="K45">IF($AI45="","",IF(INDEX($H:$H,$AI45)="","",INDEX($H:$H,$AI45)))</f>
        <v/>
      </c>
      <c r="R45" s="96" t="s">
        <v>179</v>
      </c>
      <c r="V45" s="390">
        <v>1</v>
      </c>
      <c r="W45" s="418">
        <f>IF(INDEX($B:$B,82)="","",INDEX($B:$B,82))</f>
        <v>46264</v>
      </c>
      <c r="X45" s="401" t="str">
        <f>IF(INDEX($C:$C,82)="","",INDEX($C:$C,82))</f>
        <v>Stamullen FC</v>
      </c>
      <c r="Y45" s="382" t="str">
        <f>IF(INDEX($D:$D,82)="","",INDEX($D:$D,82))</f>
        <v>A</v>
      </c>
      <c r="Z45" s="382">
        <f>IF(INDEX($E:$E,82)="","",INDEX($E:$E,82))</f>
        <v>9</v>
      </c>
      <c r="AA45" s="382">
        <f>IF(INDEX($F:$F,82)="","",INDEX($F:$F,82))</f>
        <v>1</v>
      </c>
      <c r="AB45" s="382" t="str">
        <f>IF(INDEX($G:$G,82)="","",INDEX($G:$G,82))</f>
        <v>Win</v>
      </c>
      <c r="AI45" s="407" t="str">
        <f>IF($C45="","",IFERROR(MATCH($C45,INDEX($C:$C,$K$68+5):INDEX($C:$C,$K$68+22),0)+$K$68+4,""))</f>
        <v/>
      </c>
    </row>
    <row r="46" spans="1:35" x14ac:dyDescent="0.45">
      <c r="A46" s="269"/>
      <c r="B46" s="216">
        <f>IF($C46="","",ROWS($B$42:B46))</f>
        <v>5</v>
      </c>
      <c r="C46" s="229" t="str">
        <f>IF(Attendance!$D9="","",Attendance!$D9)</f>
        <v>Roisin Offenhausen</v>
      </c>
      <c r="D46" s="279" t="str">
        <f>IF($C46="","",'Player Grading'!$D10)</f>
        <v>RW / CM / ST</v>
      </c>
      <c r="E46" s="279" t="str">
        <f t="array" ref="E46">IFERROR(IF(OR($C46="",INDEX(Attendance!$CP9:$FY9,1,($B$6-1)*4+1)=""),"",INDEX(Attendance!$CP9:$FY9,1,($B$6-1)*4+1)),"")</f>
        <v/>
      </c>
      <c r="F46" s="276" t="str">
        <f t="array" ref="F46">IFERROR(IF(OR($C46="",INDEX(Attendance!$CP9:$FY9,1,($B$6-1)*4+2)=""),"",INDEX(Attendance!$CP9:$FY9,1,($B$6-1)*4+2)),"")</f>
        <v/>
      </c>
      <c r="G46" s="408" cm="1">
        <f t="array" ref="G46">IF($AI46="","",IF(INDEX($I:$I,$AI46)="","",INDEX($I:$I,$AI46)))</f>
        <v>10</v>
      </c>
      <c r="H46" s="396" t="str">
        <f t="shared" si="4"/>
        <v>Outstanding</v>
      </c>
      <c r="I46" s="396" t="str" cm="1">
        <f t="array" ref="I46">IF($AI46="","",INDEX($E:$E,$AI46)&amp;IF(INDEX($F:$F,$AI46)="",""," / "&amp;INDEX($F:$F,$AI46)))</f>
        <v>Shadow Striker</v>
      </c>
      <c r="J46" s="416" cm="1">
        <f t="array" ref="J46">IF($AI46="","",IF(INDEX($G:$G,$AI46)="","",INDEX($G:$G,$AI46)))</f>
        <v>3</v>
      </c>
      <c r="K46" s="416" t="str" cm="1">
        <f t="array" ref="K46">IF($AI46="","",IF(INDEX($H:$H,$AI46)="","",INDEX($H:$H,$AI46)))</f>
        <v/>
      </c>
      <c r="R46" s="105" t="s">
        <v>180</v>
      </c>
      <c r="V46" s="390">
        <v>2</v>
      </c>
      <c r="W46" s="418" t="str">
        <f>IF(INDEX($B:$B,109)="","",INDEX($B:$B,109))</f>
        <v/>
      </c>
      <c r="X46" s="401" t="str">
        <f>IF(INDEX($C:$C,109)="","",INDEX($C:$C,109))</f>
        <v/>
      </c>
      <c r="Y46" s="382" t="str">
        <f>IF(INDEX($D:$D,109)="","",INDEX($D:$D,109))</f>
        <v/>
      </c>
      <c r="Z46" s="382" t="str">
        <f>IF(INDEX($E:$E,109)="","",INDEX($E:$E,109))</f>
        <v/>
      </c>
      <c r="AA46" s="382" t="str">
        <f>IF(INDEX($F:$F,109)="","",INDEX($F:$F,109))</f>
        <v/>
      </c>
      <c r="AB46" s="382" t="str">
        <f>IF(INDEX($G:$G,109)="","",INDEX($G:$G,109))</f>
        <v/>
      </c>
      <c r="AI46" s="407">
        <f>IF($C46="","",IFERROR(MATCH($C46,INDEX($C:$C,$K$68+5):INDEX($C:$C,$K$68+22),0)+$K$68+4,""))</f>
        <v>94</v>
      </c>
    </row>
    <row r="47" spans="1:35" x14ac:dyDescent="0.45">
      <c r="A47" s="269"/>
      <c r="B47" s="220">
        <f>IF($C47="","",ROWS($B$42:B47))</f>
        <v>6</v>
      </c>
      <c r="C47" s="233" t="str">
        <f>IF(Attendance!$D10="","",Attendance!$D10)</f>
        <v>Naomi Adewoyin</v>
      </c>
      <c r="D47" s="280" t="str">
        <f>IF($C47="","",'Player Grading'!$D11)</f>
        <v>CM / ACM</v>
      </c>
      <c r="E47" s="280" t="str">
        <f t="array" ref="E47">IFERROR(IF(OR($C47="",INDEX(Attendance!$CP10:$FY10,1,($B$6-1)*4+1)=""),"",INDEX(Attendance!$CP10:$FY10,1,($B$6-1)*4+1)),"")</f>
        <v/>
      </c>
      <c r="F47" s="278" t="str">
        <f t="array" ref="F47">IFERROR(IF(OR($C47="",INDEX(Attendance!$CP10:$FY10,1,($B$6-1)*4+2)=""),"",INDEX(Attendance!$CP10:$FY10,1,($B$6-1)*4+2)),"")</f>
        <v/>
      </c>
      <c r="G47" s="409" cm="1">
        <f t="array" ref="G47">IF($AI47="","",IF(INDEX($I:$I,$AI47)="","",INDEX($I:$I,$AI47)))</f>
        <v>7.5</v>
      </c>
      <c r="H47" s="399" t="str">
        <f t="shared" si="4"/>
        <v>Good</v>
      </c>
      <c r="I47" s="396" t="str" cm="1">
        <f t="array" ref="I47">IF($AI47="","",INDEX($E:$E,$AI47)&amp;IF(INDEX($F:$F,$AI47)="",""," / "&amp;INDEX($F:$F,$AI47)))</f>
        <v>ACM / CM</v>
      </c>
      <c r="J47" s="416" cm="1">
        <f t="array" ref="J47">IF($AI47="","",IF(INDEX($G:$G,$AI47)="","",INDEX($G:$G,$AI47)))</f>
        <v>1</v>
      </c>
      <c r="K47" s="416" t="str" cm="1">
        <f t="array" ref="K47">IF($AI47="","",IF(INDEX($H:$H,$AI47)="","",INDEX($H:$H,$AI47)))</f>
        <v/>
      </c>
      <c r="R47" s="105" t="s">
        <v>181</v>
      </c>
      <c r="V47" s="390">
        <v>3</v>
      </c>
      <c r="W47" s="418" t="str">
        <f>IF(INDEX($B:$B,136)="","",INDEX($B:$B,136))</f>
        <v/>
      </c>
      <c r="X47" s="401" t="str">
        <f>IF(INDEX($C:$C,136)="","",INDEX($C:$C,136))</f>
        <v/>
      </c>
      <c r="Y47" s="382" t="str">
        <f>IF(INDEX($D:$D,136)="","",INDEX($D:$D,136))</f>
        <v/>
      </c>
      <c r="Z47" s="382" t="str">
        <f>IF(INDEX($E:$E,136)="","",INDEX($E:$E,136))</f>
        <v/>
      </c>
      <c r="AA47" s="382" t="str">
        <f>IF(INDEX($F:$F,136)="","",INDEX($F:$F,136))</f>
        <v/>
      </c>
      <c r="AB47" s="382" t="str">
        <f>IF(INDEX($G:$G,136)="","",INDEX($G:$G,136))</f>
        <v/>
      </c>
      <c r="AI47" s="407">
        <f>IF($C47="","",IFERROR(MATCH($C47,INDEX($C:$C,$K$68+5):INDEX($C:$C,$K$68+22),0)+$K$68+4,""))</f>
        <v>92</v>
      </c>
    </row>
    <row r="48" spans="1:35" x14ac:dyDescent="0.45">
      <c r="A48" s="269"/>
      <c r="B48" s="216">
        <f>IF($C48="","",ROWS($B$42:B48))</f>
        <v>7</v>
      </c>
      <c r="C48" s="229" t="str">
        <f>IF(Attendance!$D11="","",Attendance!$D11)</f>
        <v>Amber Kilalee</v>
      </c>
      <c r="D48" s="279" t="str">
        <f>IF($C48="","",'Player Grading'!$D12)</f>
        <v>LW / ST</v>
      </c>
      <c r="E48" s="279" t="str">
        <f t="array" ref="E48">IFERROR(IF(OR($C48="",INDEX(Attendance!$CP11:$FY11,1,($B$6-1)*4+1)=""),"",INDEX(Attendance!$CP11:$FY11,1,($B$6-1)*4+1)),"")</f>
        <v/>
      </c>
      <c r="F48" s="276" t="str">
        <f t="array" ref="F48">IFERROR(IF(OR($C48="",INDEX(Attendance!$CP11:$FY11,1,($B$6-1)*4+2)=""),"",INDEX(Attendance!$CP11:$FY11,1,($B$6-1)*4+2)),"")</f>
        <v/>
      </c>
      <c r="G48" s="408" cm="1">
        <f t="array" ref="G48">IF($AI48="","",IF(INDEX($I:$I,$AI48)="","",INDEX($I:$I,$AI48)))</f>
        <v>7.5</v>
      </c>
      <c r="H48" s="396" t="str">
        <f t="shared" si="4"/>
        <v>Good</v>
      </c>
      <c r="I48" s="396" t="str" cm="1">
        <f t="array" ref="I48">IF($AI48="","",INDEX($E:$E,$AI48)&amp;IF(INDEX($F:$F,$AI48)="",""," / "&amp;INDEX($F:$F,$AI48)))</f>
        <v>ACM / LW</v>
      </c>
      <c r="J48" s="416" t="str" cm="1">
        <f t="array" ref="J48">IF($AI48="","",IF(INDEX($G:$G,$AI48)="","",INDEX($G:$G,$AI48)))</f>
        <v/>
      </c>
      <c r="K48" s="416" cm="1">
        <f t="array" ref="K48">IF($AI48="","",IF(INDEX($H:$H,$AI48)="","",INDEX($H:$H,$AI48)))</f>
        <v>2</v>
      </c>
      <c r="R48" s="105" t="s">
        <v>182</v>
      </c>
      <c r="V48" s="390">
        <v>4</v>
      </c>
      <c r="W48" s="418" t="str">
        <f>IF(INDEX($B:$B,163)="","",INDEX($B:$B,163))</f>
        <v/>
      </c>
      <c r="X48" s="401" t="str">
        <f>IF(INDEX($C:$C,163)="","",INDEX($C:$C,163))</f>
        <v/>
      </c>
      <c r="Y48" s="382" t="str">
        <f>IF(INDEX($D:$D,163)="","",INDEX($D:$D,163))</f>
        <v/>
      </c>
      <c r="Z48" s="382" t="str">
        <f>IF(INDEX($E:$E,163)="","",INDEX($E:$E,163))</f>
        <v/>
      </c>
      <c r="AA48" s="382" t="str">
        <f>IF(INDEX($F:$F,163)="","",INDEX($F:$F,163))</f>
        <v/>
      </c>
      <c r="AB48" s="382" t="str">
        <f>IF(INDEX($G:$G,163)="","",INDEX($G:$G,163))</f>
        <v/>
      </c>
      <c r="AI48" s="407">
        <f>IF($C48="","",IFERROR(MATCH($C48,INDEX($C:$C,$K$68+5):INDEX($C:$C,$K$68+22),0)+$K$68+4,""))</f>
        <v>100</v>
      </c>
    </row>
    <row r="49" spans="1:35" x14ac:dyDescent="0.45">
      <c r="A49" s="269"/>
      <c r="B49" s="220">
        <f>IF($C49="","",ROWS($B$42:B49))</f>
        <v>8</v>
      </c>
      <c r="C49" s="233" t="str">
        <f>IF(Attendance!$D12="","",Attendance!$D12)</f>
        <v>Shauna Kavanagh</v>
      </c>
      <c r="D49" s="280" t="str">
        <f>IF($C49="","",'Player Grading'!$D13)</f>
        <v>ST / RW</v>
      </c>
      <c r="E49" s="280" t="str">
        <f t="array" ref="E49">IFERROR(IF(OR($C49="",INDEX(Attendance!$CP12:$FY12,1,($B$6-1)*4+1)=""),"",INDEX(Attendance!$CP12:$FY12,1,($B$6-1)*4+1)),"")</f>
        <v/>
      </c>
      <c r="F49" s="278" t="str">
        <f t="array" ref="F49">IFERROR(IF(OR($C49="",INDEX(Attendance!$CP12:$FY12,1,($B$6-1)*4+2)=""),"",INDEX(Attendance!$CP12:$FY12,1,($B$6-1)*4+2)),"")</f>
        <v/>
      </c>
      <c r="G49" s="409" cm="1">
        <f t="array" ref="G49">IF($AI49="","",IF(INDEX($I:$I,$AI49)="","",INDEX($I:$I,$AI49)))</f>
        <v>7.5</v>
      </c>
      <c r="H49" s="399" t="str">
        <f t="shared" si="4"/>
        <v>Good</v>
      </c>
      <c r="I49" s="396" t="str" cm="1">
        <f t="array" ref="I49">IF($AI49="","",INDEX($E:$E,$AI49)&amp;IF(INDEX($F:$F,$AI49)="",""," / "&amp;INDEX($F:$F,$AI49)))</f>
        <v>Shadow Striker</v>
      </c>
      <c r="J49" s="416" cm="1">
        <f t="array" ref="J49">IF($AI49="","",IF(INDEX($G:$G,$AI49)="","",INDEX($G:$G,$AI49)))</f>
        <v>1</v>
      </c>
      <c r="K49" s="416" t="str" cm="1">
        <f t="array" ref="K49">IF($AI49="","",IF(INDEX($H:$H,$AI49)="","",INDEX($H:$H,$AI49)))</f>
        <v/>
      </c>
      <c r="R49" s="105" t="s">
        <v>183</v>
      </c>
      <c r="V49" s="390">
        <v>5</v>
      </c>
      <c r="W49" s="418" t="str">
        <f>IF(INDEX($B:$B,190)="","",INDEX($B:$B,190))</f>
        <v/>
      </c>
      <c r="X49" s="401" t="str">
        <f>IF(INDEX($C:$C,190)="","",INDEX($C:$C,190))</f>
        <v/>
      </c>
      <c r="Y49" s="382" t="str">
        <f>IF(INDEX($D:$D,190)="","",INDEX($D:$D,190))</f>
        <v/>
      </c>
      <c r="Z49" s="382" t="str">
        <f>IF(INDEX($E:$E,190)="","",INDEX($E:$E,190))</f>
        <v/>
      </c>
      <c r="AA49" s="382" t="str">
        <f>IF(INDEX($F:$F,190)="","",INDEX($F:$F,190))</f>
        <v/>
      </c>
      <c r="AB49" s="382" t="str">
        <f>IF(INDEX($G:$G,190)="","",INDEX($G:$G,190))</f>
        <v/>
      </c>
      <c r="AI49" s="407">
        <f>IF($C49="","",IFERROR(MATCH($C49,INDEX($C:$C,$K$68+5):INDEX($C:$C,$K$68+22),0)+$K$68+4,""))</f>
        <v>99</v>
      </c>
    </row>
    <row r="50" spans="1:35" x14ac:dyDescent="0.45">
      <c r="A50" s="269"/>
      <c r="B50" s="216">
        <f>IF($C50="","",ROWS($B$42:B50))</f>
        <v>9</v>
      </c>
      <c r="C50" s="229" t="str">
        <f>IF(Attendance!$D13="","",Attendance!$D13)</f>
        <v>Tara Brannigan</v>
      </c>
      <c r="D50" s="279" t="str">
        <f>IF($C50="","",'Player Grading'!$D14)</f>
        <v>DM / CM</v>
      </c>
      <c r="E50" s="279" t="str">
        <f t="array" ref="E50">IFERROR(IF(OR($C50="",INDEX(Attendance!$CP13:$FY13,1,($B$6-1)*4+1)=""),"",INDEX(Attendance!$CP13:$FY13,1,($B$6-1)*4+1)),"")</f>
        <v/>
      </c>
      <c r="F50" s="276" t="str">
        <f t="array" ref="F50">IFERROR(IF(OR($C50="",INDEX(Attendance!$CP13:$FY13,1,($B$6-1)*4+2)=""),"",INDEX(Attendance!$CP13:$FY13,1,($B$6-1)*4+2)),"")</f>
        <v/>
      </c>
      <c r="G50" s="408" cm="1">
        <f t="array" ref="G50">IF($AI50="","",IF(INDEX($I:$I,$AI50)="","",INDEX($I:$I,$AI50)))</f>
        <v>8</v>
      </c>
      <c r="H50" s="396" t="str">
        <f t="shared" si="4"/>
        <v>Excellent</v>
      </c>
      <c r="I50" s="396" t="str" cm="1">
        <f t="array" ref="I50">IF($AI50="","",INDEX($E:$E,$AI50)&amp;IF(INDEX($F:$F,$AI50)="",""," / "&amp;INDEX($F:$F,$AI50)))</f>
        <v>CM</v>
      </c>
      <c r="J50" s="416" t="str" cm="1">
        <f t="array" ref="J50">IF($AI50="","",IF(INDEX($G:$G,$AI50)="","",INDEX($G:$G,$AI50)))</f>
        <v/>
      </c>
      <c r="K50" s="416" t="str" cm="1">
        <f t="array" ref="K50">IF($AI50="","",IF(INDEX($H:$H,$AI50)="","",INDEX($H:$H,$AI50)))</f>
        <v/>
      </c>
      <c r="R50" s="105" t="s">
        <v>184</v>
      </c>
      <c r="V50" s="390">
        <v>6</v>
      </c>
      <c r="W50" s="418" t="str">
        <f>IF(INDEX($B:$B,217)="","",INDEX($B:$B,217))</f>
        <v/>
      </c>
      <c r="X50" s="401" t="str">
        <f>IF(INDEX($C:$C,217)="","",INDEX($C:$C,217))</f>
        <v/>
      </c>
      <c r="Y50" s="382" t="str">
        <f>IF(INDEX($D:$D,217)="","",INDEX($D:$D,217))</f>
        <v/>
      </c>
      <c r="Z50" s="382" t="str">
        <f>IF(INDEX($E:$E,217)="","",INDEX($E:$E,217))</f>
        <v/>
      </c>
      <c r="AA50" s="382" t="str">
        <f>IF(INDEX($F:$F,217)="","",INDEX($F:$F,217))</f>
        <v/>
      </c>
      <c r="AB50" s="382" t="str">
        <f>IF(INDEX($G:$G,217)="","",INDEX($G:$G,217))</f>
        <v/>
      </c>
      <c r="AI50" s="407">
        <f>IF($C50="","",IFERROR(MATCH($C50,INDEX($C:$C,$K$68+5):INDEX($C:$C,$K$68+22),0)+$K$68+4,""))</f>
        <v>90</v>
      </c>
    </row>
    <row r="51" spans="1:35" x14ac:dyDescent="0.45">
      <c r="A51" s="269"/>
      <c r="B51" s="220">
        <f>IF($C51="","",ROWS($B$42:B51))</f>
        <v>10</v>
      </c>
      <c r="C51" s="233" t="str">
        <f>IF(Attendance!$D14="","",Attendance!$D14)</f>
        <v>Semilore Adesanya</v>
      </c>
      <c r="D51" s="280" t="str">
        <f>IF($C51="","",'Player Grading'!$D15)</f>
        <v>CB / CM</v>
      </c>
      <c r="E51" s="280" t="str">
        <f t="array" ref="E51">IFERROR(IF(OR($C51="",INDEX(Attendance!$CP14:$FY14,1,($B$6-1)*4+1)=""),"",INDEX(Attendance!$CP14:$FY14,1,($B$6-1)*4+1)),"")</f>
        <v/>
      </c>
      <c r="F51" s="278" t="str">
        <f t="array" ref="F51">IFERROR(IF(OR($C51="",INDEX(Attendance!$CP14:$FY14,1,($B$6-1)*4+2)=""),"",INDEX(Attendance!$CP14:$FY14,1,($B$6-1)*4+2)),"")</f>
        <v/>
      </c>
      <c r="G51" s="409" cm="1">
        <f t="array" ref="G51">IF($AI51="","",IF(INDEX($I:$I,$AI51)="","",INDEX($I:$I,$AI51)))</f>
        <v>8.5</v>
      </c>
      <c r="H51" s="399" t="str">
        <f t="shared" si="4"/>
        <v>Excellent</v>
      </c>
      <c r="I51" s="396" t="str" cm="1">
        <f t="array" ref="I51">IF($AI51="","",INDEX($E:$E,$AI51)&amp;IF(INDEX($F:$F,$AI51)="",""," / "&amp;INDEX($F:$F,$AI51)))</f>
        <v>CDM / CB</v>
      </c>
      <c r="J51" s="416" cm="1">
        <f t="array" ref="J51">IF($AI51="","",IF(INDEX($G:$G,$AI51)="","",INDEX($G:$G,$AI51)))</f>
        <v>1</v>
      </c>
      <c r="K51" s="416" cm="1">
        <f t="array" ref="K51">IF($AI51="","",IF(INDEX($H:$H,$AI51)="","",INDEX($H:$H,$AI51)))</f>
        <v>1</v>
      </c>
      <c r="R51" s="105" t="s">
        <v>185</v>
      </c>
      <c r="V51" s="390">
        <v>7</v>
      </c>
      <c r="W51" s="418" t="str">
        <f>IF(INDEX($B:$B,244)="","",INDEX($B:$B,244))</f>
        <v/>
      </c>
      <c r="X51" s="401" t="str">
        <f>IF(INDEX($C:$C,244)="","",INDEX($C:$C,244))</f>
        <v/>
      </c>
      <c r="Y51" s="382" t="str">
        <f>IF(INDEX($D:$D,244)="","",INDEX($D:$D,244))</f>
        <v/>
      </c>
      <c r="Z51" s="382" t="str">
        <f>IF(INDEX($E:$E,244)="","",INDEX($E:$E,244))</f>
        <v/>
      </c>
      <c r="AA51" s="382" t="str">
        <f>IF(INDEX($F:$F,244)="","",INDEX($F:$F,244))</f>
        <v/>
      </c>
      <c r="AB51" s="382" t="str">
        <f>IF(INDEX($G:$G,244)="","",INDEX($G:$G,244))</f>
        <v/>
      </c>
      <c r="AI51" s="407">
        <f>IF($C51="","",IFERROR(MATCH($C51,INDEX($C:$C,$K$68+5):INDEX($C:$C,$K$68+22),0)+$K$68+4,""))</f>
        <v>89</v>
      </c>
    </row>
    <row r="52" spans="1:35" x14ac:dyDescent="0.45">
      <c r="A52" s="269"/>
      <c r="B52" s="216">
        <f>IF($C52="","",ROWS($B$42:B52))</f>
        <v>11</v>
      </c>
      <c r="C52" s="229" t="str">
        <f>IF(Attendance!$D15="","",Attendance!$D15)</f>
        <v>Hannah Fleming</v>
      </c>
      <c r="D52" s="279" t="str">
        <f>IF($C52="","",'Player Grading'!$D16)</f>
        <v>LB / LW</v>
      </c>
      <c r="E52" s="279" t="str">
        <f t="array" ref="E52">IFERROR(IF(OR($C52="",INDEX(Attendance!$CP15:$FY15,1,($B$6-1)*4+1)=""),"",INDEX(Attendance!$CP15:$FY15,1,($B$6-1)*4+1)),"")</f>
        <v/>
      </c>
      <c r="F52" s="276" t="str">
        <f t="array" ref="F52">IFERROR(IF(OR($C52="",INDEX(Attendance!$CP15:$FY15,1,($B$6-1)*4+2)=""),"",INDEX(Attendance!$CP15:$FY15,1,($B$6-1)*4+2)),"")</f>
        <v/>
      </c>
      <c r="G52" s="408" cm="1">
        <f t="array" ref="G52">IF($AI52="","",IF(INDEX($I:$I,$AI52)="","",INDEX($I:$I,$AI52)))</f>
        <v>8</v>
      </c>
      <c r="H52" s="396" t="str">
        <f t="shared" si="4"/>
        <v>Excellent</v>
      </c>
      <c r="I52" s="396" t="str" cm="1">
        <f t="array" ref="I52">IF($AI52="","",INDEX($E:$E,$AI52)&amp;IF(INDEX($F:$F,$AI52)="",""," / "&amp;INDEX($F:$F,$AI52)))</f>
        <v>LWB / LB</v>
      </c>
      <c r="J52" s="416" t="str" cm="1">
        <f t="array" ref="J52">IF($AI52="","",IF(INDEX($G:$G,$AI52)="","",INDEX($G:$G,$AI52)))</f>
        <v/>
      </c>
      <c r="K52" s="416" t="str" cm="1">
        <f t="array" ref="K52">IF($AI52="","",IF(INDEX($H:$H,$AI52)="","",INDEX($H:$H,$AI52)))</f>
        <v/>
      </c>
      <c r="R52" s="105" t="s">
        <v>186</v>
      </c>
      <c r="V52" s="390">
        <v>8</v>
      </c>
      <c r="W52" s="418" t="str">
        <f>IF(INDEX($B:$B,271)="","",INDEX($B:$B,271))</f>
        <v/>
      </c>
      <c r="X52" s="401" t="str">
        <f>IF(INDEX($C:$C,271)="","",INDEX($C:$C,271))</f>
        <v/>
      </c>
      <c r="Y52" s="382" t="str">
        <f>IF(INDEX($D:$D,271)="","",INDEX($D:$D,271))</f>
        <v/>
      </c>
      <c r="Z52" s="382" t="str">
        <f>IF(INDEX($E:$E,271)="","",INDEX($E:$E,271))</f>
        <v/>
      </c>
      <c r="AA52" s="382" t="str">
        <f>IF(INDEX($F:$F,271)="","",INDEX($F:$F,271))</f>
        <v/>
      </c>
      <c r="AB52" s="382" t="str">
        <f>IF(INDEX($G:$G,271)="","",INDEX($G:$G,271))</f>
        <v/>
      </c>
      <c r="AI52" s="407">
        <f>IF($C52="","",IFERROR(MATCH($C52,INDEX($C:$C,$K$68+5):INDEX($C:$C,$K$68+22),0)+$K$68+4,""))</f>
        <v>91</v>
      </c>
    </row>
    <row r="53" spans="1:35" x14ac:dyDescent="0.45">
      <c r="A53" s="269"/>
      <c r="B53" s="220">
        <f>IF($C53="","",ROWS($B$42:B53))</f>
        <v>12</v>
      </c>
      <c r="C53" s="233" t="str">
        <f>IF(Attendance!$D16="","",Attendance!$D16)</f>
        <v>Emma Kelly</v>
      </c>
      <c r="D53" s="280" t="str">
        <f>IF($C53="","",'Player Grading'!$D17)</f>
        <v>CB</v>
      </c>
      <c r="E53" s="280" t="str">
        <f t="array" ref="E53">IFERROR(IF(OR($C53="",INDEX(Attendance!$CP16:$FY16,1,($B$6-1)*4+1)=""),"",INDEX(Attendance!$CP16:$FY16,1,($B$6-1)*4+1)),"")</f>
        <v/>
      </c>
      <c r="F53" s="278" t="str">
        <f t="array" ref="F53">IFERROR(IF(OR($C53="",INDEX(Attendance!$CP16:$FY16,1,($B$6-1)*4+2)=""),"",INDEX(Attendance!$CP16:$FY16,1,($B$6-1)*4+2)),"")</f>
        <v/>
      </c>
      <c r="G53" s="409" cm="1">
        <f t="array" ref="G53">IF($AI53="","",IF(INDEX($I:$I,$AI53)="","",INDEX($I:$I,$AI53)))</f>
        <v>8</v>
      </c>
      <c r="H53" s="399" t="str">
        <f t="shared" si="4"/>
        <v>Excellent</v>
      </c>
      <c r="I53" s="396" t="str" cm="1">
        <f t="array" ref="I53">IF($AI53="","",INDEX($E:$E,$AI53)&amp;IF(INDEX($F:$F,$AI53)="",""," / "&amp;INDEX($F:$F,$AI53)))</f>
        <v>CB</v>
      </c>
      <c r="J53" s="416" cm="1">
        <f t="array" ref="J53">IF($AI53="","",IF(INDEX($G:$G,$AI53)="","",INDEX($G:$G,$AI53)))</f>
        <v>1</v>
      </c>
      <c r="K53" s="416" t="str" cm="1">
        <f t="array" ref="K53">IF($AI53="","",IF(INDEX($H:$H,$AI53)="","",INDEX($H:$H,$AI53)))</f>
        <v/>
      </c>
      <c r="R53" s="105" t="s">
        <v>187</v>
      </c>
      <c r="V53" s="390">
        <v>9</v>
      </c>
      <c r="W53" s="418" t="str">
        <f>IF(INDEX($B:$B,298)="","",INDEX($B:$B,298))</f>
        <v/>
      </c>
      <c r="X53" s="401" t="str">
        <f>IF(INDEX($C:$C,298)="","",INDEX($C:$C,298))</f>
        <v/>
      </c>
      <c r="Y53" s="382" t="str">
        <f>IF(INDEX($D:$D,298)="","",INDEX($D:$D,298))</f>
        <v/>
      </c>
      <c r="Z53" s="382" t="str">
        <f>IF(INDEX($E:$E,298)="","",INDEX($E:$E,298))</f>
        <v/>
      </c>
      <c r="AA53" s="382" t="str">
        <f>IF(INDEX($F:$F,298)="","",INDEX($F:$F,298))</f>
        <v/>
      </c>
      <c r="AB53" s="382" t="str">
        <f>IF(INDEX($G:$G,298)="","",INDEX($G:$G,298))</f>
        <v/>
      </c>
      <c r="AI53" s="407">
        <f>IF($C53="","",IFERROR(MATCH($C53,INDEX($C:$C,$K$68+5):INDEX($C:$C,$K$68+22),0)+$K$68+4,""))</f>
        <v>87</v>
      </c>
    </row>
    <row r="54" spans="1:35" x14ac:dyDescent="0.45">
      <c r="A54" s="269"/>
      <c r="B54" s="216">
        <f>IF($C54="","",ROWS($B$42:B54))</f>
        <v>13</v>
      </c>
      <c r="C54" s="229" t="str">
        <f>IF(Attendance!$D17="","",Attendance!$D17)</f>
        <v>Roma Memon</v>
      </c>
      <c r="D54" s="279" t="str">
        <f>IF($C54="","",'Player Grading'!$D18)</f>
        <v>DM / CM</v>
      </c>
      <c r="E54" s="279" t="str">
        <f t="array" ref="E54">IFERROR(IF(OR($C54="",INDEX(Attendance!$CP17:$FY17,1,($B$6-1)*4+1)=""),"",INDEX(Attendance!$CP17:$FY17,1,($B$6-1)*4+1)),"")</f>
        <v/>
      </c>
      <c r="F54" s="276" t="str">
        <f t="array" ref="F54">IFERROR(IF(OR($C54="",INDEX(Attendance!$CP17:$FY17,1,($B$6-1)*4+2)=""),"",INDEX(Attendance!$CP17:$FY17,1,($B$6-1)*4+2)),"")</f>
        <v/>
      </c>
      <c r="G54" s="408" cm="1">
        <f t="array" ref="G54">IF($AI54="","",IF(INDEX($I:$I,$AI54)="","",INDEX($I:$I,$AI54)))</f>
        <v>6.5</v>
      </c>
      <c r="H54" s="396" t="str">
        <f t="shared" si="4"/>
        <v>Solid</v>
      </c>
      <c r="I54" s="396" t="str" cm="1">
        <f t="array" ref="I54">IF($AI54="","",INDEX($E:$E,$AI54)&amp;IF(INDEX($F:$F,$AI54)="",""," / "&amp;INDEX($F:$F,$AI54)))</f>
        <v>CM</v>
      </c>
      <c r="J54" s="416" t="str" cm="1">
        <f t="array" ref="J54">IF($AI54="","",IF(INDEX($G:$G,$AI54)="","",INDEX($G:$G,$AI54)))</f>
        <v/>
      </c>
      <c r="K54" s="416" t="str" cm="1">
        <f t="array" ref="K54">IF($AI54="","",IF(INDEX($H:$H,$AI54)="","",INDEX($H:$H,$AI54)))</f>
        <v/>
      </c>
      <c r="R54" s="105" t="s">
        <v>188</v>
      </c>
      <c r="V54" s="390">
        <v>10</v>
      </c>
      <c r="W54" s="418" t="str">
        <f>IF(INDEX($B:$B,325)="","",INDEX($B:$B,325))</f>
        <v/>
      </c>
      <c r="X54" s="401" t="str">
        <f>IF(INDEX($C:$C,325)="","",INDEX($C:$C,325))</f>
        <v/>
      </c>
      <c r="Y54" s="382" t="str">
        <f>IF(INDEX($D:$D,325)="","",INDEX($D:$D,325))</f>
        <v/>
      </c>
      <c r="Z54" s="382" t="str">
        <f>IF(INDEX($E:$E,325)="","",INDEX($E:$E,325))</f>
        <v/>
      </c>
      <c r="AA54" s="382" t="str">
        <f>IF(INDEX($F:$F,325)="","",INDEX($F:$F,325))</f>
        <v/>
      </c>
      <c r="AB54" s="382" t="str">
        <f>IF(INDEX($G:$G,325)="","",INDEX($G:$G,325))</f>
        <v/>
      </c>
      <c r="AI54" s="407">
        <f>IF($C54="","",IFERROR(MATCH($C54,INDEX($C:$C,$K$68+5):INDEX($C:$C,$K$68+22),0)+$K$68+4,""))</f>
        <v>98</v>
      </c>
    </row>
    <row r="55" spans="1:35" x14ac:dyDescent="0.45">
      <c r="A55" s="269"/>
      <c r="B55" s="220">
        <f>IF($C55="","",ROWS($B$42:B55))</f>
        <v>14</v>
      </c>
      <c r="C55" s="233" t="str">
        <f>IF(Attendance!$D18="","",Attendance!$D18)</f>
        <v>Emma Dromgoole</v>
      </c>
      <c r="D55" s="280" t="str">
        <f>IF($C55="","",'Player Grading'!$D19)</f>
        <v>RW / ST</v>
      </c>
      <c r="E55" s="280" t="str">
        <f t="array" ref="E55">IFERROR(IF(OR($C55="",INDEX(Attendance!$CP18:$FY18,1,($B$6-1)*4+1)=""),"",INDEX(Attendance!$CP18:$FY18,1,($B$6-1)*4+1)),"")</f>
        <v/>
      </c>
      <c r="F55" s="278" t="str">
        <f t="array" ref="F55">IFERROR(IF(OR($C55="",INDEX(Attendance!$CP18:$FY18,1,($B$6-1)*4+2)=""),"",INDEX(Attendance!$CP18:$FY18,1,($B$6-1)*4+2)),"")</f>
        <v/>
      </c>
      <c r="G55" s="409" cm="1">
        <f t="array" ref="G55">IF($AI55="","",IF(INDEX($I:$I,$AI55)="","",INDEX($I:$I,$AI55)))</f>
        <v>6.5</v>
      </c>
      <c r="H55" s="399" t="str">
        <f t="shared" si="4"/>
        <v>Solid</v>
      </c>
      <c r="I55" s="396" t="str" cm="1">
        <f t="array" ref="I55">IF($AI55="","",INDEX($E:$E,$AI55)&amp;IF(INDEX($F:$F,$AI55)="",""," / "&amp;INDEX($F:$F,$AI55)))</f>
        <v>RWB</v>
      </c>
      <c r="J55" s="416" t="str" cm="1">
        <f t="array" ref="J55">IF($AI55="","",IF(INDEX($G:$G,$AI55)="","",INDEX($G:$G,$AI55)))</f>
        <v/>
      </c>
      <c r="K55" s="416" t="str" cm="1">
        <f t="array" ref="K55">IF($AI55="","",IF(INDEX($H:$H,$AI55)="","",INDEX($H:$H,$AI55)))</f>
        <v/>
      </c>
      <c r="R55" s="133" t="s">
        <v>189</v>
      </c>
      <c r="V55" s="390">
        <v>11</v>
      </c>
      <c r="W55" s="418" t="str">
        <f>IF(INDEX($B:$B,352)="","",INDEX($B:$B,352))</f>
        <v/>
      </c>
      <c r="X55" s="401" t="str">
        <f>IF(INDEX($C:$C,352)="","",INDEX($C:$C,352))</f>
        <v/>
      </c>
      <c r="Y55" s="382" t="str">
        <f>IF(INDEX($D:$D,352)="","",INDEX($D:$D,352))</f>
        <v/>
      </c>
      <c r="Z55" s="382" t="str">
        <f>IF(INDEX($E:$E,352)="","",INDEX($E:$E,352))</f>
        <v/>
      </c>
      <c r="AA55" s="382" t="str">
        <f>IF(INDEX($F:$F,352)="","",INDEX($F:$F,352))</f>
        <v/>
      </c>
      <c r="AB55" s="382" t="str">
        <f>IF(INDEX($G:$G,352)="","",INDEX($G:$G,352))</f>
        <v/>
      </c>
      <c r="AI55" s="407">
        <f>IF($C55="","",IFERROR(MATCH($C55,INDEX($C:$C,$K$68+5):INDEX($C:$C,$K$68+22),0)+$K$68+4,""))</f>
        <v>97</v>
      </c>
    </row>
    <row r="56" spans="1:35" x14ac:dyDescent="0.45">
      <c r="A56" s="269"/>
      <c r="B56" s="216">
        <f>IF($C56="","",ROWS($B$42:B56))</f>
        <v>15</v>
      </c>
      <c r="C56" s="229" t="str">
        <f>IF(Attendance!$D19="","",Attendance!$D19)</f>
        <v>Elsie Morrison</v>
      </c>
      <c r="D56" s="279" t="str">
        <f>IF($C56="","",'Player Grading'!$D20)</f>
        <v>LW / ST / GK</v>
      </c>
      <c r="E56" s="279" t="str">
        <f t="array" ref="E56">IFERROR(IF(OR($C56="",INDEX(Attendance!$CP19:$FY19,1,($B$6-1)*4+1)=""),"",INDEX(Attendance!$CP19:$FY19,1,($B$6-1)*4+1)),"")</f>
        <v/>
      </c>
      <c r="F56" s="276" t="str">
        <f t="array" ref="F56">IFERROR(IF(OR($C56="",INDEX(Attendance!$CP19:$FY19,1,($B$6-1)*4+2)=""),"",INDEX(Attendance!$CP19:$FY19,1,($B$6-1)*4+2)),"")</f>
        <v/>
      </c>
      <c r="G56" s="408" cm="1">
        <f t="array" ref="G56">IF($AI56="","",IF(INDEX($I:$I,$AI56)="","",INDEX($I:$I,$AI56)))</f>
        <v>8</v>
      </c>
      <c r="H56" s="396" t="str">
        <f t="shared" si="4"/>
        <v>Excellent</v>
      </c>
      <c r="I56" s="396" t="str" cm="1">
        <f t="array" ref="I56">IF($AI56="","",INDEX($E:$E,$AI56)&amp;IF(INDEX($F:$F,$AI56)="",""," / "&amp;INDEX($F:$F,$AI56)))</f>
        <v>GK / Striker</v>
      </c>
      <c r="J56" s="416" cm="1">
        <f t="array" ref="J56">IF($AI56="","",IF(INDEX($G:$G,$AI56)="","",INDEX($G:$G,$AI56)))</f>
        <v>1</v>
      </c>
      <c r="K56" s="416" cm="1">
        <f t="array" ref="K56">IF($AI56="","",IF(INDEX($H:$H,$AI56)="","",INDEX($H:$H,$AI56)))</f>
        <v>0</v>
      </c>
      <c r="R56" s="282"/>
      <c r="V56" s="390">
        <v>12</v>
      </c>
      <c r="W56" s="418" t="str">
        <f>IF(INDEX($B:$B,379)="","",INDEX($B:$B,379))</f>
        <v/>
      </c>
      <c r="X56" s="401" t="str">
        <f>IF(INDEX($C:$C,379)="","",INDEX($C:$C,379))</f>
        <v/>
      </c>
      <c r="Y56" s="382" t="str">
        <f>IF(INDEX($D:$D,379)="","",INDEX($D:$D,379))</f>
        <v/>
      </c>
      <c r="Z56" s="382" t="str">
        <f>IF(INDEX($E:$E,379)="","",INDEX($E:$E,379))</f>
        <v/>
      </c>
      <c r="AA56" s="382" t="str">
        <f>IF(INDEX($F:$F,379)="","",INDEX($F:$F,379))</f>
        <v/>
      </c>
      <c r="AB56" s="382" t="str">
        <f>IF(INDEX($G:$G,379)="","",INDEX($G:$G,379))</f>
        <v/>
      </c>
      <c r="AI56" s="407">
        <f>IF($C56="","",IFERROR(MATCH($C56,INDEX($C:$C,$K$68+5):INDEX($C:$C,$K$68+22),0)+$K$68+4,""))</f>
        <v>85</v>
      </c>
    </row>
    <row r="57" spans="1:35" x14ac:dyDescent="0.45">
      <c r="A57" s="269"/>
      <c r="B57" s="220">
        <f>IF($C57="","",ROWS($B$42:B57))</f>
        <v>16</v>
      </c>
      <c r="C57" s="233" t="str">
        <f>IF(Attendance!$D20="","",Attendance!$D20)</f>
        <v>Zara Freeman</v>
      </c>
      <c r="D57" s="280" t="str">
        <f>IF($C57="","",'Player Grading'!$D21)</f>
        <v xml:space="preserve">ST </v>
      </c>
      <c r="E57" s="280" t="str">
        <f t="array" ref="E57">IFERROR(IF(OR($C57="",INDEX(Attendance!$CP20:$FY20,1,($B$6-1)*4+1)=""),"",INDEX(Attendance!$CP20:$FY20,1,($B$6-1)*4+1)),"")</f>
        <v/>
      </c>
      <c r="F57" s="278" t="str">
        <f t="array" ref="F57">IFERROR(IF(OR($C57="",INDEX(Attendance!$CP20:$FY20,1,($B$6-1)*4+2)=""),"",INDEX(Attendance!$CP20:$FY20,1,($B$6-1)*4+2)),"")</f>
        <v/>
      </c>
      <c r="G57" s="409" cm="1">
        <f t="array" ref="G57">IF($AI57="","",IF(INDEX($I:$I,$AI57)="","",INDEX($I:$I,$AI57)))</f>
        <v>8.5</v>
      </c>
      <c r="H57" s="399" t="str">
        <f t="shared" si="4"/>
        <v>Excellent</v>
      </c>
      <c r="I57" s="396" t="str" cm="1">
        <f t="array" ref="I57">IF($AI57="","",INDEX($E:$E,$AI57)&amp;IF(INDEX($F:$F,$AI57)="",""," / "&amp;INDEX($F:$F,$AI57)))</f>
        <v>Striker</v>
      </c>
      <c r="J57" s="416" cm="1">
        <f t="array" ref="J57">IF($AI57="","",IF(INDEX($G:$G,$AI57)="","",INDEX($G:$G,$AI57)))</f>
        <v>1</v>
      </c>
      <c r="K57" s="416" t="str" cm="1">
        <f t="array" ref="K57">IF($AI57="","",IF(INDEX($H:$H,$AI57)="","",INDEX($H:$H,$AI57)))</f>
        <v/>
      </c>
      <c r="R57" s="282"/>
      <c r="V57" s="390">
        <v>13</v>
      </c>
      <c r="W57" s="418" t="str">
        <f>IF(INDEX($B:$B,406)="","",INDEX($B:$B,406))</f>
        <v/>
      </c>
      <c r="X57" s="401" t="str">
        <f>IF(INDEX($C:$C,406)="","",INDEX($C:$C,406))</f>
        <v/>
      </c>
      <c r="Y57" s="382" t="str">
        <f>IF(INDEX($D:$D,406)="","",INDEX($D:$D,406))</f>
        <v/>
      </c>
      <c r="Z57" s="382" t="str">
        <f>IF(INDEX($E:$E,406)="","",INDEX($E:$E,406))</f>
        <v/>
      </c>
      <c r="AA57" s="382" t="str">
        <f>IF(INDEX($F:$F,406)="","",INDEX($F:$F,406))</f>
        <v/>
      </c>
      <c r="AB57" s="382" t="str">
        <f>IF(INDEX($G:$G,406)="","",INDEX($G:$G,406))</f>
        <v/>
      </c>
      <c r="AI57" s="407">
        <f>IF($C57="","",IFERROR(MATCH($C57,INDEX($C:$C,$K$68+5):INDEX($C:$C,$K$68+22),0)+$K$68+4,""))</f>
        <v>93</v>
      </c>
    </row>
    <row r="58" spans="1:35" x14ac:dyDescent="0.45">
      <c r="A58" s="269"/>
      <c r="B58" s="216">
        <f>IF($C58="","",ROWS($B$42:B58))</f>
        <v>17</v>
      </c>
      <c r="C58" s="229" t="str">
        <f>IF(Attendance!$D21="","",Attendance!$D21)</f>
        <v>Mariana Soares</v>
      </c>
      <c r="D58" s="279" t="str">
        <f>IF($C58="","",'Player Grading'!$D22)</f>
        <v>RB / CB</v>
      </c>
      <c r="E58" s="279" t="str">
        <f t="array" ref="E58">IFERROR(IF(OR($C58="",INDEX(Attendance!$CP21:$FY21,1,($B$6-1)*4+1)=""),"",INDEX(Attendance!$CP21:$FY21,1,($B$6-1)*4+1)),"")</f>
        <v/>
      </c>
      <c r="F58" s="276" t="str">
        <f t="array" ref="F58">IFERROR(IF(OR($C58="",INDEX(Attendance!$CP21:$FY21,1,($B$6-1)*4+2)=""),"",INDEX(Attendance!$CP21:$FY21,1,($B$6-1)*4+2)),"")</f>
        <v/>
      </c>
      <c r="G58" s="408" cm="1">
        <f t="array" ref="G58">IF($AI58="","",IF(INDEX($I:$I,$AI58)="","",INDEX($I:$I,$AI58)))</f>
        <v>7.5</v>
      </c>
      <c r="H58" s="396" t="str">
        <f t="shared" si="4"/>
        <v>Good</v>
      </c>
      <c r="I58" s="396" t="str" cm="1">
        <f t="array" ref="I58">IF($AI58="","",INDEX($E:$E,$AI58)&amp;IF(INDEX($F:$F,$AI58)="",""," / "&amp;INDEX($F:$F,$AI58)))</f>
        <v>RCB / RB</v>
      </c>
      <c r="J58" s="416" t="str" cm="1">
        <f t="array" ref="J58">IF($AI58="","",IF(INDEX($G:$G,$AI58)="","",INDEX($G:$G,$AI58)))</f>
        <v/>
      </c>
      <c r="K58" s="416" t="str" cm="1">
        <f t="array" ref="K58">IF($AI58="","",IF(INDEX($H:$H,$AI58)="","",INDEX($H:$H,$AI58)))</f>
        <v/>
      </c>
      <c r="R58" s="282"/>
      <c r="V58" s="390">
        <v>14</v>
      </c>
      <c r="W58" s="418" t="str">
        <f>IF(INDEX($B:$B,433)="","",INDEX($B:$B,433))</f>
        <v/>
      </c>
      <c r="X58" s="401" t="str">
        <f>IF(INDEX($C:$C,433)="","",INDEX($C:$C,433))</f>
        <v/>
      </c>
      <c r="Y58" s="382" t="str">
        <f>IF(INDEX($D:$D,433)="","",INDEX($D:$D,433))</f>
        <v/>
      </c>
      <c r="Z58" s="382" t="str">
        <f>IF(INDEX($E:$E,433)="","",INDEX($E:$E,433))</f>
        <v/>
      </c>
      <c r="AA58" s="382" t="str">
        <f>IF(INDEX($F:$F,433)="","",INDEX($F:$F,433))</f>
        <v/>
      </c>
      <c r="AB58" s="382" t="str">
        <f>IF(INDEX($G:$G,433)="","",INDEX($G:$G,433))</f>
        <v/>
      </c>
      <c r="AI58" s="407">
        <f>IF($C58="","",IFERROR(MATCH($C58,INDEX($C:$C,$K$68+5):INDEX($C:$C,$K$68+22),0)+$K$68+4,""))</f>
        <v>88</v>
      </c>
    </row>
    <row r="59" spans="1:35" x14ac:dyDescent="0.45">
      <c r="A59" s="269"/>
      <c r="B59" s="220">
        <f>IF($C59="","",ROWS($B$42:B59))</f>
        <v>18</v>
      </c>
      <c r="C59" s="233" t="str">
        <f>IF(Attendance!$D22="","",Attendance!$D22)</f>
        <v>Rama Abuowda</v>
      </c>
      <c r="D59" s="280" t="str">
        <f>IF($C59="","",'Player Grading'!$D23)</f>
        <v>RW / ST / LW</v>
      </c>
      <c r="E59" s="280" t="str">
        <f t="array" ref="E59">IFERROR(IF(OR($C59="",INDEX(Attendance!$CP22:$FY22,1,($B$6-1)*4+1)=""),"",INDEX(Attendance!$CP22:$FY22,1,($B$6-1)*4+1)),"")</f>
        <v/>
      </c>
      <c r="F59" s="278" t="str">
        <f t="array" ref="F59">IFERROR(IF(OR($C59="",INDEX(Attendance!$CP22:$FY22,1,($B$6-1)*4+2)=""),"",INDEX(Attendance!$CP22:$FY22,1,($B$6-1)*4+2)),"")</f>
        <v/>
      </c>
      <c r="G59" s="409" cm="1">
        <f t="array" ref="G59">IF($AI59="","",IF(INDEX($I:$I,$AI59)="","",INDEX($I:$I,$AI59)))</f>
        <v>8.5</v>
      </c>
      <c r="H59" s="399" t="str">
        <f t="shared" si="4"/>
        <v>Excellent</v>
      </c>
      <c r="I59" s="396" t="str" cm="1">
        <f t="array" ref="I59">IF($AI59="","",INDEX($E:$E,$AI59)&amp;IF(INDEX($F:$F,$AI59)="",""," / "&amp;INDEX($F:$F,$AI59)))</f>
        <v>RWB / LWB</v>
      </c>
      <c r="J59" s="416" t="str" cm="1">
        <f t="array" ref="J59">IF($AI59="","",IF(INDEX($G:$G,$AI59)="","",INDEX($G:$G,$AI59)))</f>
        <v/>
      </c>
      <c r="K59" s="416" cm="1">
        <f t="array" ref="K59">IF($AI59="","",IF(INDEX($H:$H,$AI59)="","",INDEX($H:$H,$AI59)))</f>
        <v>2</v>
      </c>
      <c r="R59" s="282"/>
      <c r="V59" s="390">
        <v>15</v>
      </c>
      <c r="W59" s="418" t="str">
        <f>IF(INDEX($B:$B,460)="","",INDEX($B:$B,460))</f>
        <v/>
      </c>
      <c r="X59" s="401" t="str">
        <f>IF(INDEX($C:$C,460)="","",INDEX($C:$C,460))</f>
        <v/>
      </c>
      <c r="Y59" s="382" t="str">
        <f>IF(INDEX($D:$D,460)="","",INDEX($D:$D,460))</f>
        <v/>
      </c>
      <c r="Z59" s="382" t="str">
        <f>IF(INDEX($E:$E,460)="","",INDEX($E:$E,460))</f>
        <v/>
      </c>
      <c r="AA59" s="382" t="str">
        <f>IF(INDEX($F:$F,460)="","",INDEX($F:$F,460))</f>
        <v/>
      </c>
      <c r="AB59" s="382" t="str">
        <f>IF(INDEX($G:$G,460)="","",INDEX($G:$G,460))</f>
        <v/>
      </c>
      <c r="AI59" s="407">
        <f>IF($C59="","",IFERROR(MATCH($C59,INDEX($C:$C,$K$68+5):INDEX($C:$C,$K$68+22),0)+$K$68+4,""))</f>
        <v>95</v>
      </c>
    </row>
    <row r="60" spans="1:35" x14ac:dyDescent="0.45">
      <c r="A60" s="269"/>
      <c r="B60" s="216" t="str">
        <f>IF($C60="","",ROWS($B$42:B60))</f>
        <v/>
      </c>
      <c r="C60" s="229" t="str">
        <f>IF(Attendance!$D23="","",Attendance!$D23)</f>
        <v/>
      </c>
      <c r="D60" s="279" t="str">
        <f>IF($C60="","",'Player Grading'!$D24)</f>
        <v/>
      </c>
      <c r="E60" s="279" t="str">
        <f t="array" ref="E60">IFERROR(IF(OR($C60="",INDEX(Attendance!$CP23:$FY23,1,($B$6-1)*4+1)=""),"",INDEX(Attendance!$CP23:$FY23,1,($B$6-1)*4+1)),"")</f>
        <v/>
      </c>
      <c r="F60" s="276" t="str">
        <f t="array" ref="F60">IFERROR(IF(OR($C60="",INDEX(Attendance!$CP23:$FY23,1,($B$6-1)*4+2)=""),"",INDEX(Attendance!$CP23:$FY23,1,($B$6-1)*4+2)),"")</f>
        <v/>
      </c>
      <c r="G60" s="408" t="str" cm="1">
        <f t="array" ref="G60">IF($AI60="","",IF(INDEX($I:$I,$AI60)="","",INDEX($I:$I,$AI60)))</f>
        <v/>
      </c>
      <c r="H60" s="396" t="str">
        <f t="shared" si="4"/>
        <v/>
      </c>
      <c r="I60" s="396" t="str" cm="1">
        <f t="array" ref="I60">IF($AI60="","",INDEX($E:$E,$AI60)&amp;IF(INDEX($F:$F,$AI60)="",""," / "&amp;INDEX($F:$F,$AI60)))</f>
        <v/>
      </c>
      <c r="J60" s="416" t="str" cm="1">
        <f t="array" ref="J60">IF($AI60="","",IF(INDEX($G:$G,$AI60)="","",INDEX($G:$G,$AI60)))</f>
        <v/>
      </c>
      <c r="K60" s="416" t="str" cm="1">
        <f t="array" ref="K60">IF($AI60="","",IF(INDEX($H:$H,$AI60)="","",INDEX($H:$H,$AI60)))</f>
        <v/>
      </c>
      <c r="R60" s="282"/>
      <c r="V60" s="390">
        <v>16</v>
      </c>
      <c r="W60" s="418" t="str">
        <f>IF(INDEX($B:$B,487)="","",INDEX($B:$B,487))</f>
        <v/>
      </c>
      <c r="X60" s="401" t="str">
        <f>IF(INDEX($C:$C,487)="","",INDEX($C:$C,487))</f>
        <v/>
      </c>
      <c r="Y60" s="382" t="str">
        <f>IF(INDEX($D:$D,487)="","",INDEX($D:$D,487))</f>
        <v/>
      </c>
      <c r="Z60" s="382" t="str">
        <f>IF(INDEX($E:$E,487)="","",INDEX($E:$E,487))</f>
        <v/>
      </c>
      <c r="AA60" s="382" t="str">
        <f>IF(INDEX($F:$F,487)="","",INDEX($F:$F,487))</f>
        <v/>
      </c>
      <c r="AB60" s="382" t="str">
        <f>IF(INDEX($G:$G,487)="","",INDEX($G:$G,487))</f>
        <v/>
      </c>
      <c r="AI60" s="407" t="str">
        <f>IF($C60="","",IFERROR(MATCH($C60,INDEX($C:$C,$K$68+5):INDEX($C:$C,$K$68+22),0)+$K$68+4,""))</f>
        <v/>
      </c>
    </row>
    <row r="61" spans="1:35" x14ac:dyDescent="0.45">
      <c r="A61" s="269"/>
      <c r="B61" s="220" t="str">
        <f>IF($C61="","",ROWS($B$42:B61))</f>
        <v/>
      </c>
      <c r="C61" s="233" t="str">
        <f>IF(Attendance!$D24="","",Attendance!$D24)</f>
        <v/>
      </c>
      <c r="D61" s="280" t="str">
        <f>IF($C61="","",'Player Grading'!$D25)</f>
        <v/>
      </c>
      <c r="E61" s="280" t="str">
        <f t="array" ref="E61">IFERROR(IF(OR($C61="",INDEX(Attendance!$CP24:$FY24,1,($B$6-1)*4+1)=""),"",INDEX(Attendance!$CP24:$FY24,1,($B$6-1)*4+1)),"")</f>
        <v/>
      </c>
      <c r="F61" s="278" t="str">
        <f t="array" ref="F61">IFERROR(IF(OR($C61="",INDEX(Attendance!$CP24:$FY24,1,($B$6-1)*4+2)=""),"",INDEX(Attendance!$CP24:$FY24,1,($B$6-1)*4+2)),"")</f>
        <v/>
      </c>
      <c r="G61" s="409" t="str" cm="1">
        <f t="array" ref="G61">IF($AI61="","",IF(INDEX($I:$I,$AI61)="","",INDEX($I:$I,$AI61)))</f>
        <v/>
      </c>
      <c r="H61" s="399" t="str">
        <f t="shared" si="4"/>
        <v/>
      </c>
      <c r="I61" s="396" t="str" cm="1">
        <f t="array" ref="I61">IF($AI61="","",INDEX($E:$E,$AI61)&amp;IF(INDEX($F:$F,$AI61)="",""," / "&amp;INDEX($F:$F,$AI61)))</f>
        <v/>
      </c>
      <c r="J61" s="416" t="str" cm="1">
        <f t="array" ref="J61">IF($AI61="","",IF(INDEX($G:$G,$AI61)="","",INDEX($G:$G,$AI61)))</f>
        <v/>
      </c>
      <c r="K61" s="416" t="str" cm="1">
        <f t="array" ref="K61">IF($AI61="","",IF(INDEX($H:$H,$AI61)="","",INDEX($H:$H,$AI61)))</f>
        <v/>
      </c>
      <c r="R61" s="282"/>
      <c r="V61" s="390">
        <v>17</v>
      </c>
      <c r="W61" s="418" t="str">
        <f>IF(INDEX($B:$B,514)="","",INDEX($B:$B,514))</f>
        <v/>
      </c>
      <c r="X61" s="401" t="str">
        <f>IF(INDEX($C:$C,514)="","",INDEX($C:$C,514))</f>
        <v/>
      </c>
      <c r="Y61" s="382" t="str">
        <f>IF(INDEX($D:$D,514)="","",INDEX($D:$D,514))</f>
        <v/>
      </c>
      <c r="Z61" s="382" t="str">
        <f>IF(INDEX($E:$E,514)="","",INDEX($E:$E,514))</f>
        <v/>
      </c>
      <c r="AA61" s="382" t="str">
        <f>IF(INDEX($F:$F,514)="","",INDEX($F:$F,514))</f>
        <v/>
      </c>
      <c r="AB61" s="382" t="str">
        <f>IF(INDEX($G:$G,514)="","",INDEX($G:$G,514))</f>
        <v/>
      </c>
      <c r="AI61" s="407" t="str">
        <f>IF($C61="","",IFERROR(MATCH($C61,INDEX($C:$C,$K$68+5):INDEX($C:$C,$K$68+22),0)+$K$68+4,""))</f>
        <v/>
      </c>
    </row>
    <row r="62" spans="1:35" x14ac:dyDescent="0.45">
      <c r="A62" s="269"/>
      <c r="B62" s="269"/>
      <c r="C62" s="269"/>
      <c r="D62" s="269"/>
      <c r="E62" s="269"/>
      <c r="F62" s="269"/>
      <c r="G62" s="269"/>
      <c r="H62" s="269"/>
      <c r="J62" s="403">
        <v>18</v>
      </c>
      <c r="K62" s="410" t="str">
        <f>IF(INDEX($B:$B,541)="","",INDEX($B:$B,541))</f>
        <v/>
      </c>
      <c r="R62" s="282"/>
      <c r="V62" s="390">
        <v>18</v>
      </c>
      <c r="W62" s="418" t="str">
        <f>IF(INDEX($B:$B,541)="","",INDEX($B:$B,541))</f>
        <v/>
      </c>
      <c r="X62" s="401" t="str">
        <f>IF(INDEX($C:$C,541)="","",INDEX($C:$C,541))</f>
        <v/>
      </c>
      <c r="Y62" s="382" t="str">
        <f>IF(INDEX($D:$D,541)="","",INDEX($D:$D,541))</f>
        <v/>
      </c>
      <c r="Z62" s="382" t="str">
        <f>IF(INDEX($E:$E,541)="","",INDEX($E:$E,541))</f>
        <v/>
      </c>
      <c r="AA62" s="382" t="str">
        <f>IF(INDEX($F:$F,541)="","",INDEX($F:$F,541))</f>
        <v/>
      </c>
      <c r="AB62" s="382" t="str">
        <f>IF(INDEX($G:$G,541)="","",INDEX($G:$G,541))</f>
        <v/>
      </c>
    </row>
    <row r="63" spans="1:35" x14ac:dyDescent="0.45">
      <c r="A63" s="269"/>
      <c r="B63" s="513" t="s">
        <v>351</v>
      </c>
      <c r="C63" s="513"/>
      <c r="D63" s="513"/>
      <c r="E63" s="513"/>
      <c r="F63" s="513"/>
      <c r="G63" s="513"/>
      <c r="H63" s="513"/>
      <c r="J63" s="272">
        <v>19</v>
      </c>
      <c r="K63" s="391" t="str">
        <f>IF(INDEX($B:$B,568)="","",INDEX($B:$B,568))</f>
        <v/>
      </c>
      <c r="R63" s="282"/>
      <c r="V63" s="390">
        <v>19</v>
      </c>
      <c r="W63" s="418" t="str">
        <f>IF(INDEX($B:$B,568)="","",INDEX($B:$B,568))</f>
        <v/>
      </c>
      <c r="X63" s="401" t="str">
        <f>IF(INDEX($C:$C,568)="","",INDEX($C:$C,568))</f>
        <v/>
      </c>
      <c r="Y63" s="382" t="str">
        <f>IF(INDEX($D:$D,568)="","",INDEX($D:$D,568))</f>
        <v/>
      </c>
      <c r="Z63" s="382" t="str">
        <f>IF(INDEX($E:$E,568)="","",INDEX($E:$E,568))</f>
        <v/>
      </c>
      <c r="AA63" s="382" t="str">
        <f>IF(INDEX($F:$F,568)="","",INDEX($F:$F,568))</f>
        <v/>
      </c>
      <c r="AB63" s="382" t="str">
        <f>IF(INDEX($G:$G,568)="","",INDEX($G:$G,568))</f>
        <v/>
      </c>
    </row>
    <row r="64" spans="1:35" x14ac:dyDescent="0.45">
      <c r="A64" s="269"/>
      <c r="B64" s="521" t="str" cm="1">
        <f t="array" ref="B64">IF(INDEX($C:$C,$K$68+24)="","",INDEX($C:$C,$K$68+24))</f>
        <v/>
      </c>
      <c r="C64" s="521"/>
      <c r="D64" s="521"/>
      <c r="E64" s="521"/>
      <c r="F64" s="521"/>
      <c r="G64" s="521"/>
      <c r="H64" s="521"/>
      <c r="J64" s="272">
        <v>20</v>
      </c>
      <c r="K64" s="391" t="str">
        <f>IF(INDEX($B:$B,595)="","",INDEX($B:$B,595))</f>
        <v/>
      </c>
      <c r="R64" s="282"/>
      <c r="V64" s="390">
        <v>20</v>
      </c>
      <c r="W64" s="418" t="str">
        <f>IF(INDEX($B:$B,595)="","",INDEX($B:$B,595))</f>
        <v/>
      </c>
      <c r="X64" s="401" t="str">
        <f>IF(INDEX($C:$C,595)="","",INDEX($C:$C,595))</f>
        <v/>
      </c>
      <c r="Y64" s="382" t="str">
        <f>IF(INDEX($D:$D,595)="","",INDEX($D:$D,595))</f>
        <v/>
      </c>
      <c r="Z64" s="382" t="str">
        <f>IF(INDEX($E:$E,595)="","",INDEX($E:$E,595))</f>
        <v/>
      </c>
      <c r="AA64" s="382" t="str">
        <f>IF(INDEX($F:$F,595)="","",INDEX($F:$F,595))</f>
        <v/>
      </c>
      <c r="AB64" s="382" t="str">
        <f>IF(INDEX($G:$G,595)="","",INDEX($G:$G,595))</f>
        <v/>
      </c>
    </row>
    <row r="65" spans="1:28" x14ac:dyDescent="0.45">
      <c r="A65" s="269"/>
      <c r="B65" s="521"/>
      <c r="C65" s="521"/>
      <c r="D65" s="521"/>
      <c r="E65" s="521"/>
      <c r="F65" s="521"/>
      <c r="G65" s="521"/>
      <c r="H65" s="521"/>
      <c r="J65" s="272">
        <v>21</v>
      </c>
      <c r="K65" s="391" t="str">
        <f>IF(INDEX($B:$B,622)="","",INDEX($B:$B,622))</f>
        <v/>
      </c>
      <c r="V65" s="390">
        <v>21</v>
      </c>
      <c r="W65" s="418" t="str">
        <f>IF(INDEX($B:$B,622)="","",INDEX($B:$B,622))</f>
        <v/>
      </c>
      <c r="X65" s="401" t="str">
        <f>IF(INDEX($C:$C,622)="","",INDEX($C:$C,622))</f>
        <v/>
      </c>
      <c r="Y65" s="382" t="str">
        <f>IF(INDEX($D:$D,622)="","",INDEX($D:$D,622))</f>
        <v/>
      </c>
      <c r="Z65" s="382" t="str">
        <f>IF(INDEX($E:$E,622)="","",INDEX($E:$E,622))</f>
        <v/>
      </c>
      <c r="AA65" s="382" t="str">
        <f>IF(INDEX($F:$F,622)="","",INDEX($F:$F,622))</f>
        <v/>
      </c>
      <c r="AB65" s="382" t="str">
        <f>IF(INDEX($G:$G,622)="","",INDEX($G:$G,622))</f>
        <v/>
      </c>
    </row>
    <row r="66" spans="1:28" x14ac:dyDescent="0.45">
      <c r="A66" s="269"/>
      <c r="B66" s="521"/>
      <c r="C66" s="521"/>
      <c r="D66" s="521"/>
      <c r="E66" s="521"/>
      <c r="F66" s="521"/>
      <c r="G66" s="521"/>
      <c r="H66" s="521"/>
      <c r="J66" s="272">
        <v>22</v>
      </c>
      <c r="K66" s="391" t="str">
        <f>IF(INDEX($B:$B,649)="","",INDEX($B:$B,649))</f>
        <v/>
      </c>
      <c r="V66" s="390">
        <v>22</v>
      </c>
      <c r="W66" s="418" t="str">
        <f>IF(INDEX($B:$B,649)="","",INDEX($B:$B,649))</f>
        <v/>
      </c>
      <c r="X66" s="401" t="str">
        <f>IF(INDEX($C:$C,649)="","",INDEX($C:$C,649))</f>
        <v/>
      </c>
      <c r="Y66" s="382" t="str">
        <f>IF(INDEX($D:$D,649)="","",INDEX($D:$D,649))</f>
        <v/>
      </c>
      <c r="Z66" s="382" t="str">
        <f>IF(INDEX($E:$E,649)="","",INDEX($E:$E,649))</f>
        <v/>
      </c>
      <c r="AA66" s="382" t="str">
        <f>IF(INDEX($F:$F,649)="","",INDEX($F:$F,649))</f>
        <v/>
      </c>
      <c r="AB66" s="382" t="str">
        <f>IF(INDEX($G:$G,649)="","",INDEX($G:$G,649))</f>
        <v/>
      </c>
    </row>
    <row r="67" spans="1:28" x14ac:dyDescent="0.45">
      <c r="A67" s="269"/>
      <c r="B67" s="521"/>
      <c r="C67" s="521"/>
      <c r="D67" s="521"/>
      <c r="E67" s="521"/>
      <c r="F67" s="521"/>
      <c r="G67" s="521"/>
      <c r="H67" s="521"/>
    </row>
    <row r="68" spans="1:28" x14ac:dyDescent="0.45">
      <c r="A68" s="269"/>
      <c r="B68" s="521"/>
      <c r="C68" s="521"/>
      <c r="D68" s="521"/>
      <c r="E68" s="521"/>
      <c r="F68" s="521"/>
      <c r="G68" s="521"/>
      <c r="H68" s="521"/>
      <c r="J68" s="372" t="s">
        <v>552</v>
      </c>
      <c r="K68" s="368">
        <f>80+($B$6-1)*27</f>
        <v>80</v>
      </c>
    </row>
    <row r="69" spans="1:28" x14ac:dyDescent="0.45">
      <c r="A69" s="269"/>
      <c r="B69" s="521"/>
      <c r="C69" s="521"/>
      <c r="D69" s="521"/>
      <c r="E69" s="521"/>
      <c r="F69" s="521"/>
      <c r="G69" s="521"/>
      <c r="H69" s="521"/>
    </row>
    <row r="70" spans="1:28" x14ac:dyDescent="0.45">
      <c r="A70" s="269"/>
      <c r="B70" s="521"/>
      <c r="C70" s="521"/>
      <c r="D70" s="521"/>
      <c r="E70" s="521"/>
      <c r="F70" s="521"/>
      <c r="G70" s="521"/>
      <c r="H70" s="521"/>
    </row>
    <row r="71" spans="1:28" x14ac:dyDescent="0.45">
      <c r="A71" s="269"/>
      <c r="B71" s="269"/>
      <c r="C71" s="269"/>
      <c r="D71" s="269"/>
      <c r="E71" s="269"/>
      <c r="F71" s="269"/>
      <c r="G71" s="269"/>
      <c r="H71" s="269"/>
    </row>
    <row r="72" spans="1:28" x14ac:dyDescent="0.45">
      <c r="A72" s="269"/>
      <c r="B72" s="513" t="s">
        <v>352</v>
      </c>
      <c r="C72" s="513"/>
      <c r="D72" s="513"/>
      <c r="E72" s="513"/>
      <c r="F72" s="513"/>
      <c r="G72" s="513"/>
      <c r="H72" s="513"/>
    </row>
    <row r="73" spans="1:28" x14ac:dyDescent="0.45">
      <c r="A73" s="269"/>
      <c r="B73" s="521" t="str" cm="1">
        <f t="array" ref="B73">IF(INDEX($C:$C,$K$68+25)="","",INDEX($C:$C,$K$68+25))</f>
        <v/>
      </c>
      <c r="C73" s="521"/>
      <c r="D73" s="521"/>
      <c r="E73" s="521"/>
      <c r="F73" s="521"/>
      <c r="G73" s="521"/>
      <c r="H73" s="521"/>
    </row>
    <row r="74" spans="1:28" x14ac:dyDescent="0.45">
      <c r="A74" s="269"/>
      <c r="B74" s="521"/>
      <c r="C74" s="521"/>
      <c r="D74" s="521"/>
      <c r="E74" s="521"/>
      <c r="F74" s="521"/>
      <c r="G74" s="521"/>
      <c r="H74" s="521"/>
    </row>
    <row r="75" spans="1:28" x14ac:dyDescent="0.45">
      <c r="A75" s="269"/>
      <c r="B75" s="521"/>
      <c r="C75" s="521"/>
      <c r="D75" s="521"/>
      <c r="E75" s="521"/>
      <c r="F75" s="521"/>
      <c r="G75" s="521"/>
      <c r="H75" s="521"/>
    </row>
    <row r="76" spans="1:28" x14ac:dyDescent="0.45">
      <c r="A76" s="269"/>
      <c r="B76" s="521"/>
      <c r="C76" s="521"/>
      <c r="D76" s="521"/>
      <c r="E76" s="521"/>
      <c r="F76" s="521"/>
      <c r="G76" s="521"/>
      <c r="H76" s="521"/>
    </row>
    <row r="77" spans="1:28" x14ac:dyDescent="0.45">
      <c r="A77" s="269"/>
      <c r="B77" s="521"/>
      <c r="C77" s="521"/>
      <c r="D77" s="521"/>
      <c r="E77" s="521"/>
      <c r="F77" s="521"/>
      <c r="G77" s="521"/>
      <c r="H77" s="521"/>
    </row>
    <row r="78" spans="1:28" x14ac:dyDescent="0.45">
      <c r="A78" s="269"/>
      <c r="B78" s="521"/>
      <c r="C78" s="521"/>
      <c r="D78" s="521"/>
      <c r="E78" s="521"/>
      <c r="F78" s="521"/>
      <c r="G78" s="521"/>
      <c r="H78" s="521"/>
    </row>
    <row r="79" spans="1:28" x14ac:dyDescent="0.45">
      <c r="A79" s="269"/>
      <c r="B79" s="521"/>
      <c r="C79" s="521"/>
      <c r="D79" s="521"/>
      <c r="E79" s="521"/>
      <c r="F79" s="521"/>
      <c r="G79" s="521"/>
      <c r="H79" s="521"/>
    </row>
    <row r="80" spans="1:28" x14ac:dyDescent="0.45">
      <c r="A80" s="269"/>
      <c r="B80" s="515" t="s">
        <v>519</v>
      </c>
      <c r="C80" s="515"/>
      <c r="D80" s="515"/>
      <c r="E80" s="515"/>
      <c r="F80" s="515"/>
      <c r="G80" s="515"/>
      <c r="H80" s="515"/>
      <c r="I80" s="515"/>
      <c r="J80" s="515"/>
      <c r="K80" s="515"/>
      <c r="L80" s="515"/>
    </row>
    <row r="81" spans="1:12" x14ac:dyDescent="0.45">
      <c r="A81" s="269"/>
      <c r="B81" s="367" t="s">
        <v>301</v>
      </c>
      <c r="C81" s="367" t="s">
        <v>343</v>
      </c>
      <c r="D81" s="367" t="s">
        <v>344</v>
      </c>
      <c r="E81" s="367" t="s">
        <v>302</v>
      </c>
      <c r="F81" s="367" t="s">
        <v>303</v>
      </c>
      <c r="G81" s="367" t="s">
        <v>304</v>
      </c>
      <c r="H81" s="367" t="s">
        <v>346</v>
      </c>
    </row>
    <row r="82" spans="1:12" x14ac:dyDescent="0.45">
      <c r="A82" s="269"/>
      <c r="B82" s="369">
        <v>46264</v>
      </c>
      <c r="C82" s="370" t="s">
        <v>189</v>
      </c>
      <c r="D82" s="370" t="s">
        <v>502</v>
      </c>
      <c r="E82" s="370">
        <v>9</v>
      </c>
      <c r="F82" s="370">
        <v>1</v>
      </c>
      <c r="G82" s="371" t="str">
        <f>IF(OR($E$82="",$F$82=""),"",IF($E$82&gt;$F$82,"Win",IF($E$82=$F$82,"Draw","Loss")))</f>
        <v>Win</v>
      </c>
      <c r="H82" s="370" t="s">
        <v>65</v>
      </c>
    </row>
    <row r="83" spans="1:12" x14ac:dyDescent="0.45">
      <c r="A83" s="269"/>
      <c r="B83" s="372" t="s">
        <v>520</v>
      </c>
      <c r="C83" s="368" t="str">
        <f>IF($F$82="","",IF($F$82=0,"Yes","No"))</f>
        <v>No</v>
      </c>
      <c r="D83" s="372" t="s">
        <v>521</v>
      </c>
      <c r="E83" s="368">
        <f>SUM($G$85:$G$102)</f>
        <v>9</v>
      </c>
      <c r="F83" s="372" t="s">
        <v>522</v>
      </c>
      <c r="G83" s="368" t="str">
        <f>IF(OR($E$82="",$E$83=0),"",IF($E$83=$E$82,"OK","does not match GF"))</f>
        <v>OK</v>
      </c>
      <c r="H83" s="269"/>
    </row>
    <row r="84" spans="1:12" x14ac:dyDescent="0.45">
      <c r="A84" s="269"/>
      <c r="B84" s="373" t="s">
        <v>153</v>
      </c>
      <c r="C84" s="373" t="s">
        <v>18</v>
      </c>
      <c r="D84" s="373" t="s">
        <v>316</v>
      </c>
      <c r="E84" s="373" t="s">
        <v>217</v>
      </c>
      <c r="F84" s="373" t="s">
        <v>523</v>
      </c>
      <c r="G84" s="373" t="s">
        <v>524</v>
      </c>
      <c r="H84" s="373" t="s">
        <v>525</v>
      </c>
      <c r="I84" s="373" t="s">
        <v>155</v>
      </c>
      <c r="J84" s="373" t="s">
        <v>526</v>
      </c>
      <c r="K84" s="373" t="s">
        <v>527</v>
      </c>
      <c r="L84" s="373" t="s">
        <v>528</v>
      </c>
    </row>
    <row r="85" spans="1:12" x14ac:dyDescent="0.45">
      <c r="A85" s="269"/>
      <c r="B85" s="380">
        <v>1</v>
      </c>
      <c r="C85" s="374" t="s">
        <v>90</v>
      </c>
      <c r="D85" s="375" t="s">
        <v>515</v>
      </c>
      <c r="E85" s="375" t="s">
        <v>250</v>
      </c>
      <c r="F85" s="375" t="s">
        <v>283</v>
      </c>
      <c r="G85" s="375">
        <v>1</v>
      </c>
      <c r="H85" s="376">
        <v>0</v>
      </c>
      <c r="I85" s="376">
        <v>8</v>
      </c>
      <c r="J85" s="375"/>
      <c r="K85" s="375"/>
      <c r="L85" s="382" t="str">
        <f>IF(OR($C85="",$E85&lt;&gt;"GK",$D85="Sub - unused",$F$82=""),"",IF($F$82=0,"Yes","No"))</f>
        <v>No</v>
      </c>
    </row>
    <row r="86" spans="1:12" x14ac:dyDescent="0.45">
      <c r="A86" s="269"/>
      <c r="B86" s="380">
        <v>2</v>
      </c>
      <c r="C86" s="374" t="s">
        <v>57</v>
      </c>
      <c r="D86" s="375" t="s">
        <v>515</v>
      </c>
      <c r="E86" s="375" t="s">
        <v>509</v>
      </c>
      <c r="F86" s="375" t="s">
        <v>259</v>
      </c>
      <c r="G86" s="375"/>
      <c r="H86" s="376"/>
      <c r="I86" s="376">
        <v>7.5</v>
      </c>
      <c r="J86" s="375"/>
      <c r="K86" s="375"/>
      <c r="L86" s="382" t="str">
        <f t="shared" ref="L86:L102" si="5">IF(OR($C86="",$E86&lt;&gt;"GK",$D86="Sub - unused",$F$82=""),"",IF($F$82=0,"Yes","No"))</f>
        <v/>
      </c>
    </row>
    <row r="87" spans="1:12" x14ac:dyDescent="0.45">
      <c r="A87" s="269"/>
      <c r="B87" s="380">
        <v>3</v>
      </c>
      <c r="C87" s="374" t="s">
        <v>81</v>
      </c>
      <c r="D87" s="375" t="s">
        <v>515</v>
      </c>
      <c r="E87" s="375" t="s">
        <v>259</v>
      </c>
      <c r="F87" s="375"/>
      <c r="G87" s="375">
        <v>1</v>
      </c>
      <c r="H87" s="376"/>
      <c r="I87" s="376">
        <v>8</v>
      </c>
      <c r="J87" s="375"/>
      <c r="K87" s="375"/>
      <c r="L87" s="382" t="str">
        <f t="shared" si="5"/>
        <v/>
      </c>
    </row>
    <row r="88" spans="1:12" x14ac:dyDescent="0.45">
      <c r="A88" s="269"/>
      <c r="B88" s="380">
        <v>4</v>
      </c>
      <c r="C88" s="374" t="s">
        <v>501</v>
      </c>
      <c r="D88" s="375" t="s">
        <v>515</v>
      </c>
      <c r="E88" s="375" t="s">
        <v>510</v>
      </c>
      <c r="F88" s="375" t="s">
        <v>252</v>
      </c>
      <c r="G88" s="375"/>
      <c r="H88" s="376"/>
      <c r="I88" s="376">
        <v>7.5</v>
      </c>
      <c r="J88" s="375"/>
      <c r="K88" s="375"/>
      <c r="L88" s="382" t="str">
        <f t="shared" si="5"/>
        <v/>
      </c>
    </row>
    <row r="89" spans="1:12" x14ac:dyDescent="0.45">
      <c r="A89" s="269"/>
      <c r="B89" s="380">
        <v>5</v>
      </c>
      <c r="C89" s="374" t="s">
        <v>76</v>
      </c>
      <c r="D89" s="375" t="s">
        <v>515</v>
      </c>
      <c r="E89" s="375" t="s">
        <v>511</v>
      </c>
      <c r="F89" s="375" t="s">
        <v>259</v>
      </c>
      <c r="G89" s="375">
        <v>1</v>
      </c>
      <c r="H89" s="376">
        <v>1</v>
      </c>
      <c r="I89" s="376">
        <v>8.5</v>
      </c>
      <c r="J89" s="375"/>
      <c r="K89" s="375"/>
      <c r="L89" s="382" t="str">
        <f t="shared" si="5"/>
        <v/>
      </c>
    </row>
    <row r="90" spans="1:12" x14ac:dyDescent="0.45">
      <c r="A90" s="269"/>
      <c r="B90" s="380">
        <v>6</v>
      </c>
      <c r="C90" s="374" t="s">
        <v>74</v>
      </c>
      <c r="D90" s="375" t="s">
        <v>515</v>
      </c>
      <c r="E90" s="375" t="s">
        <v>274</v>
      </c>
      <c r="F90" s="375"/>
      <c r="G90" s="375"/>
      <c r="H90" s="376"/>
      <c r="I90" s="376">
        <v>8</v>
      </c>
      <c r="J90" s="375"/>
      <c r="K90" s="375"/>
      <c r="L90" s="382" t="str">
        <f t="shared" si="5"/>
        <v/>
      </c>
    </row>
    <row r="91" spans="1:12" x14ac:dyDescent="0.45">
      <c r="A91" s="269"/>
      <c r="B91" s="380">
        <v>7</v>
      </c>
      <c r="C91" s="374" t="s">
        <v>79</v>
      </c>
      <c r="D91" s="375" t="s">
        <v>515</v>
      </c>
      <c r="E91" s="375" t="s">
        <v>488</v>
      </c>
      <c r="F91" s="375" t="s">
        <v>269</v>
      </c>
      <c r="G91" s="375"/>
      <c r="H91" s="376"/>
      <c r="I91" s="376">
        <v>8</v>
      </c>
      <c r="J91" s="375"/>
      <c r="K91" s="375"/>
      <c r="L91" s="382" t="str">
        <f t="shared" si="5"/>
        <v/>
      </c>
    </row>
    <row r="92" spans="1:12" x14ac:dyDescent="0.45">
      <c r="A92" s="269"/>
      <c r="B92" s="380">
        <v>8</v>
      </c>
      <c r="C92" s="374" t="s">
        <v>68</v>
      </c>
      <c r="D92" s="375" t="s">
        <v>515</v>
      </c>
      <c r="E92" s="375" t="s">
        <v>276</v>
      </c>
      <c r="F92" s="375" t="s">
        <v>274</v>
      </c>
      <c r="G92" s="375">
        <v>1</v>
      </c>
      <c r="H92" s="376"/>
      <c r="I92" s="376">
        <v>7.5</v>
      </c>
      <c r="J92" s="375"/>
      <c r="K92" s="375"/>
      <c r="L92" s="382" t="str">
        <f t="shared" si="5"/>
        <v/>
      </c>
    </row>
    <row r="93" spans="1:12" x14ac:dyDescent="0.45">
      <c r="A93" s="269"/>
      <c r="B93" s="380">
        <v>9</v>
      </c>
      <c r="C93" s="374" t="s">
        <v>94</v>
      </c>
      <c r="D93" s="375" t="s">
        <v>515</v>
      </c>
      <c r="E93" s="375" t="s">
        <v>283</v>
      </c>
      <c r="F93" s="375"/>
      <c r="G93" s="375">
        <v>1</v>
      </c>
      <c r="H93" s="376"/>
      <c r="I93" s="376">
        <v>8.5</v>
      </c>
      <c r="J93" s="375"/>
      <c r="K93" s="375"/>
      <c r="L93" s="382" t="str">
        <f t="shared" si="5"/>
        <v/>
      </c>
    </row>
    <row r="94" spans="1:12" x14ac:dyDescent="0.45">
      <c r="A94" s="269"/>
      <c r="B94" s="380">
        <v>10</v>
      </c>
      <c r="C94" s="374" t="s">
        <v>65</v>
      </c>
      <c r="D94" s="375" t="s">
        <v>515</v>
      </c>
      <c r="E94" s="375" t="s">
        <v>514</v>
      </c>
      <c r="F94" s="375"/>
      <c r="G94" s="375">
        <v>3</v>
      </c>
      <c r="H94" s="376"/>
      <c r="I94" s="376">
        <v>10</v>
      </c>
      <c r="J94" s="375"/>
      <c r="K94" s="375"/>
      <c r="L94" s="382" t="str">
        <f t="shared" si="5"/>
        <v/>
      </c>
    </row>
    <row r="95" spans="1:12" x14ac:dyDescent="0.45">
      <c r="A95" s="269"/>
      <c r="B95" s="380">
        <v>11</v>
      </c>
      <c r="C95" s="374" t="s">
        <v>500</v>
      </c>
      <c r="D95" s="375" t="s">
        <v>515</v>
      </c>
      <c r="E95" s="375" t="s">
        <v>487</v>
      </c>
      <c r="F95" s="375" t="s">
        <v>488</v>
      </c>
      <c r="G95" s="375"/>
      <c r="H95" s="376">
        <v>2</v>
      </c>
      <c r="I95" s="376">
        <v>8.5</v>
      </c>
      <c r="J95" s="375"/>
      <c r="K95" s="375"/>
      <c r="L95" s="382" t="str">
        <f t="shared" si="5"/>
        <v/>
      </c>
    </row>
    <row r="96" spans="1:12" x14ac:dyDescent="0.45">
      <c r="A96" s="269"/>
      <c r="B96" s="380" t="s">
        <v>335</v>
      </c>
      <c r="C96" s="374" t="s">
        <v>53</v>
      </c>
      <c r="D96" s="375" t="s">
        <v>516</v>
      </c>
      <c r="E96" s="375" t="s">
        <v>250</v>
      </c>
      <c r="F96" s="375"/>
      <c r="G96" s="375"/>
      <c r="H96" s="376"/>
      <c r="I96" s="376">
        <v>6.5</v>
      </c>
      <c r="J96" s="375"/>
      <c r="K96" s="375"/>
      <c r="L96" s="382" t="str">
        <f t="shared" si="5"/>
        <v>No</v>
      </c>
    </row>
    <row r="97" spans="1:12" x14ac:dyDescent="0.45">
      <c r="A97" s="269"/>
      <c r="B97" s="380" t="s">
        <v>336</v>
      </c>
      <c r="C97" s="374" t="s">
        <v>87</v>
      </c>
      <c r="D97" s="375" t="s">
        <v>516</v>
      </c>
      <c r="E97" s="375" t="s">
        <v>487</v>
      </c>
      <c r="F97" s="375"/>
      <c r="G97" s="375"/>
      <c r="H97" s="376"/>
      <c r="I97" s="376">
        <v>6.5</v>
      </c>
      <c r="J97" s="375"/>
      <c r="K97" s="375"/>
      <c r="L97" s="382" t="str">
        <f t="shared" si="5"/>
        <v/>
      </c>
    </row>
    <row r="98" spans="1:12" x14ac:dyDescent="0.45">
      <c r="A98" s="269"/>
      <c r="B98" s="380" t="s">
        <v>337</v>
      </c>
      <c r="C98" s="374" t="s">
        <v>84</v>
      </c>
      <c r="D98" s="375" t="s">
        <v>516</v>
      </c>
      <c r="E98" s="375" t="s">
        <v>274</v>
      </c>
      <c r="F98" s="375"/>
      <c r="G98" s="375"/>
      <c r="H98" s="376"/>
      <c r="I98" s="376">
        <v>6.5</v>
      </c>
      <c r="J98" s="375"/>
      <c r="K98" s="375"/>
      <c r="L98" s="382" t="str">
        <f t="shared" si="5"/>
        <v/>
      </c>
    </row>
    <row r="99" spans="1:12" x14ac:dyDescent="0.45">
      <c r="A99" s="269"/>
      <c r="B99" s="380" t="s">
        <v>338</v>
      </c>
      <c r="C99" s="374" t="s">
        <v>72</v>
      </c>
      <c r="D99" s="375" t="s">
        <v>516</v>
      </c>
      <c r="E99" s="375" t="s">
        <v>514</v>
      </c>
      <c r="F99" s="375"/>
      <c r="G99" s="375">
        <v>1</v>
      </c>
      <c r="H99" s="376"/>
      <c r="I99" s="376">
        <v>7.5</v>
      </c>
      <c r="J99" s="375"/>
      <c r="K99" s="375"/>
      <c r="L99" s="382" t="str">
        <f t="shared" si="5"/>
        <v/>
      </c>
    </row>
    <row r="100" spans="1:12" x14ac:dyDescent="0.45">
      <c r="A100" s="269"/>
      <c r="B100" s="380" t="s">
        <v>339</v>
      </c>
      <c r="C100" s="374" t="s">
        <v>70</v>
      </c>
      <c r="D100" s="375" t="s">
        <v>516</v>
      </c>
      <c r="E100" s="375" t="s">
        <v>276</v>
      </c>
      <c r="F100" s="375" t="s">
        <v>280</v>
      </c>
      <c r="G100" s="375"/>
      <c r="H100" s="376">
        <v>2</v>
      </c>
      <c r="I100" s="376">
        <v>7.5</v>
      </c>
      <c r="J100" s="375"/>
      <c r="K100" s="375"/>
      <c r="L100" s="382" t="str">
        <f t="shared" si="5"/>
        <v/>
      </c>
    </row>
    <row r="101" spans="1:12" x14ac:dyDescent="0.45">
      <c r="A101" s="269"/>
      <c r="B101" s="380" t="s">
        <v>340</v>
      </c>
      <c r="C101" s="374"/>
      <c r="D101" s="375" t="s">
        <v>517</v>
      </c>
      <c r="E101" s="375"/>
      <c r="F101" s="375"/>
      <c r="G101" s="375"/>
      <c r="H101" s="376"/>
      <c r="I101" s="376"/>
      <c r="J101" s="375"/>
      <c r="K101" s="375"/>
      <c r="L101" s="382" t="str">
        <f t="shared" si="5"/>
        <v/>
      </c>
    </row>
    <row r="102" spans="1:12" x14ac:dyDescent="0.45">
      <c r="A102" s="269"/>
      <c r="B102" s="381" t="s">
        <v>341</v>
      </c>
      <c r="C102" s="377"/>
      <c r="D102" s="378" t="s">
        <v>517</v>
      </c>
      <c r="E102" s="378"/>
      <c r="F102" s="378"/>
      <c r="G102" s="378"/>
      <c r="H102" s="379"/>
      <c r="I102" s="379"/>
      <c r="J102" s="378"/>
      <c r="K102" s="378"/>
      <c r="L102" s="383" t="str">
        <f t="shared" si="5"/>
        <v/>
      </c>
    </row>
    <row r="103" spans="1:12" ht="14.65" thickBot="1" x14ac:dyDescent="0.5">
      <c r="A103" s="269"/>
      <c r="B103" s="384" t="s">
        <v>529</v>
      </c>
      <c r="C103" s="384" t="str">
        <f>COUNTIFS($C$85:$C$102,"&lt;&gt;",$D$85:$D$102,"&lt;&gt;Sub - unused")&amp;" played"</f>
        <v>16 played</v>
      </c>
      <c r="D103" s="384"/>
      <c r="E103" s="384"/>
      <c r="F103" s="384"/>
      <c r="G103" s="384">
        <f>SUM($G$85:$G$102)</f>
        <v>9</v>
      </c>
      <c r="H103" s="384">
        <f>SUM($H$85:$H$102)</f>
        <v>5</v>
      </c>
      <c r="I103" s="387">
        <f>IFERROR(AVERAGEIFS($I$85:$I$102,$I$85:$I$102,"&gt;0",$D$85:$D$102,"&lt;&gt;Sub - unused"),"")</f>
        <v>7.78125</v>
      </c>
      <c r="J103" s="384">
        <f>SUM($J$85:$J$102)</f>
        <v>0</v>
      </c>
      <c r="K103" s="384">
        <f>SUM($K$85:$K$102)</f>
        <v>0</v>
      </c>
      <c r="L103" s="384"/>
    </row>
    <row r="104" spans="1:12" ht="28.05" customHeight="1" thickTop="1" x14ac:dyDescent="0.45">
      <c r="A104" s="269"/>
      <c r="B104" s="385" t="s">
        <v>342</v>
      </c>
      <c r="C104" s="516"/>
      <c r="D104" s="508"/>
      <c r="E104" s="508"/>
      <c r="F104" s="508"/>
      <c r="G104" s="508"/>
      <c r="H104" s="508"/>
      <c r="I104" s="508"/>
      <c r="J104" s="508"/>
      <c r="K104" s="508"/>
      <c r="L104" s="509"/>
    </row>
    <row r="105" spans="1:12" ht="28.05" customHeight="1" x14ac:dyDescent="0.45">
      <c r="A105" s="269"/>
      <c r="B105" s="386" t="s">
        <v>530</v>
      </c>
      <c r="C105" s="517"/>
      <c r="D105" s="511"/>
      <c r="E105" s="511"/>
      <c r="F105" s="511"/>
      <c r="G105" s="511"/>
      <c r="H105" s="511"/>
      <c r="I105" s="511"/>
      <c r="J105" s="511"/>
      <c r="K105" s="511"/>
      <c r="L105" s="512"/>
    </row>
    <row r="106" spans="1:12" x14ac:dyDescent="0.45">
      <c r="A106" s="269"/>
      <c r="B106" s="269"/>
      <c r="C106" s="269"/>
      <c r="D106" s="269"/>
      <c r="E106" s="269"/>
      <c r="F106" s="269"/>
      <c r="G106" s="269"/>
      <c r="H106" s="269"/>
    </row>
    <row r="107" spans="1:12" x14ac:dyDescent="0.45">
      <c r="A107" s="269"/>
      <c r="B107" s="515" t="s">
        <v>531</v>
      </c>
      <c r="C107" s="515"/>
      <c r="D107" s="515"/>
      <c r="E107" s="515"/>
      <c r="F107" s="515"/>
      <c r="G107" s="515"/>
      <c r="H107" s="515"/>
      <c r="I107" s="515"/>
      <c r="J107" s="515"/>
      <c r="K107" s="515"/>
      <c r="L107" s="515"/>
    </row>
    <row r="108" spans="1:12" x14ac:dyDescent="0.45">
      <c r="A108" s="269"/>
      <c r="B108" s="367" t="s">
        <v>301</v>
      </c>
      <c r="C108" s="367" t="s">
        <v>343</v>
      </c>
      <c r="D108" s="367" t="s">
        <v>344</v>
      </c>
      <c r="E108" s="367" t="s">
        <v>302</v>
      </c>
      <c r="F108" s="367" t="s">
        <v>303</v>
      </c>
      <c r="G108" s="367" t="s">
        <v>304</v>
      </c>
      <c r="H108" s="367" t="s">
        <v>346</v>
      </c>
    </row>
    <row r="109" spans="1:12" x14ac:dyDescent="0.45">
      <c r="A109" s="269"/>
      <c r="B109" s="369"/>
      <c r="C109" s="370"/>
      <c r="D109" s="370"/>
      <c r="E109" s="370"/>
      <c r="F109" s="370"/>
      <c r="G109" s="371" t="str">
        <f>IF(OR($E$109="",$F$109=""),"",IF($E$109&gt;$F$109,"Win",IF($E$109=$F$109,"Draw","Loss")))</f>
        <v/>
      </c>
      <c r="H109" s="370"/>
    </row>
    <row r="110" spans="1:12" x14ac:dyDescent="0.45">
      <c r="A110" s="269"/>
      <c r="B110" s="372" t="s">
        <v>520</v>
      </c>
      <c r="C110" s="368" t="str">
        <f>IF($F$109="","",IF($F$109=0,"Yes","No"))</f>
        <v/>
      </c>
      <c r="D110" s="372" t="s">
        <v>521</v>
      </c>
      <c r="E110" s="368">
        <f>SUM($G$112:$G$129)</f>
        <v>0</v>
      </c>
      <c r="F110" s="372" t="s">
        <v>522</v>
      </c>
      <c r="G110" s="368" t="str">
        <f>IF(OR($E$109="",$E$110=0),"",IF($E$110=$E$109,"OK","does not match GF"))</f>
        <v/>
      </c>
      <c r="H110" s="269"/>
    </row>
    <row r="111" spans="1:12" x14ac:dyDescent="0.45">
      <c r="A111" s="269"/>
      <c r="B111" s="373" t="s">
        <v>153</v>
      </c>
      <c r="C111" s="373" t="s">
        <v>18</v>
      </c>
      <c r="D111" s="373" t="s">
        <v>316</v>
      </c>
      <c r="E111" s="373" t="s">
        <v>217</v>
      </c>
      <c r="F111" s="373" t="s">
        <v>523</v>
      </c>
      <c r="G111" s="373" t="s">
        <v>524</v>
      </c>
      <c r="H111" s="373" t="s">
        <v>525</v>
      </c>
      <c r="I111" s="373" t="s">
        <v>155</v>
      </c>
      <c r="J111" s="373" t="s">
        <v>526</v>
      </c>
      <c r="K111" s="373" t="s">
        <v>527</v>
      </c>
      <c r="L111" s="373" t="s">
        <v>528</v>
      </c>
    </row>
    <row r="112" spans="1:12" x14ac:dyDescent="0.45">
      <c r="A112" s="269"/>
      <c r="B112" s="380">
        <v>1</v>
      </c>
      <c r="C112" s="374"/>
      <c r="D112" s="375" t="s">
        <v>515</v>
      </c>
      <c r="E112" s="375"/>
      <c r="F112" s="375"/>
      <c r="G112" s="375"/>
      <c r="H112" s="376"/>
      <c r="I112" s="376"/>
      <c r="J112" s="375"/>
      <c r="K112" s="375"/>
      <c r="L112" s="382" t="str">
        <f>IF(OR($C112="",$E112&lt;&gt;"GK",$D112="Sub - unused",$F$109=""),"",IF($F$109=0,"Yes","No"))</f>
        <v/>
      </c>
    </row>
    <row r="113" spans="1:12" x14ac:dyDescent="0.45">
      <c r="A113" s="269"/>
      <c r="B113" s="380">
        <v>2</v>
      </c>
      <c r="C113" s="374"/>
      <c r="D113" s="375" t="s">
        <v>515</v>
      </c>
      <c r="E113" s="375"/>
      <c r="F113" s="375"/>
      <c r="G113" s="375"/>
      <c r="H113" s="376"/>
      <c r="I113" s="376"/>
      <c r="J113" s="375"/>
      <c r="K113" s="375"/>
      <c r="L113" s="382" t="str">
        <f t="shared" ref="L113:L129" si="6">IF(OR($C113="",$E113&lt;&gt;"GK",$D113="Sub - unused",$F$109=""),"",IF($F$109=0,"Yes","No"))</f>
        <v/>
      </c>
    </row>
    <row r="114" spans="1:12" x14ac:dyDescent="0.45">
      <c r="A114" s="269"/>
      <c r="B114" s="380">
        <v>3</v>
      </c>
      <c r="C114" s="374"/>
      <c r="D114" s="375" t="s">
        <v>515</v>
      </c>
      <c r="E114" s="375"/>
      <c r="F114" s="375"/>
      <c r="G114" s="375"/>
      <c r="H114" s="376"/>
      <c r="I114" s="376"/>
      <c r="J114" s="375"/>
      <c r="K114" s="375"/>
      <c r="L114" s="382" t="str">
        <f t="shared" si="6"/>
        <v/>
      </c>
    </row>
    <row r="115" spans="1:12" x14ac:dyDescent="0.45">
      <c r="A115" s="269"/>
      <c r="B115" s="380">
        <v>4</v>
      </c>
      <c r="C115" s="374"/>
      <c r="D115" s="375" t="s">
        <v>515</v>
      </c>
      <c r="E115" s="375"/>
      <c r="F115" s="375"/>
      <c r="G115" s="375"/>
      <c r="H115" s="376"/>
      <c r="I115" s="376"/>
      <c r="J115" s="375"/>
      <c r="K115" s="375"/>
      <c r="L115" s="382" t="str">
        <f t="shared" si="6"/>
        <v/>
      </c>
    </row>
    <row r="116" spans="1:12" x14ac:dyDescent="0.45">
      <c r="A116" s="269"/>
      <c r="B116" s="380">
        <v>5</v>
      </c>
      <c r="C116" s="374"/>
      <c r="D116" s="375" t="s">
        <v>515</v>
      </c>
      <c r="E116" s="375"/>
      <c r="F116" s="375"/>
      <c r="G116" s="375"/>
      <c r="H116" s="376"/>
      <c r="I116" s="376"/>
      <c r="J116" s="375"/>
      <c r="K116" s="375"/>
      <c r="L116" s="382" t="str">
        <f t="shared" si="6"/>
        <v/>
      </c>
    </row>
    <row r="117" spans="1:12" x14ac:dyDescent="0.45">
      <c r="A117" s="269"/>
      <c r="B117" s="380">
        <v>6</v>
      </c>
      <c r="C117" s="374"/>
      <c r="D117" s="375" t="s">
        <v>515</v>
      </c>
      <c r="E117" s="375"/>
      <c r="F117" s="375"/>
      <c r="G117" s="375"/>
      <c r="H117" s="376"/>
      <c r="I117" s="376"/>
      <c r="J117" s="375"/>
      <c r="K117" s="375"/>
      <c r="L117" s="382" t="str">
        <f t="shared" si="6"/>
        <v/>
      </c>
    </row>
    <row r="118" spans="1:12" x14ac:dyDescent="0.45">
      <c r="A118" s="269"/>
      <c r="B118" s="380">
        <v>7</v>
      </c>
      <c r="C118" s="374"/>
      <c r="D118" s="375" t="s">
        <v>515</v>
      </c>
      <c r="E118" s="375"/>
      <c r="F118" s="375"/>
      <c r="G118" s="375"/>
      <c r="H118" s="376"/>
      <c r="I118" s="376"/>
      <c r="J118" s="375"/>
      <c r="K118" s="375"/>
      <c r="L118" s="382" t="str">
        <f t="shared" si="6"/>
        <v/>
      </c>
    </row>
    <row r="119" spans="1:12" x14ac:dyDescent="0.45">
      <c r="A119" s="269"/>
      <c r="B119" s="380">
        <v>8</v>
      </c>
      <c r="C119" s="374"/>
      <c r="D119" s="375" t="s">
        <v>515</v>
      </c>
      <c r="E119" s="375"/>
      <c r="F119" s="375"/>
      <c r="G119" s="375"/>
      <c r="H119" s="376"/>
      <c r="I119" s="376"/>
      <c r="J119" s="375"/>
      <c r="K119" s="375"/>
      <c r="L119" s="382" t="str">
        <f t="shared" si="6"/>
        <v/>
      </c>
    </row>
    <row r="120" spans="1:12" x14ac:dyDescent="0.45">
      <c r="A120" s="269"/>
      <c r="B120" s="380">
        <v>9</v>
      </c>
      <c r="C120" s="374"/>
      <c r="D120" s="375" t="s">
        <v>515</v>
      </c>
      <c r="E120" s="375"/>
      <c r="F120" s="375"/>
      <c r="G120" s="375"/>
      <c r="H120" s="376"/>
      <c r="I120" s="376"/>
      <c r="J120" s="375"/>
      <c r="K120" s="375"/>
      <c r="L120" s="382" t="str">
        <f t="shared" si="6"/>
        <v/>
      </c>
    </row>
    <row r="121" spans="1:12" x14ac:dyDescent="0.45">
      <c r="A121" s="269"/>
      <c r="B121" s="380">
        <v>10</v>
      </c>
      <c r="C121" s="374"/>
      <c r="D121" s="375" t="s">
        <v>515</v>
      </c>
      <c r="E121" s="375"/>
      <c r="F121" s="375"/>
      <c r="G121" s="375"/>
      <c r="H121" s="376"/>
      <c r="I121" s="376"/>
      <c r="J121" s="375"/>
      <c r="K121" s="375"/>
      <c r="L121" s="382" t="str">
        <f t="shared" si="6"/>
        <v/>
      </c>
    </row>
    <row r="122" spans="1:12" x14ac:dyDescent="0.45">
      <c r="A122" s="269"/>
      <c r="B122" s="380">
        <v>11</v>
      </c>
      <c r="C122" s="374"/>
      <c r="D122" s="375" t="s">
        <v>515</v>
      </c>
      <c r="E122" s="375"/>
      <c r="F122" s="375"/>
      <c r="G122" s="375"/>
      <c r="H122" s="376"/>
      <c r="I122" s="376"/>
      <c r="J122" s="375"/>
      <c r="K122" s="375"/>
      <c r="L122" s="382" t="str">
        <f t="shared" si="6"/>
        <v/>
      </c>
    </row>
    <row r="123" spans="1:12" x14ac:dyDescent="0.45">
      <c r="A123" s="269"/>
      <c r="B123" s="380" t="s">
        <v>335</v>
      </c>
      <c r="C123" s="374"/>
      <c r="D123" s="375" t="s">
        <v>516</v>
      </c>
      <c r="E123" s="375"/>
      <c r="F123" s="375"/>
      <c r="G123" s="375"/>
      <c r="H123" s="376"/>
      <c r="I123" s="376"/>
      <c r="J123" s="375"/>
      <c r="K123" s="375"/>
      <c r="L123" s="382" t="str">
        <f t="shared" si="6"/>
        <v/>
      </c>
    </row>
    <row r="124" spans="1:12" x14ac:dyDescent="0.45">
      <c r="A124" s="269"/>
      <c r="B124" s="380" t="s">
        <v>336</v>
      </c>
      <c r="C124" s="374"/>
      <c r="D124" s="375" t="s">
        <v>516</v>
      </c>
      <c r="E124" s="375"/>
      <c r="F124" s="375"/>
      <c r="G124" s="375"/>
      <c r="H124" s="376"/>
      <c r="I124" s="376"/>
      <c r="J124" s="375"/>
      <c r="K124" s="375"/>
      <c r="L124" s="382" t="str">
        <f t="shared" si="6"/>
        <v/>
      </c>
    </row>
    <row r="125" spans="1:12" x14ac:dyDescent="0.45">
      <c r="A125" s="269"/>
      <c r="B125" s="380" t="s">
        <v>337</v>
      </c>
      <c r="C125" s="374"/>
      <c r="D125" s="375" t="s">
        <v>516</v>
      </c>
      <c r="E125" s="375"/>
      <c r="F125" s="375"/>
      <c r="G125" s="375"/>
      <c r="H125" s="376"/>
      <c r="I125" s="376"/>
      <c r="J125" s="375"/>
      <c r="K125" s="375"/>
      <c r="L125" s="382" t="str">
        <f t="shared" si="6"/>
        <v/>
      </c>
    </row>
    <row r="126" spans="1:12" x14ac:dyDescent="0.45">
      <c r="A126" s="269"/>
      <c r="B126" s="380" t="s">
        <v>338</v>
      </c>
      <c r="C126" s="374"/>
      <c r="D126" s="375" t="s">
        <v>516</v>
      </c>
      <c r="E126" s="375"/>
      <c r="F126" s="375"/>
      <c r="G126" s="375"/>
      <c r="H126" s="376"/>
      <c r="I126" s="376"/>
      <c r="J126" s="375"/>
      <c r="K126" s="375"/>
      <c r="L126" s="382" t="str">
        <f t="shared" si="6"/>
        <v/>
      </c>
    </row>
    <row r="127" spans="1:12" x14ac:dyDescent="0.45">
      <c r="A127" s="269"/>
      <c r="B127" s="380" t="s">
        <v>339</v>
      </c>
      <c r="C127" s="374"/>
      <c r="D127" s="375" t="s">
        <v>516</v>
      </c>
      <c r="E127" s="375"/>
      <c r="F127" s="375"/>
      <c r="G127" s="375"/>
      <c r="H127" s="376"/>
      <c r="I127" s="376"/>
      <c r="J127" s="375"/>
      <c r="K127" s="375"/>
      <c r="L127" s="382" t="str">
        <f t="shared" si="6"/>
        <v/>
      </c>
    </row>
    <row r="128" spans="1:12" x14ac:dyDescent="0.45">
      <c r="A128" s="269"/>
      <c r="B128" s="380" t="s">
        <v>340</v>
      </c>
      <c r="C128" s="374"/>
      <c r="D128" s="375" t="s">
        <v>517</v>
      </c>
      <c r="E128" s="375"/>
      <c r="F128" s="375"/>
      <c r="G128" s="375"/>
      <c r="H128" s="376"/>
      <c r="I128" s="376"/>
      <c r="J128" s="375"/>
      <c r="K128" s="375"/>
      <c r="L128" s="382" t="str">
        <f t="shared" si="6"/>
        <v/>
      </c>
    </row>
    <row r="129" spans="1:12" x14ac:dyDescent="0.45">
      <c r="A129" s="269"/>
      <c r="B129" s="381" t="s">
        <v>341</v>
      </c>
      <c r="C129" s="377"/>
      <c r="D129" s="378" t="s">
        <v>517</v>
      </c>
      <c r="E129" s="378"/>
      <c r="F129" s="378"/>
      <c r="G129" s="378"/>
      <c r="H129" s="379"/>
      <c r="I129" s="379"/>
      <c r="J129" s="378"/>
      <c r="K129" s="378"/>
      <c r="L129" s="383" t="str">
        <f t="shared" si="6"/>
        <v/>
      </c>
    </row>
    <row r="130" spans="1:12" ht="14.65" thickBot="1" x14ac:dyDescent="0.5">
      <c r="A130" s="269"/>
      <c r="B130" s="384" t="s">
        <v>529</v>
      </c>
      <c r="C130" s="384" t="str">
        <f>COUNTIFS($C$112:$C$129,"&lt;&gt;",$D$112:$D$129,"&lt;&gt;Sub - unused")&amp;" played"</f>
        <v>0 played</v>
      </c>
      <c r="D130" s="384"/>
      <c r="E130" s="384"/>
      <c r="F130" s="384"/>
      <c r="G130" s="384">
        <f>SUM($G$112:$G$129)</f>
        <v>0</v>
      </c>
      <c r="H130" s="384">
        <f>SUM($H$112:$H$129)</f>
        <v>0</v>
      </c>
      <c r="I130" s="387" t="str">
        <f>IFERROR(AVERAGEIFS($I$112:$I$129,$I$112:$I$129,"&gt;0",$D$112:$D$129,"&lt;&gt;Sub - unused"),"")</f>
        <v/>
      </c>
      <c r="J130" s="384">
        <f>SUM($J$112:$J$129)</f>
        <v>0</v>
      </c>
      <c r="K130" s="384">
        <f>SUM($K$112:$K$129)</f>
        <v>0</v>
      </c>
      <c r="L130" s="384"/>
    </row>
    <row r="131" spans="1:12" ht="28.05" customHeight="1" thickTop="1" x14ac:dyDescent="0.45">
      <c r="A131" s="269"/>
      <c r="B131" s="385" t="s">
        <v>342</v>
      </c>
      <c r="C131" s="516"/>
      <c r="D131" s="508"/>
      <c r="E131" s="508"/>
      <c r="F131" s="508"/>
      <c r="G131" s="508"/>
      <c r="H131" s="508"/>
      <c r="I131" s="508"/>
      <c r="J131" s="508"/>
      <c r="K131" s="508"/>
      <c r="L131" s="509"/>
    </row>
    <row r="132" spans="1:12" ht="28.05" customHeight="1" x14ac:dyDescent="0.45">
      <c r="A132" s="269"/>
      <c r="B132" s="386" t="s">
        <v>530</v>
      </c>
      <c r="C132" s="517"/>
      <c r="D132" s="511"/>
      <c r="E132" s="511"/>
      <c r="F132" s="511"/>
      <c r="G132" s="511"/>
      <c r="H132" s="511"/>
      <c r="I132" s="511"/>
      <c r="J132" s="511"/>
      <c r="K132" s="511"/>
      <c r="L132" s="512"/>
    </row>
    <row r="133" spans="1:12" x14ac:dyDescent="0.45">
      <c r="A133" s="269"/>
      <c r="B133" s="269"/>
      <c r="C133" s="269"/>
      <c r="D133" s="269"/>
      <c r="E133" s="269"/>
      <c r="F133" s="269"/>
      <c r="G133" s="269"/>
      <c r="H133" s="269"/>
    </row>
    <row r="134" spans="1:12" x14ac:dyDescent="0.45">
      <c r="A134" s="269"/>
      <c r="B134" s="515" t="s">
        <v>532</v>
      </c>
      <c r="C134" s="515"/>
      <c r="D134" s="515"/>
      <c r="E134" s="515"/>
      <c r="F134" s="515"/>
      <c r="G134" s="515"/>
      <c r="H134" s="515"/>
      <c r="I134" s="515"/>
      <c r="J134" s="515"/>
      <c r="K134" s="515"/>
      <c r="L134" s="515"/>
    </row>
    <row r="135" spans="1:12" x14ac:dyDescent="0.45">
      <c r="A135" s="269"/>
      <c r="B135" s="367" t="s">
        <v>301</v>
      </c>
      <c r="C135" s="367" t="s">
        <v>343</v>
      </c>
      <c r="D135" s="367" t="s">
        <v>344</v>
      </c>
      <c r="E135" s="367" t="s">
        <v>302</v>
      </c>
      <c r="F135" s="367" t="s">
        <v>303</v>
      </c>
      <c r="G135" s="367" t="s">
        <v>304</v>
      </c>
      <c r="H135" s="367" t="s">
        <v>346</v>
      </c>
    </row>
    <row r="136" spans="1:12" x14ac:dyDescent="0.45">
      <c r="A136" s="269"/>
      <c r="B136" s="369"/>
      <c r="C136" s="370"/>
      <c r="D136" s="370"/>
      <c r="E136" s="370"/>
      <c r="F136" s="370"/>
      <c r="G136" s="371" t="str">
        <f>IF(OR($E$136="",$F$136=""),"",IF($E$136&gt;$F$136,"Win",IF($E$136=$F$136,"Draw","Loss")))</f>
        <v/>
      </c>
      <c r="H136" s="370"/>
    </row>
    <row r="137" spans="1:12" x14ac:dyDescent="0.45">
      <c r="A137" s="269"/>
      <c r="B137" s="372" t="s">
        <v>520</v>
      </c>
      <c r="C137" s="368" t="str">
        <f>IF($F$136="","",IF($F$136=0,"Yes","No"))</f>
        <v/>
      </c>
      <c r="D137" s="372" t="s">
        <v>521</v>
      </c>
      <c r="E137" s="368">
        <f>SUM($G$139:$G$156)</f>
        <v>0</v>
      </c>
      <c r="F137" s="372" t="s">
        <v>522</v>
      </c>
      <c r="G137" s="368" t="str">
        <f>IF(OR($E$136="",$E$137=0),"",IF($E$137=$E$136,"OK","does not match GF"))</f>
        <v/>
      </c>
      <c r="H137" s="269"/>
    </row>
    <row r="138" spans="1:12" x14ac:dyDescent="0.45">
      <c r="A138" s="269"/>
      <c r="B138" s="373" t="s">
        <v>153</v>
      </c>
      <c r="C138" s="373" t="s">
        <v>18</v>
      </c>
      <c r="D138" s="373" t="s">
        <v>316</v>
      </c>
      <c r="E138" s="373" t="s">
        <v>217</v>
      </c>
      <c r="F138" s="373" t="s">
        <v>523</v>
      </c>
      <c r="G138" s="373" t="s">
        <v>524</v>
      </c>
      <c r="H138" s="373" t="s">
        <v>525</v>
      </c>
      <c r="I138" s="373" t="s">
        <v>155</v>
      </c>
      <c r="J138" s="373" t="s">
        <v>526</v>
      </c>
      <c r="K138" s="373" t="s">
        <v>527</v>
      </c>
      <c r="L138" s="373" t="s">
        <v>528</v>
      </c>
    </row>
    <row r="139" spans="1:12" x14ac:dyDescent="0.45">
      <c r="A139" s="269"/>
      <c r="B139" s="380">
        <v>1</v>
      </c>
      <c r="C139" s="374"/>
      <c r="D139" s="375" t="s">
        <v>515</v>
      </c>
      <c r="E139" s="375"/>
      <c r="F139" s="375"/>
      <c r="G139" s="375"/>
      <c r="H139" s="376"/>
      <c r="I139" s="376"/>
      <c r="J139" s="375"/>
      <c r="K139" s="375"/>
      <c r="L139" s="382" t="str">
        <f>IF(OR($C139="",$E139&lt;&gt;"GK",$D139="Sub - unused",$F$136=""),"",IF($F$136=0,"Yes","No"))</f>
        <v/>
      </c>
    </row>
    <row r="140" spans="1:12" x14ac:dyDescent="0.45">
      <c r="A140" s="269"/>
      <c r="B140" s="380">
        <v>2</v>
      </c>
      <c r="C140" s="374"/>
      <c r="D140" s="375" t="s">
        <v>515</v>
      </c>
      <c r="E140" s="375"/>
      <c r="F140" s="375"/>
      <c r="G140" s="375"/>
      <c r="H140" s="376"/>
      <c r="I140" s="376"/>
      <c r="J140" s="375"/>
      <c r="K140" s="375"/>
      <c r="L140" s="382" t="str">
        <f t="shared" ref="L140:L156" si="7">IF(OR($C140="",$E140&lt;&gt;"GK",$D140="Sub - unused",$F$136=""),"",IF($F$136=0,"Yes","No"))</f>
        <v/>
      </c>
    </row>
    <row r="141" spans="1:12" x14ac:dyDescent="0.45">
      <c r="A141" s="269"/>
      <c r="B141" s="380">
        <v>3</v>
      </c>
      <c r="C141" s="374"/>
      <c r="D141" s="375" t="s">
        <v>515</v>
      </c>
      <c r="E141" s="375"/>
      <c r="F141" s="375"/>
      <c r="G141" s="375"/>
      <c r="H141" s="376"/>
      <c r="I141" s="376"/>
      <c r="J141" s="375"/>
      <c r="K141" s="375"/>
      <c r="L141" s="382" t="str">
        <f t="shared" si="7"/>
        <v/>
      </c>
    </row>
    <row r="142" spans="1:12" x14ac:dyDescent="0.45">
      <c r="A142" s="269"/>
      <c r="B142" s="380">
        <v>4</v>
      </c>
      <c r="C142" s="374"/>
      <c r="D142" s="375" t="s">
        <v>515</v>
      </c>
      <c r="E142" s="375"/>
      <c r="F142" s="375"/>
      <c r="G142" s="375"/>
      <c r="H142" s="376"/>
      <c r="I142" s="376"/>
      <c r="J142" s="375"/>
      <c r="K142" s="375"/>
      <c r="L142" s="382" t="str">
        <f t="shared" si="7"/>
        <v/>
      </c>
    </row>
    <row r="143" spans="1:12" x14ac:dyDescent="0.45">
      <c r="A143" s="269"/>
      <c r="B143" s="380">
        <v>5</v>
      </c>
      <c r="C143" s="374"/>
      <c r="D143" s="375" t="s">
        <v>515</v>
      </c>
      <c r="E143" s="375"/>
      <c r="F143" s="375"/>
      <c r="G143" s="375"/>
      <c r="H143" s="376"/>
      <c r="I143" s="376"/>
      <c r="J143" s="375"/>
      <c r="K143" s="375"/>
      <c r="L143" s="382" t="str">
        <f t="shared" si="7"/>
        <v/>
      </c>
    </row>
    <row r="144" spans="1:12" x14ac:dyDescent="0.45">
      <c r="A144" s="269"/>
      <c r="B144" s="380">
        <v>6</v>
      </c>
      <c r="C144" s="374"/>
      <c r="D144" s="375" t="s">
        <v>515</v>
      </c>
      <c r="E144" s="375"/>
      <c r="F144" s="375"/>
      <c r="G144" s="375"/>
      <c r="H144" s="376"/>
      <c r="I144" s="376"/>
      <c r="J144" s="375"/>
      <c r="K144" s="375"/>
      <c r="L144" s="382" t="str">
        <f t="shared" si="7"/>
        <v/>
      </c>
    </row>
    <row r="145" spans="1:12" x14ac:dyDescent="0.45">
      <c r="A145" s="269"/>
      <c r="B145" s="380">
        <v>7</v>
      </c>
      <c r="C145" s="374"/>
      <c r="D145" s="375" t="s">
        <v>515</v>
      </c>
      <c r="E145" s="375"/>
      <c r="F145" s="375"/>
      <c r="G145" s="375"/>
      <c r="H145" s="376"/>
      <c r="I145" s="376"/>
      <c r="J145" s="375"/>
      <c r="K145" s="375"/>
      <c r="L145" s="382" t="str">
        <f t="shared" si="7"/>
        <v/>
      </c>
    </row>
    <row r="146" spans="1:12" x14ac:dyDescent="0.45">
      <c r="A146" s="269"/>
      <c r="B146" s="380">
        <v>8</v>
      </c>
      <c r="C146" s="374"/>
      <c r="D146" s="375" t="s">
        <v>515</v>
      </c>
      <c r="E146" s="375"/>
      <c r="F146" s="375"/>
      <c r="G146" s="375"/>
      <c r="H146" s="376"/>
      <c r="I146" s="376"/>
      <c r="J146" s="375"/>
      <c r="K146" s="375"/>
      <c r="L146" s="382" t="str">
        <f t="shared" si="7"/>
        <v/>
      </c>
    </row>
    <row r="147" spans="1:12" x14ac:dyDescent="0.45">
      <c r="A147" s="269"/>
      <c r="B147" s="380">
        <v>9</v>
      </c>
      <c r="C147" s="374"/>
      <c r="D147" s="375" t="s">
        <v>515</v>
      </c>
      <c r="E147" s="375"/>
      <c r="F147" s="375"/>
      <c r="G147" s="375"/>
      <c r="H147" s="376"/>
      <c r="I147" s="376"/>
      <c r="J147" s="375"/>
      <c r="K147" s="375"/>
      <c r="L147" s="382" t="str">
        <f t="shared" si="7"/>
        <v/>
      </c>
    </row>
    <row r="148" spans="1:12" x14ac:dyDescent="0.45">
      <c r="A148" s="269"/>
      <c r="B148" s="380">
        <v>10</v>
      </c>
      <c r="C148" s="374"/>
      <c r="D148" s="375" t="s">
        <v>515</v>
      </c>
      <c r="E148" s="375"/>
      <c r="F148" s="375"/>
      <c r="G148" s="375"/>
      <c r="H148" s="376"/>
      <c r="I148" s="376"/>
      <c r="J148" s="375"/>
      <c r="K148" s="375"/>
      <c r="L148" s="382" t="str">
        <f t="shared" si="7"/>
        <v/>
      </c>
    </row>
    <row r="149" spans="1:12" x14ac:dyDescent="0.45">
      <c r="A149" s="269"/>
      <c r="B149" s="380">
        <v>11</v>
      </c>
      <c r="C149" s="374"/>
      <c r="D149" s="375" t="s">
        <v>515</v>
      </c>
      <c r="E149" s="375"/>
      <c r="F149" s="375"/>
      <c r="G149" s="375"/>
      <c r="H149" s="376"/>
      <c r="I149" s="376"/>
      <c r="J149" s="375"/>
      <c r="K149" s="375"/>
      <c r="L149" s="382" t="str">
        <f t="shared" si="7"/>
        <v/>
      </c>
    </row>
    <row r="150" spans="1:12" x14ac:dyDescent="0.45">
      <c r="A150" s="269"/>
      <c r="B150" s="380" t="s">
        <v>335</v>
      </c>
      <c r="C150" s="374"/>
      <c r="D150" s="375" t="s">
        <v>517</v>
      </c>
      <c r="E150" s="375"/>
      <c r="F150" s="375"/>
      <c r="G150" s="375"/>
      <c r="H150" s="376"/>
      <c r="I150" s="376"/>
      <c r="J150" s="375"/>
      <c r="K150" s="375"/>
      <c r="L150" s="382" t="str">
        <f t="shared" si="7"/>
        <v/>
      </c>
    </row>
    <row r="151" spans="1:12" x14ac:dyDescent="0.45">
      <c r="A151" s="269"/>
      <c r="B151" s="380" t="s">
        <v>336</v>
      </c>
      <c r="C151" s="374"/>
      <c r="D151" s="375" t="s">
        <v>517</v>
      </c>
      <c r="E151" s="375"/>
      <c r="F151" s="375"/>
      <c r="G151" s="375"/>
      <c r="H151" s="376"/>
      <c r="I151" s="376"/>
      <c r="J151" s="375"/>
      <c r="K151" s="375"/>
      <c r="L151" s="382" t="str">
        <f t="shared" si="7"/>
        <v/>
      </c>
    </row>
    <row r="152" spans="1:12" x14ac:dyDescent="0.45">
      <c r="A152" s="269"/>
      <c r="B152" s="380" t="s">
        <v>337</v>
      </c>
      <c r="C152" s="374"/>
      <c r="D152" s="375" t="s">
        <v>517</v>
      </c>
      <c r="E152" s="375"/>
      <c r="F152" s="375"/>
      <c r="G152" s="375"/>
      <c r="H152" s="376"/>
      <c r="I152" s="376"/>
      <c r="J152" s="375"/>
      <c r="K152" s="375"/>
      <c r="L152" s="382" t="str">
        <f t="shared" si="7"/>
        <v/>
      </c>
    </row>
    <row r="153" spans="1:12" x14ac:dyDescent="0.45">
      <c r="A153" s="269"/>
      <c r="B153" s="380" t="s">
        <v>338</v>
      </c>
      <c r="C153" s="374"/>
      <c r="D153" s="375" t="s">
        <v>517</v>
      </c>
      <c r="E153" s="375"/>
      <c r="F153" s="375"/>
      <c r="G153" s="375"/>
      <c r="H153" s="376"/>
      <c r="I153" s="376"/>
      <c r="J153" s="375"/>
      <c r="K153" s="375"/>
      <c r="L153" s="382" t="str">
        <f t="shared" si="7"/>
        <v/>
      </c>
    </row>
    <row r="154" spans="1:12" x14ac:dyDescent="0.45">
      <c r="A154" s="269"/>
      <c r="B154" s="380" t="s">
        <v>339</v>
      </c>
      <c r="C154" s="374"/>
      <c r="D154" s="375" t="s">
        <v>517</v>
      </c>
      <c r="E154" s="375"/>
      <c r="F154" s="375"/>
      <c r="G154" s="375"/>
      <c r="H154" s="376"/>
      <c r="I154" s="376"/>
      <c r="J154" s="375"/>
      <c r="K154" s="375"/>
      <c r="L154" s="382" t="str">
        <f t="shared" si="7"/>
        <v/>
      </c>
    </row>
    <row r="155" spans="1:12" x14ac:dyDescent="0.45">
      <c r="A155" s="269"/>
      <c r="B155" s="380" t="s">
        <v>340</v>
      </c>
      <c r="C155" s="374"/>
      <c r="D155" s="375" t="s">
        <v>517</v>
      </c>
      <c r="E155" s="375"/>
      <c r="F155" s="375"/>
      <c r="G155" s="375"/>
      <c r="H155" s="376"/>
      <c r="I155" s="376"/>
      <c r="J155" s="375"/>
      <c r="K155" s="375"/>
      <c r="L155" s="382" t="str">
        <f t="shared" si="7"/>
        <v/>
      </c>
    </row>
    <row r="156" spans="1:12" x14ac:dyDescent="0.45">
      <c r="A156" s="269"/>
      <c r="B156" s="381" t="s">
        <v>341</v>
      </c>
      <c r="C156" s="377"/>
      <c r="D156" s="378" t="s">
        <v>517</v>
      </c>
      <c r="E156" s="378"/>
      <c r="F156" s="378"/>
      <c r="G156" s="378"/>
      <c r="H156" s="379"/>
      <c r="I156" s="379"/>
      <c r="J156" s="378"/>
      <c r="K156" s="378"/>
      <c r="L156" s="383" t="str">
        <f t="shared" si="7"/>
        <v/>
      </c>
    </row>
    <row r="157" spans="1:12" ht="14.65" thickBot="1" x14ac:dyDescent="0.5">
      <c r="A157" s="269"/>
      <c r="B157" s="384" t="s">
        <v>529</v>
      </c>
      <c r="C157" s="384" t="str">
        <f>COUNTIFS($C$139:$C$156,"&lt;&gt;",$D$139:$D$156,"&lt;&gt;Sub - unused")&amp;" played"</f>
        <v>0 played</v>
      </c>
      <c r="D157" s="384"/>
      <c r="E157" s="384"/>
      <c r="F157" s="384"/>
      <c r="G157" s="384">
        <f>SUM($G$139:$G$156)</f>
        <v>0</v>
      </c>
      <c r="H157" s="384">
        <f>SUM($H$139:$H$156)</f>
        <v>0</v>
      </c>
      <c r="I157" s="387" t="str">
        <f>IFERROR(AVERAGEIFS($I$139:$I$156,$I$139:$I$156,"&gt;0",$D$139:$D$156,"&lt;&gt;Sub - unused"),"")</f>
        <v/>
      </c>
      <c r="J157" s="384">
        <f>SUM($J$139:$J$156)</f>
        <v>0</v>
      </c>
      <c r="K157" s="384">
        <f>SUM($K$139:$K$156)</f>
        <v>0</v>
      </c>
      <c r="L157" s="384"/>
    </row>
    <row r="158" spans="1:12" ht="28.05" customHeight="1" thickTop="1" x14ac:dyDescent="0.45">
      <c r="A158" s="269"/>
      <c r="B158" s="385" t="s">
        <v>342</v>
      </c>
      <c r="C158" s="516"/>
      <c r="D158" s="508"/>
      <c r="E158" s="508"/>
      <c r="F158" s="508"/>
      <c r="G158" s="508"/>
      <c r="H158" s="508"/>
      <c r="I158" s="508"/>
      <c r="J158" s="508"/>
      <c r="K158" s="508"/>
      <c r="L158" s="509"/>
    </row>
    <row r="159" spans="1:12" ht="28.05" customHeight="1" x14ac:dyDescent="0.45">
      <c r="A159" s="269"/>
      <c r="B159" s="386" t="s">
        <v>530</v>
      </c>
      <c r="C159" s="517"/>
      <c r="D159" s="511"/>
      <c r="E159" s="511"/>
      <c r="F159" s="511"/>
      <c r="G159" s="511"/>
      <c r="H159" s="511"/>
      <c r="I159" s="511"/>
      <c r="J159" s="511"/>
      <c r="K159" s="511"/>
      <c r="L159" s="512"/>
    </row>
    <row r="160" spans="1:12" x14ac:dyDescent="0.45">
      <c r="A160" s="269"/>
      <c r="B160" s="269"/>
      <c r="C160" s="269"/>
      <c r="D160" s="269"/>
      <c r="E160" s="269"/>
      <c r="F160" s="269"/>
      <c r="G160" s="269"/>
      <c r="H160" s="269"/>
    </row>
    <row r="161" spans="1:12" x14ac:dyDescent="0.45">
      <c r="A161" s="269"/>
      <c r="B161" s="515" t="s">
        <v>533</v>
      </c>
      <c r="C161" s="515"/>
      <c r="D161" s="515"/>
      <c r="E161" s="515"/>
      <c r="F161" s="515"/>
      <c r="G161" s="515"/>
      <c r="H161" s="515"/>
      <c r="I161" s="515"/>
      <c r="J161" s="515"/>
      <c r="K161" s="515"/>
      <c r="L161" s="515"/>
    </row>
    <row r="162" spans="1:12" x14ac:dyDescent="0.45">
      <c r="A162" s="269"/>
      <c r="B162" s="367" t="s">
        <v>301</v>
      </c>
      <c r="C162" s="367" t="s">
        <v>343</v>
      </c>
      <c r="D162" s="367" t="s">
        <v>344</v>
      </c>
      <c r="E162" s="367" t="s">
        <v>302</v>
      </c>
      <c r="F162" s="367" t="s">
        <v>303</v>
      </c>
      <c r="G162" s="367" t="s">
        <v>304</v>
      </c>
      <c r="H162" s="367" t="s">
        <v>346</v>
      </c>
    </row>
    <row r="163" spans="1:12" x14ac:dyDescent="0.45">
      <c r="A163" s="269"/>
      <c r="B163" s="369"/>
      <c r="C163" s="370"/>
      <c r="D163" s="370"/>
      <c r="E163" s="370"/>
      <c r="F163" s="370"/>
      <c r="G163" s="371" t="str">
        <f>IF(OR($E$163="",$F$163=""),"",IF($E$163&gt;$F$163,"Win",IF($E$163=$F$163,"Draw","Loss")))</f>
        <v/>
      </c>
      <c r="H163" s="370"/>
    </row>
    <row r="164" spans="1:12" x14ac:dyDescent="0.45">
      <c r="A164" s="269"/>
      <c r="B164" s="372" t="s">
        <v>520</v>
      </c>
      <c r="C164" s="368" t="str">
        <f>IF($F$163="","",IF($F$163=0,"Yes","No"))</f>
        <v/>
      </c>
      <c r="D164" s="372" t="s">
        <v>521</v>
      </c>
      <c r="E164" s="368">
        <f>SUM($G$166:$G$183)</f>
        <v>0</v>
      </c>
      <c r="F164" s="372" t="s">
        <v>522</v>
      </c>
      <c r="G164" s="368" t="str">
        <f>IF(OR($E$163="",$E$164=0),"",IF($E$164=$E$163,"OK","does not match GF"))</f>
        <v/>
      </c>
      <c r="H164" s="269"/>
    </row>
    <row r="165" spans="1:12" x14ac:dyDescent="0.45">
      <c r="A165" s="269"/>
      <c r="B165" s="373" t="s">
        <v>153</v>
      </c>
      <c r="C165" s="373" t="s">
        <v>18</v>
      </c>
      <c r="D165" s="373" t="s">
        <v>316</v>
      </c>
      <c r="E165" s="373" t="s">
        <v>217</v>
      </c>
      <c r="F165" s="373" t="s">
        <v>523</v>
      </c>
      <c r="G165" s="373" t="s">
        <v>524</v>
      </c>
      <c r="H165" s="373" t="s">
        <v>525</v>
      </c>
      <c r="I165" s="373" t="s">
        <v>155</v>
      </c>
      <c r="J165" s="373" t="s">
        <v>526</v>
      </c>
      <c r="K165" s="373" t="s">
        <v>527</v>
      </c>
      <c r="L165" s="373" t="s">
        <v>528</v>
      </c>
    </row>
    <row r="166" spans="1:12" x14ac:dyDescent="0.45">
      <c r="A166" s="269"/>
      <c r="B166" s="380">
        <v>1</v>
      </c>
      <c r="C166" s="374"/>
      <c r="D166" s="375" t="s">
        <v>515</v>
      </c>
      <c r="E166" s="375"/>
      <c r="F166" s="375"/>
      <c r="G166" s="375"/>
      <c r="H166" s="376"/>
      <c r="I166" s="376"/>
      <c r="J166" s="375"/>
      <c r="K166" s="375"/>
      <c r="L166" s="382" t="str">
        <f>IF(OR($C166="",$E166&lt;&gt;"GK",$D166="Sub - unused",$F$163=""),"",IF($F$163=0,"Yes","No"))</f>
        <v/>
      </c>
    </row>
    <row r="167" spans="1:12" x14ac:dyDescent="0.45">
      <c r="A167" s="269"/>
      <c r="B167" s="380">
        <v>2</v>
      </c>
      <c r="C167" s="374"/>
      <c r="D167" s="375" t="s">
        <v>515</v>
      </c>
      <c r="E167" s="375"/>
      <c r="F167" s="375"/>
      <c r="G167" s="375"/>
      <c r="H167" s="376"/>
      <c r="I167" s="376"/>
      <c r="J167" s="375"/>
      <c r="K167" s="375"/>
      <c r="L167" s="382" t="str">
        <f t="shared" ref="L167:L183" si="8">IF(OR($C167="",$E167&lt;&gt;"GK",$D167="Sub - unused",$F$163=""),"",IF($F$163=0,"Yes","No"))</f>
        <v/>
      </c>
    </row>
    <row r="168" spans="1:12" x14ac:dyDescent="0.45">
      <c r="A168" s="269"/>
      <c r="B168" s="380">
        <v>3</v>
      </c>
      <c r="C168" s="374"/>
      <c r="D168" s="375" t="s">
        <v>515</v>
      </c>
      <c r="E168" s="375"/>
      <c r="F168" s="375"/>
      <c r="G168" s="375"/>
      <c r="H168" s="376"/>
      <c r="I168" s="376"/>
      <c r="J168" s="375"/>
      <c r="K168" s="375"/>
      <c r="L168" s="382" t="str">
        <f t="shared" si="8"/>
        <v/>
      </c>
    </row>
    <row r="169" spans="1:12" x14ac:dyDescent="0.45">
      <c r="A169" s="269"/>
      <c r="B169" s="380">
        <v>4</v>
      </c>
      <c r="C169" s="374"/>
      <c r="D169" s="375" t="s">
        <v>515</v>
      </c>
      <c r="E169" s="375"/>
      <c r="F169" s="375"/>
      <c r="G169" s="375"/>
      <c r="H169" s="376"/>
      <c r="I169" s="376"/>
      <c r="J169" s="375"/>
      <c r="K169" s="375"/>
      <c r="L169" s="382" t="str">
        <f t="shared" si="8"/>
        <v/>
      </c>
    </row>
    <row r="170" spans="1:12" x14ac:dyDescent="0.45">
      <c r="A170" s="269"/>
      <c r="B170" s="380">
        <v>5</v>
      </c>
      <c r="C170" s="374"/>
      <c r="D170" s="375" t="s">
        <v>515</v>
      </c>
      <c r="E170" s="375"/>
      <c r="F170" s="375"/>
      <c r="G170" s="375"/>
      <c r="H170" s="376"/>
      <c r="I170" s="376"/>
      <c r="J170" s="375"/>
      <c r="K170" s="375"/>
      <c r="L170" s="382" t="str">
        <f t="shared" si="8"/>
        <v/>
      </c>
    </row>
    <row r="171" spans="1:12" x14ac:dyDescent="0.45">
      <c r="A171" s="269"/>
      <c r="B171" s="380">
        <v>6</v>
      </c>
      <c r="C171" s="374"/>
      <c r="D171" s="375" t="s">
        <v>515</v>
      </c>
      <c r="E171" s="375"/>
      <c r="F171" s="375"/>
      <c r="G171" s="375"/>
      <c r="H171" s="376"/>
      <c r="I171" s="376"/>
      <c r="J171" s="375"/>
      <c r="K171" s="375"/>
      <c r="L171" s="382" t="str">
        <f t="shared" si="8"/>
        <v/>
      </c>
    </row>
    <row r="172" spans="1:12" x14ac:dyDescent="0.45">
      <c r="A172" s="269"/>
      <c r="B172" s="380">
        <v>7</v>
      </c>
      <c r="C172" s="374"/>
      <c r="D172" s="375" t="s">
        <v>515</v>
      </c>
      <c r="E172" s="375"/>
      <c r="F172" s="375"/>
      <c r="G172" s="375"/>
      <c r="H172" s="376"/>
      <c r="I172" s="376"/>
      <c r="J172" s="375"/>
      <c r="K172" s="375"/>
      <c r="L172" s="382" t="str">
        <f t="shared" si="8"/>
        <v/>
      </c>
    </row>
    <row r="173" spans="1:12" x14ac:dyDescent="0.45">
      <c r="A173" s="269"/>
      <c r="B173" s="380">
        <v>8</v>
      </c>
      <c r="C173" s="374"/>
      <c r="D173" s="375" t="s">
        <v>515</v>
      </c>
      <c r="E173" s="375"/>
      <c r="F173" s="375"/>
      <c r="G173" s="375"/>
      <c r="H173" s="376"/>
      <c r="I173" s="376"/>
      <c r="J173" s="375"/>
      <c r="K173" s="375"/>
      <c r="L173" s="382" t="str">
        <f t="shared" si="8"/>
        <v/>
      </c>
    </row>
    <row r="174" spans="1:12" x14ac:dyDescent="0.45">
      <c r="A174" s="269"/>
      <c r="B174" s="380">
        <v>9</v>
      </c>
      <c r="C174" s="374"/>
      <c r="D174" s="375" t="s">
        <v>515</v>
      </c>
      <c r="E174" s="375"/>
      <c r="F174" s="375"/>
      <c r="G174" s="375"/>
      <c r="H174" s="376"/>
      <c r="I174" s="376"/>
      <c r="J174" s="375"/>
      <c r="K174" s="375"/>
      <c r="L174" s="382" t="str">
        <f t="shared" si="8"/>
        <v/>
      </c>
    </row>
    <row r="175" spans="1:12" x14ac:dyDescent="0.45">
      <c r="A175" s="269"/>
      <c r="B175" s="380">
        <v>10</v>
      </c>
      <c r="C175" s="374"/>
      <c r="D175" s="375" t="s">
        <v>515</v>
      </c>
      <c r="E175" s="375"/>
      <c r="F175" s="375"/>
      <c r="G175" s="375"/>
      <c r="H175" s="376"/>
      <c r="I175" s="376"/>
      <c r="J175" s="375"/>
      <c r="K175" s="375"/>
      <c r="L175" s="382" t="str">
        <f t="shared" si="8"/>
        <v/>
      </c>
    </row>
    <row r="176" spans="1:12" x14ac:dyDescent="0.45">
      <c r="A176" s="269"/>
      <c r="B176" s="380">
        <v>11</v>
      </c>
      <c r="C176" s="374"/>
      <c r="D176" s="375" t="s">
        <v>515</v>
      </c>
      <c r="E176" s="375"/>
      <c r="F176" s="375"/>
      <c r="G176" s="375"/>
      <c r="H176" s="376"/>
      <c r="I176" s="376"/>
      <c r="J176" s="375"/>
      <c r="K176" s="375"/>
      <c r="L176" s="382" t="str">
        <f t="shared" si="8"/>
        <v/>
      </c>
    </row>
    <row r="177" spans="1:12" x14ac:dyDescent="0.45">
      <c r="A177" s="269"/>
      <c r="B177" s="380" t="s">
        <v>335</v>
      </c>
      <c r="C177" s="374"/>
      <c r="D177" s="375" t="s">
        <v>517</v>
      </c>
      <c r="E177" s="375"/>
      <c r="F177" s="375"/>
      <c r="G177" s="375"/>
      <c r="H177" s="376"/>
      <c r="I177" s="376"/>
      <c r="J177" s="375"/>
      <c r="K177" s="375"/>
      <c r="L177" s="382" t="str">
        <f t="shared" si="8"/>
        <v/>
      </c>
    </row>
    <row r="178" spans="1:12" x14ac:dyDescent="0.45">
      <c r="A178" s="269"/>
      <c r="B178" s="380" t="s">
        <v>336</v>
      </c>
      <c r="C178" s="374"/>
      <c r="D178" s="375" t="s">
        <v>517</v>
      </c>
      <c r="E178" s="375"/>
      <c r="F178" s="375"/>
      <c r="G178" s="375"/>
      <c r="H178" s="376"/>
      <c r="I178" s="376"/>
      <c r="J178" s="375"/>
      <c r="K178" s="375"/>
      <c r="L178" s="382" t="str">
        <f t="shared" si="8"/>
        <v/>
      </c>
    </row>
    <row r="179" spans="1:12" x14ac:dyDescent="0.45">
      <c r="A179" s="269"/>
      <c r="B179" s="380" t="s">
        <v>337</v>
      </c>
      <c r="C179" s="374"/>
      <c r="D179" s="375" t="s">
        <v>517</v>
      </c>
      <c r="E179" s="375"/>
      <c r="F179" s="375"/>
      <c r="G179" s="375"/>
      <c r="H179" s="376"/>
      <c r="I179" s="376"/>
      <c r="J179" s="375"/>
      <c r="K179" s="375"/>
      <c r="L179" s="382" t="str">
        <f t="shared" si="8"/>
        <v/>
      </c>
    </row>
    <row r="180" spans="1:12" x14ac:dyDescent="0.45">
      <c r="A180" s="269"/>
      <c r="B180" s="380" t="s">
        <v>338</v>
      </c>
      <c r="C180" s="374"/>
      <c r="D180" s="375" t="s">
        <v>517</v>
      </c>
      <c r="E180" s="375"/>
      <c r="F180" s="375"/>
      <c r="G180" s="375"/>
      <c r="H180" s="376"/>
      <c r="I180" s="376"/>
      <c r="J180" s="375"/>
      <c r="K180" s="375"/>
      <c r="L180" s="382" t="str">
        <f t="shared" si="8"/>
        <v/>
      </c>
    </row>
    <row r="181" spans="1:12" x14ac:dyDescent="0.45">
      <c r="A181" s="269"/>
      <c r="B181" s="380" t="s">
        <v>339</v>
      </c>
      <c r="C181" s="374"/>
      <c r="D181" s="375" t="s">
        <v>517</v>
      </c>
      <c r="E181" s="375"/>
      <c r="F181" s="375"/>
      <c r="G181" s="375"/>
      <c r="H181" s="376"/>
      <c r="I181" s="376"/>
      <c r="J181" s="375"/>
      <c r="K181" s="375"/>
      <c r="L181" s="382" t="str">
        <f t="shared" si="8"/>
        <v/>
      </c>
    </row>
    <row r="182" spans="1:12" x14ac:dyDescent="0.45">
      <c r="A182" s="269"/>
      <c r="B182" s="380" t="s">
        <v>340</v>
      </c>
      <c r="C182" s="374"/>
      <c r="D182" s="375" t="s">
        <v>517</v>
      </c>
      <c r="E182" s="375"/>
      <c r="F182" s="375"/>
      <c r="G182" s="375"/>
      <c r="H182" s="376"/>
      <c r="I182" s="376"/>
      <c r="J182" s="375"/>
      <c r="K182" s="375"/>
      <c r="L182" s="382" t="str">
        <f t="shared" si="8"/>
        <v/>
      </c>
    </row>
    <row r="183" spans="1:12" x14ac:dyDescent="0.45">
      <c r="A183" s="269"/>
      <c r="B183" s="381" t="s">
        <v>341</v>
      </c>
      <c r="C183" s="377"/>
      <c r="D183" s="378" t="s">
        <v>517</v>
      </c>
      <c r="E183" s="378"/>
      <c r="F183" s="378"/>
      <c r="G183" s="378"/>
      <c r="H183" s="379"/>
      <c r="I183" s="379"/>
      <c r="J183" s="378"/>
      <c r="K183" s="378"/>
      <c r="L183" s="383" t="str">
        <f t="shared" si="8"/>
        <v/>
      </c>
    </row>
    <row r="184" spans="1:12" ht="14.65" thickBot="1" x14ac:dyDescent="0.5">
      <c r="A184" s="269"/>
      <c r="B184" s="384" t="s">
        <v>529</v>
      </c>
      <c r="C184" s="384" t="str">
        <f>COUNTIFS($C$166:$C$183,"&lt;&gt;",$D$166:$D$183,"&lt;&gt;Sub - unused")&amp;" played"</f>
        <v>0 played</v>
      </c>
      <c r="D184" s="384"/>
      <c r="E184" s="384"/>
      <c r="F184" s="384"/>
      <c r="G184" s="384">
        <f>SUM($G$166:$G$183)</f>
        <v>0</v>
      </c>
      <c r="H184" s="384">
        <f>SUM($H$166:$H$183)</f>
        <v>0</v>
      </c>
      <c r="I184" s="387" t="str">
        <f>IFERROR(AVERAGEIFS($I$166:$I$183,$I$166:$I$183,"&gt;0",$D$166:$D$183,"&lt;&gt;Sub - unused"),"")</f>
        <v/>
      </c>
      <c r="J184" s="384">
        <f>SUM($J$166:$J$183)</f>
        <v>0</v>
      </c>
      <c r="K184" s="384">
        <f>SUM($K$166:$K$183)</f>
        <v>0</v>
      </c>
      <c r="L184" s="384"/>
    </row>
    <row r="185" spans="1:12" ht="28.05" customHeight="1" thickTop="1" x14ac:dyDescent="0.45">
      <c r="A185" s="269"/>
      <c r="B185" s="385" t="s">
        <v>342</v>
      </c>
      <c r="C185" s="516"/>
      <c r="D185" s="508"/>
      <c r="E185" s="508"/>
      <c r="F185" s="508"/>
      <c r="G185" s="508"/>
      <c r="H185" s="508"/>
      <c r="I185" s="508"/>
      <c r="J185" s="508"/>
      <c r="K185" s="508"/>
      <c r="L185" s="509"/>
    </row>
    <row r="186" spans="1:12" ht="28.05" customHeight="1" x14ac:dyDescent="0.45">
      <c r="A186" s="269"/>
      <c r="B186" s="386" t="s">
        <v>530</v>
      </c>
      <c r="C186" s="517"/>
      <c r="D186" s="511"/>
      <c r="E186" s="511"/>
      <c r="F186" s="511"/>
      <c r="G186" s="511"/>
      <c r="H186" s="511"/>
      <c r="I186" s="511"/>
      <c r="J186" s="511"/>
      <c r="K186" s="511"/>
      <c r="L186" s="512"/>
    </row>
    <row r="187" spans="1:12" x14ac:dyDescent="0.45">
      <c r="A187" s="269"/>
      <c r="B187" s="269"/>
      <c r="C187" s="269"/>
      <c r="D187" s="269"/>
      <c r="E187" s="269"/>
      <c r="F187" s="269"/>
      <c r="G187" s="269"/>
      <c r="H187" s="269"/>
    </row>
    <row r="188" spans="1:12" x14ac:dyDescent="0.45">
      <c r="A188" s="269"/>
      <c r="B188" s="515" t="s">
        <v>534</v>
      </c>
      <c r="C188" s="515"/>
      <c r="D188" s="515"/>
      <c r="E188" s="515"/>
      <c r="F188" s="515"/>
      <c r="G188" s="515"/>
      <c r="H188" s="515"/>
      <c r="I188" s="515"/>
      <c r="J188" s="515"/>
      <c r="K188" s="515"/>
      <c r="L188" s="515"/>
    </row>
    <row r="189" spans="1:12" x14ac:dyDescent="0.45">
      <c r="A189" s="269"/>
      <c r="B189" s="367" t="s">
        <v>301</v>
      </c>
      <c r="C189" s="367" t="s">
        <v>343</v>
      </c>
      <c r="D189" s="367" t="s">
        <v>344</v>
      </c>
      <c r="E189" s="367" t="s">
        <v>302</v>
      </c>
      <c r="F189" s="367" t="s">
        <v>303</v>
      </c>
      <c r="G189" s="367" t="s">
        <v>304</v>
      </c>
      <c r="H189" s="367" t="s">
        <v>346</v>
      </c>
    </row>
    <row r="190" spans="1:12" x14ac:dyDescent="0.45">
      <c r="A190" s="269"/>
      <c r="B190" s="369"/>
      <c r="C190" s="370"/>
      <c r="D190" s="370"/>
      <c r="E190" s="370"/>
      <c r="F190" s="370"/>
      <c r="G190" s="371" t="str">
        <f>IF(OR($E$190="",$F$190=""),"",IF($E$190&gt;$F$190,"Win",IF($E$190=$F$190,"Draw","Loss")))</f>
        <v/>
      </c>
      <c r="H190" s="370"/>
    </row>
    <row r="191" spans="1:12" x14ac:dyDescent="0.45">
      <c r="A191" s="269"/>
      <c r="B191" s="372" t="s">
        <v>520</v>
      </c>
      <c r="C191" s="368" t="str">
        <f>IF($F$190="","",IF($F$190=0,"Yes","No"))</f>
        <v/>
      </c>
      <c r="D191" s="372" t="s">
        <v>521</v>
      </c>
      <c r="E191" s="368">
        <f>SUM($G$193:$G$210)</f>
        <v>0</v>
      </c>
      <c r="F191" s="372" t="s">
        <v>522</v>
      </c>
      <c r="G191" s="368" t="str">
        <f>IF(OR($E$190="",$E$191=0),"",IF($E$191=$E$190,"OK","does not match GF"))</f>
        <v/>
      </c>
      <c r="H191" s="269"/>
    </row>
    <row r="192" spans="1:12" x14ac:dyDescent="0.45">
      <c r="A192" s="269"/>
      <c r="B192" s="373" t="s">
        <v>153</v>
      </c>
      <c r="C192" s="373" t="s">
        <v>18</v>
      </c>
      <c r="D192" s="373" t="s">
        <v>316</v>
      </c>
      <c r="E192" s="373" t="s">
        <v>217</v>
      </c>
      <c r="F192" s="373" t="s">
        <v>523</v>
      </c>
      <c r="G192" s="373" t="s">
        <v>524</v>
      </c>
      <c r="H192" s="373" t="s">
        <v>525</v>
      </c>
      <c r="I192" s="373" t="s">
        <v>155</v>
      </c>
      <c r="J192" s="373" t="s">
        <v>526</v>
      </c>
      <c r="K192" s="373" t="s">
        <v>527</v>
      </c>
      <c r="L192" s="373" t="s">
        <v>528</v>
      </c>
    </row>
    <row r="193" spans="1:12" x14ac:dyDescent="0.45">
      <c r="A193" s="269"/>
      <c r="B193" s="380">
        <v>1</v>
      </c>
      <c r="C193" s="374"/>
      <c r="D193" s="375" t="s">
        <v>515</v>
      </c>
      <c r="E193" s="375"/>
      <c r="F193" s="375"/>
      <c r="G193" s="375"/>
      <c r="H193" s="376"/>
      <c r="I193" s="376"/>
      <c r="J193" s="375"/>
      <c r="K193" s="375"/>
      <c r="L193" s="382" t="str">
        <f>IF(OR($C193="",$E193&lt;&gt;"GK",$D193="Sub - unused",$F$190=""),"",IF($F$190=0,"Yes","No"))</f>
        <v/>
      </c>
    </row>
    <row r="194" spans="1:12" x14ac:dyDescent="0.45">
      <c r="A194" s="269"/>
      <c r="B194" s="380">
        <v>2</v>
      </c>
      <c r="C194" s="374"/>
      <c r="D194" s="375" t="s">
        <v>515</v>
      </c>
      <c r="E194" s="375"/>
      <c r="F194" s="375"/>
      <c r="G194" s="375"/>
      <c r="H194" s="376"/>
      <c r="I194" s="376"/>
      <c r="J194" s="375"/>
      <c r="K194" s="375"/>
      <c r="L194" s="382" t="str">
        <f t="shared" ref="L194:L210" si="9">IF(OR($C194="",$E194&lt;&gt;"GK",$D194="Sub - unused",$F$190=""),"",IF($F$190=0,"Yes","No"))</f>
        <v/>
      </c>
    </row>
    <row r="195" spans="1:12" x14ac:dyDescent="0.45">
      <c r="A195" s="269"/>
      <c r="B195" s="380">
        <v>3</v>
      </c>
      <c r="C195" s="374"/>
      <c r="D195" s="375" t="s">
        <v>515</v>
      </c>
      <c r="E195" s="375"/>
      <c r="F195" s="375"/>
      <c r="G195" s="375"/>
      <c r="H195" s="376"/>
      <c r="I195" s="376"/>
      <c r="J195" s="375"/>
      <c r="K195" s="375"/>
      <c r="L195" s="382" t="str">
        <f t="shared" si="9"/>
        <v/>
      </c>
    </row>
    <row r="196" spans="1:12" x14ac:dyDescent="0.45">
      <c r="A196" s="269"/>
      <c r="B196" s="380">
        <v>4</v>
      </c>
      <c r="C196" s="374"/>
      <c r="D196" s="375" t="s">
        <v>515</v>
      </c>
      <c r="E196" s="375"/>
      <c r="F196" s="375"/>
      <c r="G196" s="375"/>
      <c r="H196" s="376"/>
      <c r="I196" s="376"/>
      <c r="J196" s="375"/>
      <c r="K196" s="375"/>
      <c r="L196" s="382" t="str">
        <f t="shared" si="9"/>
        <v/>
      </c>
    </row>
    <row r="197" spans="1:12" x14ac:dyDescent="0.45">
      <c r="A197" s="269"/>
      <c r="B197" s="380">
        <v>5</v>
      </c>
      <c r="C197" s="374"/>
      <c r="D197" s="375" t="s">
        <v>515</v>
      </c>
      <c r="E197" s="375"/>
      <c r="F197" s="375"/>
      <c r="G197" s="375"/>
      <c r="H197" s="376"/>
      <c r="I197" s="376"/>
      <c r="J197" s="375"/>
      <c r="K197" s="375"/>
      <c r="L197" s="382" t="str">
        <f t="shared" si="9"/>
        <v/>
      </c>
    </row>
    <row r="198" spans="1:12" x14ac:dyDescent="0.45">
      <c r="A198" s="269"/>
      <c r="B198" s="380">
        <v>6</v>
      </c>
      <c r="C198" s="374"/>
      <c r="D198" s="375" t="s">
        <v>515</v>
      </c>
      <c r="E198" s="375"/>
      <c r="F198" s="375"/>
      <c r="G198" s="375"/>
      <c r="H198" s="376"/>
      <c r="I198" s="376"/>
      <c r="J198" s="375"/>
      <c r="K198" s="375"/>
      <c r="L198" s="382" t="str">
        <f t="shared" si="9"/>
        <v/>
      </c>
    </row>
    <row r="199" spans="1:12" x14ac:dyDescent="0.45">
      <c r="A199" s="269"/>
      <c r="B199" s="380">
        <v>7</v>
      </c>
      <c r="C199" s="374"/>
      <c r="D199" s="375" t="s">
        <v>515</v>
      </c>
      <c r="E199" s="375"/>
      <c r="F199" s="375"/>
      <c r="G199" s="375"/>
      <c r="H199" s="376"/>
      <c r="I199" s="376"/>
      <c r="J199" s="375"/>
      <c r="K199" s="375"/>
      <c r="L199" s="382" t="str">
        <f t="shared" si="9"/>
        <v/>
      </c>
    </row>
    <row r="200" spans="1:12" x14ac:dyDescent="0.45">
      <c r="A200" s="269"/>
      <c r="B200" s="380">
        <v>8</v>
      </c>
      <c r="C200" s="374"/>
      <c r="D200" s="375" t="s">
        <v>515</v>
      </c>
      <c r="E200" s="375"/>
      <c r="F200" s="375"/>
      <c r="G200" s="375"/>
      <c r="H200" s="376"/>
      <c r="I200" s="376"/>
      <c r="J200" s="375"/>
      <c r="K200" s="375"/>
      <c r="L200" s="382" t="str">
        <f t="shared" si="9"/>
        <v/>
      </c>
    </row>
    <row r="201" spans="1:12" x14ac:dyDescent="0.45">
      <c r="B201" s="380">
        <v>9</v>
      </c>
      <c r="C201" s="374"/>
      <c r="D201" s="375" t="s">
        <v>515</v>
      </c>
      <c r="E201" s="375"/>
      <c r="F201" s="375"/>
      <c r="G201" s="375"/>
      <c r="H201" s="376"/>
      <c r="I201" s="376"/>
      <c r="J201" s="375"/>
      <c r="K201" s="375"/>
      <c r="L201" s="382" t="str">
        <f t="shared" si="9"/>
        <v/>
      </c>
    </row>
    <row r="202" spans="1:12" x14ac:dyDescent="0.45">
      <c r="B202" s="380">
        <v>10</v>
      </c>
      <c r="C202" s="374"/>
      <c r="D202" s="375" t="s">
        <v>515</v>
      </c>
      <c r="E202" s="375"/>
      <c r="F202" s="375"/>
      <c r="G202" s="375"/>
      <c r="H202" s="376"/>
      <c r="I202" s="376"/>
      <c r="J202" s="375"/>
      <c r="K202" s="375"/>
      <c r="L202" s="382" t="str">
        <f t="shared" si="9"/>
        <v/>
      </c>
    </row>
    <row r="203" spans="1:12" x14ac:dyDescent="0.45">
      <c r="B203" s="380">
        <v>11</v>
      </c>
      <c r="C203" s="374"/>
      <c r="D203" s="375" t="s">
        <v>515</v>
      </c>
      <c r="E203" s="375"/>
      <c r="F203" s="375"/>
      <c r="G203" s="375"/>
      <c r="H203" s="376"/>
      <c r="I203" s="376"/>
      <c r="J203" s="375"/>
      <c r="K203" s="375"/>
      <c r="L203" s="382" t="str">
        <f t="shared" si="9"/>
        <v/>
      </c>
    </row>
    <row r="204" spans="1:12" x14ac:dyDescent="0.45">
      <c r="B204" s="380" t="s">
        <v>335</v>
      </c>
      <c r="C204" s="374"/>
      <c r="D204" s="375" t="s">
        <v>517</v>
      </c>
      <c r="E204" s="375"/>
      <c r="F204" s="375"/>
      <c r="G204" s="375"/>
      <c r="H204" s="376"/>
      <c r="I204" s="376"/>
      <c r="J204" s="375"/>
      <c r="K204" s="375"/>
      <c r="L204" s="382" t="str">
        <f t="shared" si="9"/>
        <v/>
      </c>
    </row>
    <row r="205" spans="1:12" x14ac:dyDescent="0.45">
      <c r="B205" s="380" t="s">
        <v>336</v>
      </c>
      <c r="C205" s="374"/>
      <c r="D205" s="375" t="s">
        <v>517</v>
      </c>
      <c r="E205" s="375"/>
      <c r="F205" s="375"/>
      <c r="G205" s="375"/>
      <c r="H205" s="376"/>
      <c r="I205" s="376"/>
      <c r="J205" s="375"/>
      <c r="K205" s="375"/>
      <c r="L205" s="382" t="str">
        <f t="shared" si="9"/>
        <v/>
      </c>
    </row>
    <row r="206" spans="1:12" x14ac:dyDescent="0.45">
      <c r="B206" s="380" t="s">
        <v>337</v>
      </c>
      <c r="C206" s="374"/>
      <c r="D206" s="375" t="s">
        <v>517</v>
      </c>
      <c r="E206" s="375"/>
      <c r="F206" s="375"/>
      <c r="G206" s="375"/>
      <c r="H206" s="376"/>
      <c r="I206" s="376"/>
      <c r="J206" s="375"/>
      <c r="K206" s="375"/>
      <c r="L206" s="382" t="str">
        <f t="shared" si="9"/>
        <v/>
      </c>
    </row>
    <row r="207" spans="1:12" x14ac:dyDescent="0.45">
      <c r="B207" s="380" t="s">
        <v>338</v>
      </c>
      <c r="C207" s="374"/>
      <c r="D207" s="375" t="s">
        <v>517</v>
      </c>
      <c r="E207" s="375"/>
      <c r="F207" s="375"/>
      <c r="G207" s="375"/>
      <c r="H207" s="376"/>
      <c r="I207" s="376"/>
      <c r="J207" s="375"/>
      <c r="K207" s="375"/>
      <c r="L207" s="382" t="str">
        <f t="shared" si="9"/>
        <v/>
      </c>
    </row>
    <row r="208" spans="1:12" x14ac:dyDescent="0.45">
      <c r="B208" s="380" t="s">
        <v>339</v>
      </c>
      <c r="C208" s="374"/>
      <c r="D208" s="375" t="s">
        <v>517</v>
      </c>
      <c r="E208" s="375"/>
      <c r="F208" s="375"/>
      <c r="G208" s="375"/>
      <c r="H208" s="376"/>
      <c r="I208" s="376"/>
      <c r="J208" s="375"/>
      <c r="K208" s="375"/>
      <c r="L208" s="382" t="str">
        <f t="shared" si="9"/>
        <v/>
      </c>
    </row>
    <row r="209" spans="2:12" x14ac:dyDescent="0.45">
      <c r="B209" s="380" t="s">
        <v>340</v>
      </c>
      <c r="C209" s="374"/>
      <c r="D209" s="375" t="s">
        <v>517</v>
      </c>
      <c r="E209" s="375"/>
      <c r="F209" s="375"/>
      <c r="G209" s="375"/>
      <c r="H209" s="376"/>
      <c r="I209" s="376"/>
      <c r="J209" s="375"/>
      <c r="K209" s="375"/>
      <c r="L209" s="382" t="str">
        <f t="shared" si="9"/>
        <v/>
      </c>
    </row>
    <row r="210" spans="2:12" x14ac:dyDescent="0.45">
      <c r="B210" s="381" t="s">
        <v>341</v>
      </c>
      <c r="C210" s="377"/>
      <c r="D210" s="378" t="s">
        <v>517</v>
      </c>
      <c r="E210" s="378"/>
      <c r="F210" s="378"/>
      <c r="G210" s="378"/>
      <c r="H210" s="379"/>
      <c r="I210" s="379"/>
      <c r="J210" s="378"/>
      <c r="K210" s="378"/>
      <c r="L210" s="383" t="str">
        <f t="shared" si="9"/>
        <v/>
      </c>
    </row>
    <row r="211" spans="2:12" ht="14.65" thickBot="1" x14ac:dyDescent="0.5">
      <c r="B211" s="388" t="s">
        <v>529</v>
      </c>
      <c r="C211" s="384" t="str">
        <f>COUNTIFS($C$193:$C$210,"&lt;&gt;",$D$193:$D$210,"&lt;&gt;Sub - unused")&amp;" played"</f>
        <v>0 played</v>
      </c>
      <c r="D211" s="384"/>
      <c r="E211" s="384"/>
      <c r="F211" s="384"/>
      <c r="G211" s="384">
        <f>SUM($G$193:$G$210)</f>
        <v>0</v>
      </c>
      <c r="H211" s="384">
        <f>SUM($H$193:$H$210)</f>
        <v>0</v>
      </c>
      <c r="I211" s="387" t="str">
        <f>IFERROR(AVERAGEIFS($I$193:$I$210,$I$193:$I$210,"&gt;0",$D$193:$D$210,"&lt;&gt;Sub - unused"),"")</f>
        <v/>
      </c>
      <c r="J211" s="384">
        <f>SUM($J$193:$J$210)</f>
        <v>0</v>
      </c>
      <c r="K211" s="384">
        <f>SUM($K$193:$K$210)</f>
        <v>0</v>
      </c>
      <c r="L211" s="384"/>
    </row>
    <row r="212" spans="2:12" ht="28.05" customHeight="1" thickTop="1" x14ac:dyDescent="0.45">
      <c r="B212" s="389" t="s">
        <v>342</v>
      </c>
      <c r="C212" s="507"/>
      <c r="D212" s="508"/>
      <c r="E212" s="508"/>
      <c r="F212" s="508"/>
      <c r="G212" s="508"/>
      <c r="H212" s="508"/>
      <c r="I212" s="508"/>
      <c r="J212" s="508"/>
      <c r="K212" s="508"/>
      <c r="L212" s="509"/>
    </row>
    <row r="213" spans="2:12" ht="28.05" customHeight="1" x14ac:dyDescent="0.45">
      <c r="B213" s="390" t="s">
        <v>530</v>
      </c>
      <c r="C213" s="510"/>
      <c r="D213" s="511"/>
      <c r="E213" s="511"/>
      <c r="F213" s="511"/>
      <c r="G213" s="511"/>
      <c r="H213" s="511"/>
      <c r="I213" s="511"/>
      <c r="J213" s="511"/>
      <c r="K213" s="511"/>
      <c r="L213" s="512"/>
    </row>
    <row r="215" spans="2:12" x14ac:dyDescent="0.45">
      <c r="B215" s="515" t="s">
        <v>535</v>
      </c>
      <c r="C215" s="515"/>
      <c r="D215" s="515"/>
      <c r="E215" s="515"/>
      <c r="F215" s="515"/>
      <c r="G215" s="515"/>
      <c r="H215" s="515"/>
      <c r="I215" s="515"/>
      <c r="J215" s="515"/>
      <c r="K215" s="515"/>
      <c r="L215" s="515"/>
    </row>
    <row r="216" spans="2:12" x14ac:dyDescent="0.45">
      <c r="B216" s="367" t="s">
        <v>301</v>
      </c>
      <c r="C216" s="367" t="s">
        <v>343</v>
      </c>
      <c r="D216" s="367" t="s">
        <v>344</v>
      </c>
      <c r="E216" s="367" t="s">
        <v>302</v>
      </c>
      <c r="F216" s="367" t="s">
        <v>303</v>
      </c>
      <c r="G216" s="367" t="s">
        <v>304</v>
      </c>
      <c r="H216" s="367" t="s">
        <v>346</v>
      </c>
    </row>
    <row r="217" spans="2:12" x14ac:dyDescent="0.45">
      <c r="B217" s="369"/>
      <c r="C217" s="370"/>
      <c r="D217" s="370"/>
      <c r="E217" s="370"/>
      <c r="F217" s="370"/>
      <c r="G217" s="371" t="str">
        <f>IF(OR($E$217="",$F$217=""),"",IF($E$217&gt;$F$217,"Win",IF($E$217=$F$217,"Draw","Loss")))</f>
        <v/>
      </c>
      <c r="H217" s="370"/>
    </row>
    <row r="218" spans="2:12" x14ac:dyDescent="0.45">
      <c r="B218" s="372" t="s">
        <v>520</v>
      </c>
      <c r="C218" s="368" t="str">
        <f>IF($F$217="","",IF($F$217=0,"Yes","No"))</f>
        <v/>
      </c>
      <c r="D218" s="372" t="s">
        <v>521</v>
      </c>
      <c r="E218" s="368">
        <f>SUM($G$220:$G$237)</f>
        <v>0</v>
      </c>
      <c r="F218" s="372" t="s">
        <v>522</v>
      </c>
      <c r="G218" s="368" t="str">
        <f>IF(OR($E$217="",$E$218=0),"",IF($E$218=$E$217,"OK","does not match GF"))</f>
        <v/>
      </c>
    </row>
    <row r="219" spans="2:12" x14ac:dyDescent="0.45">
      <c r="B219" s="373" t="s">
        <v>153</v>
      </c>
      <c r="C219" s="373" t="s">
        <v>18</v>
      </c>
      <c r="D219" s="373" t="s">
        <v>316</v>
      </c>
      <c r="E219" s="373" t="s">
        <v>217</v>
      </c>
      <c r="F219" s="373" t="s">
        <v>523</v>
      </c>
      <c r="G219" s="373" t="s">
        <v>524</v>
      </c>
      <c r="H219" s="373" t="s">
        <v>525</v>
      </c>
      <c r="I219" s="373" t="s">
        <v>155</v>
      </c>
      <c r="J219" s="373" t="s">
        <v>526</v>
      </c>
      <c r="K219" s="373" t="s">
        <v>527</v>
      </c>
      <c r="L219" s="373" t="s">
        <v>528</v>
      </c>
    </row>
    <row r="220" spans="2:12" x14ac:dyDescent="0.45">
      <c r="B220" s="380">
        <v>1</v>
      </c>
      <c r="C220" s="374"/>
      <c r="D220" s="375" t="s">
        <v>515</v>
      </c>
      <c r="E220" s="375"/>
      <c r="F220" s="375"/>
      <c r="G220" s="375"/>
      <c r="H220" s="376"/>
      <c r="I220" s="376"/>
      <c r="J220" s="375"/>
      <c r="K220" s="375"/>
      <c r="L220" s="382" t="str">
        <f>IF(OR($C220="",$E220&lt;&gt;"GK",$D220="Sub - unused",$F$217=""),"",IF($F$217=0,"Yes","No"))</f>
        <v/>
      </c>
    </row>
    <row r="221" spans="2:12" x14ac:dyDescent="0.45">
      <c r="B221" s="380">
        <v>2</v>
      </c>
      <c r="C221" s="374"/>
      <c r="D221" s="375" t="s">
        <v>515</v>
      </c>
      <c r="E221" s="375"/>
      <c r="F221" s="375"/>
      <c r="G221" s="375"/>
      <c r="H221" s="376"/>
      <c r="I221" s="376"/>
      <c r="J221" s="375"/>
      <c r="K221" s="375"/>
      <c r="L221" s="382" t="str">
        <f t="shared" ref="L221:L237" si="10">IF(OR($C221="",$E221&lt;&gt;"GK",$D221="Sub - unused",$F$217=""),"",IF($F$217=0,"Yes","No"))</f>
        <v/>
      </c>
    </row>
    <row r="222" spans="2:12" x14ac:dyDescent="0.45">
      <c r="B222" s="380">
        <v>3</v>
      </c>
      <c r="C222" s="374"/>
      <c r="D222" s="375" t="s">
        <v>515</v>
      </c>
      <c r="E222" s="375"/>
      <c r="F222" s="375"/>
      <c r="G222" s="375"/>
      <c r="H222" s="376"/>
      <c r="I222" s="376"/>
      <c r="J222" s="375"/>
      <c r="K222" s="375"/>
      <c r="L222" s="382" t="str">
        <f t="shared" si="10"/>
        <v/>
      </c>
    </row>
    <row r="223" spans="2:12" x14ac:dyDescent="0.45">
      <c r="B223" s="380">
        <v>4</v>
      </c>
      <c r="C223" s="374"/>
      <c r="D223" s="375" t="s">
        <v>515</v>
      </c>
      <c r="E223" s="375"/>
      <c r="F223" s="375"/>
      <c r="G223" s="375"/>
      <c r="H223" s="376"/>
      <c r="I223" s="376"/>
      <c r="J223" s="375"/>
      <c r="K223" s="375"/>
      <c r="L223" s="382" t="str">
        <f t="shared" si="10"/>
        <v/>
      </c>
    </row>
    <row r="224" spans="2:12" x14ac:dyDescent="0.45">
      <c r="B224" s="380">
        <v>5</v>
      </c>
      <c r="C224" s="374"/>
      <c r="D224" s="375" t="s">
        <v>515</v>
      </c>
      <c r="E224" s="375"/>
      <c r="F224" s="375"/>
      <c r="G224" s="375"/>
      <c r="H224" s="376"/>
      <c r="I224" s="376"/>
      <c r="J224" s="375"/>
      <c r="K224" s="375"/>
      <c r="L224" s="382" t="str">
        <f t="shared" si="10"/>
        <v/>
      </c>
    </row>
    <row r="225" spans="2:12" x14ac:dyDescent="0.45">
      <c r="B225" s="380">
        <v>6</v>
      </c>
      <c r="C225" s="374"/>
      <c r="D225" s="375" t="s">
        <v>515</v>
      </c>
      <c r="E225" s="375"/>
      <c r="F225" s="375"/>
      <c r="G225" s="375"/>
      <c r="H225" s="376"/>
      <c r="I225" s="376"/>
      <c r="J225" s="375"/>
      <c r="K225" s="375"/>
      <c r="L225" s="382" t="str">
        <f t="shared" si="10"/>
        <v/>
      </c>
    </row>
    <row r="226" spans="2:12" x14ac:dyDescent="0.45">
      <c r="B226" s="380">
        <v>7</v>
      </c>
      <c r="C226" s="374"/>
      <c r="D226" s="375" t="s">
        <v>515</v>
      </c>
      <c r="E226" s="375"/>
      <c r="F226" s="375"/>
      <c r="G226" s="375"/>
      <c r="H226" s="376"/>
      <c r="I226" s="376"/>
      <c r="J226" s="375"/>
      <c r="K226" s="375"/>
      <c r="L226" s="382" t="str">
        <f t="shared" si="10"/>
        <v/>
      </c>
    </row>
    <row r="227" spans="2:12" x14ac:dyDescent="0.45">
      <c r="B227" s="380">
        <v>8</v>
      </c>
      <c r="C227" s="374"/>
      <c r="D227" s="375" t="s">
        <v>515</v>
      </c>
      <c r="E227" s="375"/>
      <c r="F227" s="375"/>
      <c r="G227" s="375"/>
      <c r="H227" s="376"/>
      <c r="I227" s="376"/>
      <c r="J227" s="375"/>
      <c r="K227" s="375"/>
      <c r="L227" s="382" t="str">
        <f t="shared" si="10"/>
        <v/>
      </c>
    </row>
    <row r="228" spans="2:12" x14ac:dyDescent="0.45">
      <c r="B228" s="380">
        <v>9</v>
      </c>
      <c r="C228" s="374"/>
      <c r="D228" s="375" t="s">
        <v>515</v>
      </c>
      <c r="E228" s="375"/>
      <c r="F228" s="375"/>
      <c r="G228" s="375"/>
      <c r="H228" s="376"/>
      <c r="I228" s="376"/>
      <c r="J228" s="375"/>
      <c r="K228" s="375"/>
      <c r="L228" s="382" t="str">
        <f t="shared" si="10"/>
        <v/>
      </c>
    </row>
    <row r="229" spans="2:12" x14ac:dyDescent="0.45">
      <c r="B229" s="380">
        <v>10</v>
      </c>
      <c r="C229" s="374"/>
      <c r="D229" s="375" t="s">
        <v>515</v>
      </c>
      <c r="E229" s="375"/>
      <c r="F229" s="375"/>
      <c r="G229" s="375"/>
      <c r="H229" s="376"/>
      <c r="I229" s="376"/>
      <c r="J229" s="375"/>
      <c r="K229" s="375"/>
      <c r="L229" s="382" t="str">
        <f t="shared" si="10"/>
        <v/>
      </c>
    </row>
    <row r="230" spans="2:12" x14ac:dyDescent="0.45">
      <c r="B230" s="380">
        <v>11</v>
      </c>
      <c r="C230" s="374"/>
      <c r="D230" s="375" t="s">
        <v>515</v>
      </c>
      <c r="E230" s="375"/>
      <c r="F230" s="375"/>
      <c r="G230" s="375"/>
      <c r="H230" s="376"/>
      <c r="I230" s="376"/>
      <c r="J230" s="375"/>
      <c r="K230" s="375"/>
      <c r="L230" s="382" t="str">
        <f t="shared" si="10"/>
        <v/>
      </c>
    </row>
    <row r="231" spans="2:12" x14ac:dyDescent="0.45">
      <c r="B231" s="380" t="s">
        <v>335</v>
      </c>
      <c r="C231" s="374"/>
      <c r="D231" s="375" t="s">
        <v>517</v>
      </c>
      <c r="E231" s="375"/>
      <c r="F231" s="375"/>
      <c r="G231" s="375"/>
      <c r="H231" s="376"/>
      <c r="I231" s="376"/>
      <c r="J231" s="375"/>
      <c r="K231" s="375"/>
      <c r="L231" s="382" t="str">
        <f t="shared" si="10"/>
        <v/>
      </c>
    </row>
    <row r="232" spans="2:12" x14ac:dyDescent="0.45">
      <c r="B232" s="380" t="s">
        <v>336</v>
      </c>
      <c r="C232" s="374"/>
      <c r="D232" s="375" t="s">
        <v>517</v>
      </c>
      <c r="E232" s="375"/>
      <c r="F232" s="375"/>
      <c r="G232" s="375"/>
      <c r="H232" s="376"/>
      <c r="I232" s="376"/>
      <c r="J232" s="375"/>
      <c r="K232" s="375"/>
      <c r="L232" s="382" t="str">
        <f t="shared" si="10"/>
        <v/>
      </c>
    </row>
    <row r="233" spans="2:12" x14ac:dyDescent="0.45">
      <c r="B233" s="380" t="s">
        <v>337</v>
      </c>
      <c r="C233" s="374"/>
      <c r="D233" s="375" t="s">
        <v>517</v>
      </c>
      <c r="E233" s="375"/>
      <c r="F233" s="375"/>
      <c r="G233" s="375"/>
      <c r="H233" s="376"/>
      <c r="I233" s="376"/>
      <c r="J233" s="375"/>
      <c r="K233" s="375"/>
      <c r="L233" s="382" t="str">
        <f t="shared" si="10"/>
        <v/>
      </c>
    </row>
    <row r="234" spans="2:12" x14ac:dyDescent="0.45">
      <c r="B234" s="380" t="s">
        <v>338</v>
      </c>
      <c r="C234" s="374"/>
      <c r="D234" s="375" t="s">
        <v>517</v>
      </c>
      <c r="E234" s="375"/>
      <c r="F234" s="375"/>
      <c r="G234" s="375"/>
      <c r="H234" s="376"/>
      <c r="I234" s="376"/>
      <c r="J234" s="375"/>
      <c r="K234" s="375"/>
      <c r="L234" s="382" t="str">
        <f t="shared" si="10"/>
        <v/>
      </c>
    </row>
    <row r="235" spans="2:12" x14ac:dyDescent="0.45">
      <c r="B235" s="380" t="s">
        <v>339</v>
      </c>
      <c r="C235" s="374"/>
      <c r="D235" s="375" t="s">
        <v>517</v>
      </c>
      <c r="E235" s="375"/>
      <c r="F235" s="375"/>
      <c r="G235" s="375"/>
      <c r="H235" s="376"/>
      <c r="I235" s="376"/>
      <c r="J235" s="375"/>
      <c r="K235" s="375"/>
      <c r="L235" s="382" t="str">
        <f t="shared" si="10"/>
        <v/>
      </c>
    </row>
    <row r="236" spans="2:12" x14ac:dyDescent="0.45">
      <c r="B236" s="380" t="s">
        <v>340</v>
      </c>
      <c r="C236" s="374"/>
      <c r="D236" s="375" t="s">
        <v>517</v>
      </c>
      <c r="E236" s="375"/>
      <c r="F236" s="375"/>
      <c r="G236" s="375"/>
      <c r="H236" s="376"/>
      <c r="I236" s="376"/>
      <c r="J236" s="375"/>
      <c r="K236" s="375"/>
      <c r="L236" s="382" t="str">
        <f t="shared" si="10"/>
        <v/>
      </c>
    </row>
    <row r="237" spans="2:12" x14ac:dyDescent="0.45">
      <c r="B237" s="381" t="s">
        <v>341</v>
      </c>
      <c r="C237" s="377"/>
      <c r="D237" s="378" t="s">
        <v>517</v>
      </c>
      <c r="E237" s="378"/>
      <c r="F237" s="378"/>
      <c r="G237" s="378"/>
      <c r="H237" s="379"/>
      <c r="I237" s="379"/>
      <c r="J237" s="378"/>
      <c r="K237" s="378"/>
      <c r="L237" s="383" t="str">
        <f t="shared" si="10"/>
        <v/>
      </c>
    </row>
    <row r="238" spans="2:12" ht="14.65" thickBot="1" x14ac:dyDescent="0.5">
      <c r="B238" s="388" t="s">
        <v>529</v>
      </c>
      <c r="C238" s="384" t="str">
        <f>COUNTIFS($C$220:$C$237,"&lt;&gt;",$D$220:$D$237,"&lt;&gt;Sub - unused")&amp;" played"</f>
        <v>0 played</v>
      </c>
      <c r="D238" s="384"/>
      <c r="E238" s="384"/>
      <c r="F238" s="384"/>
      <c r="G238" s="384">
        <f>SUM($G$220:$G$237)</f>
        <v>0</v>
      </c>
      <c r="H238" s="384">
        <f>SUM($H$220:$H$237)</f>
        <v>0</v>
      </c>
      <c r="I238" s="387" t="str">
        <f>IFERROR(AVERAGEIFS($I$220:$I$237,$I$220:$I$237,"&gt;0",$D$220:$D$237,"&lt;&gt;Sub - unused"),"")</f>
        <v/>
      </c>
      <c r="J238" s="384">
        <f>SUM($J$220:$J$237)</f>
        <v>0</v>
      </c>
      <c r="K238" s="384">
        <f>SUM($K$220:$K$237)</f>
        <v>0</v>
      </c>
      <c r="L238" s="384"/>
    </row>
    <row r="239" spans="2:12" ht="28.05" customHeight="1" thickTop="1" x14ac:dyDescent="0.45">
      <c r="B239" s="389" t="s">
        <v>342</v>
      </c>
      <c r="C239" s="507"/>
      <c r="D239" s="508"/>
      <c r="E239" s="508"/>
      <c r="F239" s="508"/>
      <c r="G239" s="508"/>
      <c r="H239" s="508"/>
      <c r="I239" s="508"/>
      <c r="J239" s="508"/>
      <c r="K239" s="508"/>
      <c r="L239" s="509"/>
    </row>
    <row r="240" spans="2:12" ht="28.05" customHeight="1" x14ac:dyDescent="0.45">
      <c r="B240" s="390" t="s">
        <v>530</v>
      </c>
      <c r="C240" s="510"/>
      <c r="D240" s="511"/>
      <c r="E240" s="511"/>
      <c r="F240" s="511"/>
      <c r="G240" s="511"/>
      <c r="H240" s="511"/>
      <c r="I240" s="511"/>
      <c r="J240" s="511"/>
      <c r="K240" s="511"/>
      <c r="L240" s="512"/>
    </row>
    <row r="242" spans="2:12" x14ac:dyDescent="0.45">
      <c r="B242" s="515" t="s">
        <v>536</v>
      </c>
      <c r="C242" s="515"/>
      <c r="D242" s="515"/>
      <c r="E242" s="515"/>
      <c r="F242" s="515"/>
      <c r="G242" s="515"/>
      <c r="H242" s="515"/>
      <c r="I242" s="515"/>
      <c r="J242" s="515"/>
      <c r="K242" s="515"/>
      <c r="L242" s="515"/>
    </row>
    <row r="243" spans="2:12" x14ac:dyDescent="0.45">
      <c r="B243" s="367" t="s">
        <v>301</v>
      </c>
      <c r="C243" s="367" t="s">
        <v>343</v>
      </c>
      <c r="D243" s="367" t="s">
        <v>344</v>
      </c>
      <c r="E243" s="367" t="s">
        <v>302</v>
      </c>
      <c r="F243" s="367" t="s">
        <v>303</v>
      </c>
      <c r="G243" s="367" t="s">
        <v>304</v>
      </c>
      <c r="H243" s="367" t="s">
        <v>346</v>
      </c>
    </row>
    <row r="244" spans="2:12" x14ac:dyDescent="0.45">
      <c r="B244" s="369"/>
      <c r="C244" s="370"/>
      <c r="D244" s="370"/>
      <c r="E244" s="370"/>
      <c r="F244" s="370"/>
      <c r="G244" s="371" t="str">
        <f>IF(OR($E$244="",$F$244=""),"",IF($E$244&gt;$F$244,"Win",IF($E$244=$F$244,"Draw","Loss")))</f>
        <v/>
      </c>
      <c r="H244" s="370"/>
    </row>
    <row r="245" spans="2:12" x14ac:dyDescent="0.45">
      <c r="B245" s="372" t="s">
        <v>520</v>
      </c>
      <c r="C245" s="368" t="str">
        <f>IF($F$244="","",IF($F$244=0,"Yes","No"))</f>
        <v/>
      </c>
      <c r="D245" s="372" t="s">
        <v>521</v>
      </c>
      <c r="E245" s="368">
        <f>SUM($G$247:$G$264)</f>
        <v>0</v>
      </c>
      <c r="F245" s="372" t="s">
        <v>522</v>
      </c>
      <c r="G245" s="368" t="str">
        <f>IF(OR($E$244="",$E$245=0),"",IF($E$245=$E$244,"OK","does not match GF"))</f>
        <v/>
      </c>
    </row>
    <row r="246" spans="2:12" x14ac:dyDescent="0.45">
      <c r="B246" s="373" t="s">
        <v>153</v>
      </c>
      <c r="C246" s="373" t="s">
        <v>18</v>
      </c>
      <c r="D246" s="373" t="s">
        <v>316</v>
      </c>
      <c r="E246" s="373" t="s">
        <v>217</v>
      </c>
      <c r="F246" s="373" t="s">
        <v>523</v>
      </c>
      <c r="G246" s="373" t="s">
        <v>524</v>
      </c>
      <c r="H246" s="373" t="s">
        <v>525</v>
      </c>
      <c r="I246" s="373" t="s">
        <v>155</v>
      </c>
      <c r="J246" s="373" t="s">
        <v>526</v>
      </c>
      <c r="K246" s="373" t="s">
        <v>527</v>
      </c>
      <c r="L246" s="373" t="s">
        <v>528</v>
      </c>
    </row>
    <row r="247" spans="2:12" x14ac:dyDescent="0.45">
      <c r="B247" s="380">
        <v>1</v>
      </c>
      <c r="C247" s="374"/>
      <c r="D247" s="375" t="s">
        <v>515</v>
      </c>
      <c r="E247" s="375"/>
      <c r="F247" s="375"/>
      <c r="G247" s="375"/>
      <c r="H247" s="376"/>
      <c r="I247" s="376"/>
      <c r="J247" s="375"/>
      <c r="K247" s="375"/>
      <c r="L247" s="382" t="str">
        <f>IF(OR($C247="",$E247&lt;&gt;"GK",$D247="Sub - unused",$F$244=""),"",IF($F$244=0,"Yes","No"))</f>
        <v/>
      </c>
    </row>
    <row r="248" spans="2:12" x14ac:dyDescent="0.45">
      <c r="B248" s="380">
        <v>2</v>
      </c>
      <c r="C248" s="374"/>
      <c r="D248" s="375" t="s">
        <v>515</v>
      </c>
      <c r="E248" s="375"/>
      <c r="F248" s="375"/>
      <c r="G248" s="375"/>
      <c r="H248" s="376"/>
      <c r="I248" s="376"/>
      <c r="J248" s="375"/>
      <c r="K248" s="375"/>
      <c r="L248" s="382" t="str">
        <f t="shared" ref="L248:L264" si="11">IF(OR($C248="",$E248&lt;&gt;"GK",$D248="Sub - unused",$F$244=""),"",IF($F$244=0,"Yes","No"))</f>
        <v/>
      </c>
    </row>
    <row r="249" spans="2:12" x14ac:dyDescent="0.45">
      <c r="B249" s="380">
        <v>3</v>
      </c>
      <c r="C249" s="374"/>
      <c r="D249" s="375" t="s">
        <v>515</v>
      </c>
      <c r="E249" s="375"/>
      <c r="F249" s="375"/>
      <c r="G249" s="375"/>
      <c r="H249" s="376"/>
      <c r="I249" s="376"/>
      <c r="J249" s="375"/>
      <c r="K249" s="375"/>
      <c r="L249" s="382" t="str">
        <f t="shared" si="11"/>
        <v/>
      </c>
    </row>
    <row r="250" spans="2:12" x14ac:dyDescent="0.45">
      <c r="B250" s="380">
        <v>4</v>
      </c>
      <c r="C250" s="374"/>
      <c r="D250" s="375" t="s">
        <v>515</v>
      </c>
      <c r="E250" s="375"/>
      <c r="F250" s="375"/>
      <c r="G250" s="375"/>
      <c r="H250" s="376"/>
      <c r="I250" s="376"/>
      <c r="J250" s="375"/>
      <c r="K250" s="375"/>
      <c r="L250" s="382" t="str">
        <f t="shared" si="11"/>
        <v/>
      </c>
    </row>
    <row r="251" spans="2:12" x14ac:dyDescent="0.45">
      <c r="B251" s="380">
        <v>5</v>
      </c>
      <c r="C251" s="374"/>
      <c r="D251" s="375" t="s">
        <v>515</v>
      </c>
      <c r="E251" s="375"/>
      <c r="F251" s="375"/>
      <c r="G251" s="375"/>
      <c r="H251" s="376"/>
      <c r="I251" s="376"/>
      <c r="J251" s="375"/>
      <c r="K251" s="375"/>
      <c r="L251" s="382" t="str">
        <f t="shared" si="11"/>
        <v/>
      </c>
    </row>
    <row r="252" spans="2:12" x14ac:dyDescent="0.45">
      <c r="B252" s="380">
        <v>6</v>
      </c>
      <c r="C252" s="374"/>
      <c r="D252" s="375" t="s">
        <v>515</v>
      </c>
      <c r="E252" s="375"/>
      <c r="F252" s="375"/>
      <c r="G252" s="375"/>
      <c r="H252" s="376"/>
      <c r="I252" s="376"/>
      <c r="J252" s="375"/>
      <c r="K252" s="375"/>
      <c r="L252" s="382" t="str">
        <f t="shared" si="11"/>
        <v/>
      </c>
    </row>
    <row r="253" spans="2:12" x14ac:dyDescent="0.45">
      <c r="B253" s="380">
        <v>7</v>
      </c>
      <c r="C253" s="374"/>
      <c r="D253" s="375" t="s">
        <v>515</v>
      </c>
      <c r="E253" s="375"/>
      <c r="F253" s="375"/>
      <c r="G253" s="375"/>
      <c r="H253" s="376"/>
      <c r="I253" s="376"/>
      <c r="J253" s="375"/>
      <c r="K253" s="375"/>
      <c r="L253" s="382" t="str">
        <f t="shared" si="11"/>
        <v/>
      </c>
    </row>
    <row r="254" spans="2:12" x14ac:dyDescent="0.45">
      <c r="B254" s="380">
        <v>8</v>
      </c>
      <c r="C254" s="374"/>
      <c r="D254" s="375" t="s">
        <v>515</v>
      </c>
      <c r="E254" s="375"/>
      <c r="F254" s="375"/>
      <c r="G254" s="375"/>
      <c r="H254" s="376"/>
      <c r="I254" s="376"/>
      <c r="J254" s="375"/>
      <c r="K254" s="375"/>
      <c r="L254" s="382" t="str">
        <f t="shared" si="11"/>
        <v/>
      </c>
    </row>
    <row r="255" spans="2:12" x14ac:dyDescent="0.45">
      <c r="B255" s="380">
        <v>9</v>
      </c>
      <c r="C255" s="374"/>
      <c r="D255" s="375" t="s">
        <v>515</v>
      </c>
      <c r="E255" s="375"/>
      <c r="F255" s="375"/>
      <c r="G255" s="375"/>
      <c r="H255" s="376"/>
      <c r="I255" s="376"/>
      <c r="J255" s="375"/>
      <c r="K255" s="375"/>
      <c r="L255" s="382" t="str">
        <f t="shared" si="11"/>
        <v/>
      </c>
    </row>
    <row r="256" spans="2:12" x14ac:dyDescent="0.45">
      <c r="B256" s="380">
        <v>10</v>
      </c>
      <c r="C256" s="374"/>
      <c r="D256" s="375" t="s">
        <v>515</v>
      </c>
      <c r="E256" s="375"/>
      <c r="F256" s="375"/>
      <c r="G256" s="375"/>
      <c r="H256" s="376"/>
      <c r="I256" s="376"/>
      <c r="J256" s="375"/>
      <c r="K256" s="375"/>
      <c r="L256" s="382" t="str">
        <f t="shared" si="11"/>
        <v/>
      </c>
    </row>
    <row r="257" spans="2:12" x14ac:dyDescent="0.45">
      <c r="B257" s="380">
        <v>11</v>
      </c>
      <c r="C257" s="374"/>
      <c r="D257" s="375" t="s">
        <v>515</v>
      </c>
      <c r="E257" s="375"/>
      <c r="F257" s="375"/>
      <c r="G257" s="375"/>
      <c r="H257" s="376"/>
      <c r="I257" s="376"/>
      <c r="J257" s="375"/>
      <c r="K257" s="375"/>
      <c r="L257" s="382" t="str">
        <f t="shared" si="11"/>
        <v/>
      </c>
    </row>
    <row r="258" spans="2:12" x14ac:dyDescent="0.45">
      <c r="B258" s="380" t="s">
        <v>335</v>
      </c>
      <c r="C258" s="374"/>
      <c r="D258" s="375" t="s">
        <v>517</v>
      </c>
      <c r="E258" s="375"/>
      <c r="F258" s="375"/>
      <c r="G258" s="375"/>
      <c r="H258" s="376"/>
      <c r="I258" s="376"/>
      <c r="J258" s="375"/>
      <c r="K258" s="375"/>
      <c r="L258" s="382" t="str">
        <f t="shared" si="11"/>
        <v/>
      </c>
    </row>
    <row r="259" spans="2:12" x14ac:dyDescent="0.45">
      <c r="B259" s="380" t="s">
        <v>336</v>
      </c>
      <c r="C259" s="374"/>
      <c r="D259" s="375" t="s">
        <v>517</v>
      </c>
      <c r="E259" s="375"/>
      <c r="F259" s="375"/>
      <c r="G259" s="375"/>
      <c r="H259" s="376"/>
      <c r="I259" s="376"/>
      <c r="J259" s="375"/>
      <c r="K259" s="375"/>
      <c r="L259" s="382" t="str">
        <f t="shared" si="11"/>
        <v/>
      </c>
    </row>
    <row r="260" spans="2:12" x14ac:dyDescent="0.45">
      <c r="B260" s="380" t="s">
        <v>337</v>
      </c>
      <c r="C260" s="374"/>
      <c r="D260" s="375" t="s">
        <v>517</v>
      </c>
      <c r="E260" s="375"/>
      <c r="F260" s="375"/>
      <c r="G260" s="375"/>
      <c r="H260" s="376"/>
      <c r="I260" s="376"/>
      <c r="J260" s="375"/>
      <c r="K260" s="375"/>
      <c r="L260" s="382" t="str">
        <f t="shared" si="11"/>
        <v/>
      </c>
    </row>
    <row r="261" spans="2:12" x14ac:dyDescent="0.45">
      <c r="B261" s="380" t="s">
        <v>338</v>
      </c>
      <c r="C261" s="374"/>
      <c r="D261" s="375" t="s">
        <v>517</v>
      </c>
      <c r="E261" s="375"/>
      <c r="F261" s="375"/>
      <c r="G261" s="375"/>
      <c r="H261" s="376"/>
      <c r="I261" s="376"/>
      <c r="J261" s="375"/>
      <c r="K261" s="375"/>
      <c r="L261" s="382" t="str">
        <f t="shared" si="11"/>
        <v/>
      </c>
    </row>
    <row r="262" spans="2:12" x14ac:dyDescent="0.45">
      <c r="B262" s="380" t="s">
        <v>339</v>
      </c>
      <c r="C262" s="374"/>
      <c r="D262" s="375" t="s">
        <v>517</v>
      </c>
      <c r="E262" s="375"/>
      <c r="F262" s="375"/>
      <c r="G262" s="375"/>
      <c r="H262" s="376"/>
      <c r="I262" s="376"/>
      <c r="J262" s="375"/>
      <c r="K262" s="375"/>
      <c r="L262" s="382" t="str">
        <f t="shared" si="11"/>
        <v/>
      </c>
    </row>
    <row r="263" spans="2:12" x14ac:dyDescent="0.45">
      <c r="B263" s="380" t="s">
        <v>340</v>
      </c>
      <c r="C263" s="374"/>
      <c r="D263" s="375" t="s">
        <v>517</v>
      </c>
      <c r="E263" s="375"/>
      <c r="F263" s="375"/>
      <c r="G263" s="375"/>
      <c r="H263" s="376"/>
      <c r="I263" s="376"/>
      <c r="J263" s="375"/>
      <c r="K263" s="375"/>
      <c r="L263" s="382" t="str">
        <f t="shared" si="11"/>
        <v/>
      </c>
    </row>
    <row r="264" spans="2:12" x14ac:dyDescent="0.45">
      <c r="B264" s="381" t="s">
        <v>341</v>
      </c>
      <c r="C264" s="377"/>
      <c r="D264" s="378" t="s">
        <v>517</v>
      </c>
      <c r="E264" s="378"/>
      <c r="F264" s="378"/>
      <c r="G264" s="378"/>
      <c r="H264" s="379"/>
      <c r="I264" s="379"/>
      <c r="J264" s="378"/>
      <c r="K264" s="378"/>
      <c r="L264" s="383" t="str">
        <f t="shared" si="11"/>
        <v/>
      </c>
    </row>
    <row r="265" spans="2:12" ht="14.65" thickBot="1" x14ac:dyDescent="0.5">
      <c r="B265" s="388" t="s">
        <v>529</v>
      </c>
      <c r="C265" s="384" t="str">
        <f>COUNTIFS($C$247:$C$264,"&lt;&gt;",$D$247:$D$264,"&lt;&gt;Sub - unused")&amp;" played"</f>
        <v>0 played</v>
      </c>
      <c r="D265" s="384"/>
      <c r="E265" s="384"/>
      <c r="F265" s="384"/>
      <c r="G265" s="384">
        <f>SUM($G$247:$G$264)</f>
        <v>0</v>
      </c>
      <c r="H265" s="384">
        <f>SUM($H$247:$H$264)</f>
        <v>0</v>
      </c>
      <c r="I265" s="387" t="str">
        <f>IFERROR(AVERAGEIFS($I$247:$I$264,$I$247:$I$264,"&gt;0",$D$247:$D$264,"&lt;&gt;Sub - unused"),"")</f>
        <v/>
      </c>
      <c r="J265" s="384">
        <f>SUM($J$247:$J$264)</f>
        <v>0</v>
      </c>
      <c r="K265" s="384">
        <f>SUM($K$247:$K$264)</f>
        <v>0</v>
      </c>
      <c r="L265" s="384"/>
    </row>
    <row r="266" spans="2:12" ht="28.05" customHeight="1" thickTop="1" x14ac:dyDescent="0.45">
      <c r="B266" s="389" t="s">
        <v>342</v>
      </c>
      <c r="C266" s="507"/>
      <c r="D266" s="508"/>
      <c r="E266" s="508"/>
      <c r="F266" s="508"/>
      <c r="G266" s="508"/>
      <c r="H266" s="508"/>
      <c r="I266" s="508"/>
      <c r="J266" s="508"/>
      <c r="K266" s="508"/>
      <c r="L266" s="509"/>
    </row>
    <row r="267" spans="2:12" ht="28.05" customHeight="1" x14ac:dyDescent="0.45">
      <c r="B267" s="390" t="s">
        <v>530</v>
      </c>
      <c r="C267" s="510"/>
      <c r="D267" s="511"/>
      <c r="E267" s="511"/>
      <c r="F267" s="511"/>
      <c r="G267" s="511"/>
      <c r="H267" s="511"/>
      <c r="I267" s="511"/>
      <c r="J267" s="511"/>
      <c r="K267" s="511"/>
      <c r="L267" s="512"/>
    </row>
    <row r="269" spans="2:12" x14ac:dyDescent="0.45">
      <c r="B269" s="515" t="s">
        <v>537</v>
      </c>
      <c r="C269" s="515"/>
      <c r="D269" s="515"/>
      <c r="E269" s="515"/>
      <c r="F269" s="515"/>
      <c r="G269" s="515"/>
      <c r="H269" s="515"/>
      <c r="I269" s="515"/>
      <c r="J269" s="515"/>
      <c r="K269" s="515"/>
      <c r="L269" s="515"/>
    </row>
    <row r="270" spans="2:12" x14ac:dyDescent="0.45">
      <c r="B270" s="367" t="s">
        <v>301</v>
      </c>
      <c r="C270" s="367" t="s">
        <v>343</v>
      </c>
      <c r="D270" s="367" t="s">
        <v>344</v>
      </c>
      <c r="E270" s="367" t="s">
        <v>302</v>
      </c>
      <c r="F270" s="367" t="s">
        <v>303</v>
      </c>
      <c r="G270" s="367" t="s">
        <v>304</v>
      </c>
      <c r="H270" s="367" t="s">
        <v>346</v>
      </c>
    </row>
    <row r="271" spans="2:12" x14ac:dyDescent="0.45">
      <c r="B271" s="369"/>
      <c r="C271" s="370"/>
      <c r="D271" s="370"/>
      <c r="E271" s="370"/>
      <c r="F271" s="370"/>
      <c r="G271" s="371" t="str">
        <f>IF(OR($E$271="",$F$271=""),"",IF($E$271&gt;$F$271,"Win",IF($E$271=$F$271,"Draw","Loss")))</f>
        <v/>
      </c>
      <c r="H271" s="370"/>
    </row>
    <row r="272" spans="2:12" x14ac:dyDescent="0.45">
      <c r="B272" s="372" t="s">
        <v>520</v>
      </c>
      <c r="C272" s="368" t="str">
        <f>IF($F$271="","",IF($F$271=0,"Yes","No"))</f>
        <v/>
      </c>
      <c r="D272" s="372" t="s">
        <v>521</v>
      </c>
      <c r="E272" s="368">
        <f>SUM($G$274:$G$291)</f>
        <v>0</v>
      </c>
      <c r="F272" s="372" t="s">
        <v>522</v>
      </c>
      <c r="G272" s="368" t="str">
        <f>IF(OR($E$271="",$E$272=0),"",IF($E$272=$E$271,"OK","does not match GF"))</f>
        <v/>
      </c>
    </row>
    <row r="273" spans="2:12" x14ac:dyDescent="0.45">
      <c r="B273" s="373" t="s">
        <v>153</v>
      </c>
      <c r="C273" s="373" t="s">
        <v>18</v>
      </c>
      <c r="D273" s="373" t="s">
        <v>316</v>
      </c>
      <c r="E273" s="373" t="s">
        <v>217</v>
      </c>
      <c r="F273" s="373" t="s">
        <v>523</v>
      </c>
      <c r="G273" s="373" t="s">
        <v>524</v>
      </c>
      <c r="H273" s="373" t="s">
        <v>525</v>
      </c>
      <c r="I273" s="373" t="s">
        <v>155</v>
      </c>
      <c r="J273" s="373" t="s">
        <v>526</v>
      </c>
      <c r="K273" s="373" t="s">
        <v>527</v>
      </c>
      <c r="L273" s="373" t="s">
        <v>528</v>
      </c>
    </row>
    <row r="274" spans="2:12" x14ac:dyDescent="0.45">
      <c r="B274" s="380">
        <v>1</v>
      </c>
      <c r="C274" s="374"/>
      <c r="D274" s="375" t="s">
        <v>515</v>
      </c>
      <c r="E274" s="375"/>
      <c r="F274" s="375"/>
      <c r="G274" s="375"/>
      <c r="H274" s="376"/>
      <c r="I274" s="376"/>
      <c r="J274" s="375"/>
      <c r="K274" s="375"/>
      <c r="L274" s="382" t="str">
        <f>IF(OR($C274="",$E274&lt;&gt;"GK",$D274="Sub - unused",$F$271=""),"",IF($F$271=0,"Yes","No"))</f>
        <v/>
      </c>
    </row>
    <row r="275" spans="2:12" x14ac:dyDescent="0.45">
      <c r="B275" s="380">
        <v>2</v>
      </c>
      <c r="C275" s="374"/>
      <c r="D275" s="375" t="s">
        <v>515</v>
      </c>
      <c r="E275" s="375"/>
      <c r="F275" s="375"/>
      <c r="G275" s="375"/>
      <c r="H275" s="376"/>
      <c r="I275" s="376"/>
      <c r="J275" s="375"/>
      <c r="K275" s="375"/>
      <c r="L275" s="382" t="str">
        <f t="shared" ref="L275:L291" si="12">IF(OR($C275="",$E275&lt;&gt;"GK",$D275="Sub - unused",$F$271=""),"",IF($F$271=0,"Yes","No"))</f>
        <v/>
      </c>
    </row>
    <row r="276" spans="2:12" x14ac:dyDescent="0.45">
      <c r="B276" s="380">
        <v>3</v>
      </c>
      <c r="C276" s="374"/>
      <c r="D276" s="375" t="s">
        <v>515</v>
      </c>
      <c r="E276" s="375"/>
      <c r="F276" s="375"/>
      <c r="G276" s="375"/>
      <c r="H276" s="376"/>
      <c r="I276" s="376"/>
      <c r="J276" s="375"/>
      <c r="K276" s="375"/>
      <c r="L276" s="382" t="str">
        <f t="shared" si="12"/>
        <v/>
      </c>
    </row>
    <row r="277" spans="2:12" x14ac:dyDescent="0.45">
      <c r="B277" s="380">
        <v>4</v>
      </c>
      <c r="C277" s="374"/>
      <c r="D277" s="375" t="s">
        <v>515</v>
      </c>
      <c r="E277" s="375"/>
      <c r="F277" s="375"/>
      <c r="G277" s="375"/>
      <c r="H277" s="376"/>
      <c r="I277" s="376"/>
      <c r="J277" s="375"/>
      <c r="K277" s="375"/>
      <c r="L277" s="382" t="str">
        <f t="shared" si="12"/>
        <v/>
      </c>
    </row>
    <row r="278" spans="2:12" x14ac:dyDescent="0.45">
      <c r="B278" s="380">
        <v>5</v>
      </c>
      <c r="C278" s="374"/>
      <c r="D278" s="375" t="s">
        <v>515</v>
      </c>
      <c r="E278" s="375"/>
      <c r="F278" s="375"/>
      <c r="G278" s="375"/>
      <c r="H278" s="376"/>
      <c r="I278" s="376"/>
      <c r="J278" s="375"/>
      <c r="K278" s="375"/>
      <c r="L278" s="382" t="str">
        <f t="shared" si="12"/>
        <v/>
      </c>
    </row>
    <row r="279" spans="2:12" x14ac:dyDescent="0.45">
      <c r="B279" s="380">
        <v>6</v>
      </c>
      <c r="C279" s="374"/>
      <c r="D279" s="375" t="s">
        <v>515</v>
      </c>
      <c r="E279" s="375"/>
      <c r="F279" s="375"/>
      <c r="G279" s="375"/>
      <c r="H279" s="376"/>
      <c r="I279" s="376"/>
      <c r="J279" s="375"/>
      <c r="K279" s="375"/>
      <c r="L279" s="382" t="str">
        <f t="shared" si="12"/>
        <v/>
      </c>
    </row>
    <row r="280" spans="2:12" x14ac:dyDescent="0.45">
      <c r="B280" s="380">
        <v>7</v>
      </c>
      <c r="C280" s="374"/>
      <c r="D280" s="375" t="s">
        <v>515</v>
      </c>
      <c r="E280" s="375"/>
      <c r="F280" s="375"/>
      <c r="G280" s="375"/>
      <c r="H280" s="376"/>
      <c r="I280" s="376"/>
      <c r="J280" s="375"/>
      <c r="K280" s="375"/>
      <c r="L280" s="382" t="str">
        <f t="shared" si="12"/>
        <v/>
      </c>
    </row>
    <row r="281" spans="2:12" x14ac:dyDescent="0.45">
      <c r="B281" s="380">
        <v>8</v>
      </c>
      <c r="C281" s="374"/>
      <c r="D281" s="375" t="s">
        <v>515</v>
      </c>
      <c r="E281" s="375"/>
      <c r="F281" s="375"/>
      <c r="G281" s="375"/>
      <c r="H281" s="376"/>
      <c r="I281" s="376"/>
      <c r="J281" s="375"/>
      <c r="K281" s="375"/>
      <c r="L281" s="382" t="str">
        <f t="shared" si="12"/>
        <v/>
      </c>
    </row>
    <row r="282" spans="2:12" x14ac:dyDescent="0.45">
      <c r="B282" s="380">
        <v>9</v>
      </c>
      <c r="C282" s="374"/>
      <c r="D282" s="375" t="s">
        <v>515</v>
      </c>
      <c r="E282" s="375"/>
      <c r="F282" s="375"/>
      <c r="G282" s="375"/>
      <c r="H282" s="376"/>
      <c r="I282" s="376"/>
      <c r="J282" s="375"/>
      <c r="K282" s="375"/>
      <c r="L282" s="382" t="str">
        <f t="shared" si="12"/>
        <v/>
      </c>
    </row>
    <row r="283" spans="2:12" x14ac:dyDescent="0.45">
      <c r="B283" s="380">
        <v>10</v>
      </c>
      <c r="C283" s="374"/>
      <c r="D283" s="375" t="s">
        <v>515</v>
      </c>
      <c r="E283" s="375"/>
      <c r="F283" s="375"/>
      <c r="G283" s="375"/>
      <c r="H283" s="376"/>
      <c r="I283" s="376"/>
      <c r="J283" s="375"/>
      <c r="K283" s="375"/>
      <c r="L283" s="382" t="str">
        <f t="shared" si="12"/>
        <v/>
      </c>
    </row>
    <row r="284" spans="2:12" x14ac:dyDescent="0.45">
      <c r="B284" s="380">
        <v>11</v>
      </c>
      <c r="C284" s="374"/>
      <c r="D284" s="375" t="s">
        <v>515</v>
      </c>
      <c r="E284" s="375"/>
      <c r="F284" s="375"/>
      <c r="G284" s="375"/>
      <c r="H284" s="376"/>
      <c r="I284" s="376"/>
      <c r="J284" s="375"/>
      <c r="K284" s="375"/>
      <c r="L284" s="382" t="str">
        <f t="shared" si="12"/>
        <v/>
      </c>
    </row>
    <row r="285" spans="2:12" x14ac:dyDescent="0.45">
      <c r="B285" s="380" t="s">
        <v>335</v>
      </c>
      <c r="C285" s="374"/>
      <c r="D285" s="375" t="s">
        <v>517</v>
      </c>
      <c r="E285" s="375"/>
      <c r="F285" s="375"/>
      <c r="G285" s="375"/>
      <c r="H285" s="376"/>
      <c r="I285" s="376"/>
      <c r="J285" s="375"/>
      <c r="K285" s="375"/>
      <c r="L285" s="382" t="str">
        <f t="shared" si="12"/>
        <v/>
      </c>
    </row>
    <row r="286" spans="2:12" x14ac:dyDescent="0.45">
      <c r="B286" s="380" t="s">
        <v>336</v>
      </c>
      <c r="C286" s="374"/>
      <c r="D286" s="375" t="s">
        <v>517</v>
      </c>
      <c r="E286" s="375"/>
      <c r="F286" s="375"/>
      <c r="G286" s="375"/>
      <c r="H286" s="376"/>
      <c r="I286" s="376"/>
      <c r="J286" s="375"/>
      <c r="K286" s="375"/>
      <c r="L286" s="382" t="str">
        <f t="shared" si="12"/>
        <v/>
      </c>
    </row>
    <row r="287" spans="2:12" x14ac:dyDescent="0.45">
      <c r="B287" s="380" t="s">
        <v>337</v>
      </c>
      <c r="C287" s="374"/>
      <c r="D287" s="375" t="s">
        <v>517</v>
      </c>
      <c r="E287" s="375"/>
      <c r="F287" s="375"/>
      <c r="G287" s="375"/>
      <c r="H287" s="376"/>
      <c r="I287" s="376"/>
      <c r="J287" s="375"/>
      <c r="K287" s="375"/>
      <c r="L287" s="382" t="str">
        <f t="shared" si="12"/>
        <v/>
      </c>
    </row>
    <row r="288" spans="2:12" x14ac:dyDescent="0.45">
      <c r="B288" s="380" t="s">
        <v>338</v>
      </c>
      <c r="C288" s="374"/>
      <c r="D288" s="375" t="s">
        <v>517</v>
      </c>
      <c r="E288" s="375"/>
      <c r="F288" s="375"/>
      <c r="G288" s="375"/>
      <c r="H288" s="376"/>
      <c r="I288" s="376"/>
      <c r="J288" s="375"/>
      <c r="K288" s="375"/>
      <c r="L288" s="382" t="str">
        <f t="shared" si="12"/>
        <v/>
      </c>
    </row>
    <row r="289" spans="2:12" x14ac:dyDescent="0.45">
      <c r="B289" s="380" t="s">
        <v>339</v>
      </c>
      <c r="C289" s="374"/>
      <c r="D289" s="375" t="s">
        <v>517</v>
      </c>
      <c r="E289" s="375"/>
      <c r="F289" s="375"/>
      <c r="G289" s="375"/>
      <c r="H289" s="376"/>
      <c r="I289" s="376"/>
      <c r="J289" s="375"/>
      <c r="K289" s="375"/>
      <c r="L289" s="382" t="str">
        <f t="shared" si="12"/>
        <v/>
      </c>
    </row>
    <row r="290" spans="2:12" x14ac:dyDescent="0.45">
      <c r="B290" s="380" t="s">
        <v>340</v>
      </c>
      <c r="C290" s="374"/>
      <c r="D290" s="375" t="s">
        <v>517</v>
      </c>
      <c r="E290" s="375"/>
      <c r="F290" s="375"/>
      <c r="G290" s="375"/>
      <c r="H290" s="376"/>
      <c r="I290" s="376"/>
      <c r="J290" s="375"/>
      <c r="K290" s="375"/>
      <c r="L290" s="382" t="str">
        <f t="shared" si="12"/>
        <v/>
      </c>
    </row>
    <row r="291" spans="2:12" x14ac:dyDescent="0.45">
      <c r="B291" s="381" t="s">
        <v>341</v>
      </c>
      <c r="C291" s="377"/>
      <c r="D291" s="378" t="s">
        <v>517</v>
      </c>
      <c r="E291" s="378"/>
      <c r="F291" s="378"/>
      <c r="G291" s="378"/>
      <c r="H291" s="379"/>
      <c r="I291" s="379"/>
      <c r="J291" s="378"/>
      <c r="K291" s="378"/>
      <c r="L291" s="383" t="str">
        <f t="shared" si="12"/>
        <v/>
      </c>
    </row>
    <row r="292" spans="2:12" ht="14.65" thickBot="1" x14ac:dyDescent="0.5">
      <c r="B292" s="388" t="s">
        <v>529</v>
      </c>
      <c r="C292" s="384" t="str">
        <f>COUNTIFS($C$274:$C$291,"&lt;&gt;",$D$274:$D$291,"&lt;&gt;Sub - unused")&amp;" played"</f>
        <v>0 played</v>
      </c>
      <c r="D292" s="384"/>
      <c r="E292" s="384"/>
      <c r="F292" s="384"/>
      <c r="G292" s="384">
        <f>SUM($G$274:$G$291)</f>
        <v>0</v>
      </c>
      <c r="H292" s="384">
        <f>SUM($H$274:$H$291)</f>
        <v>0</v>
      </c>
      <c r="I292" s="387" t="str">
        <f>IFERROR(AVERAGEIFS($I$274:$I$291,$I$274:$I$291,"&gt;0",$D$274:$D$291,"&lt;&gt;Sub - unused"),"")</f>
        <v/>
      </c>
      <c r="J292" s="384">
        <f>SUM($J$274:$J$291)</f>
        <v>0</v>
      </c>
      <c r="K292" s="384">
        <f>SUM($K$274:$K$291)</f>
        <v>0</v>
      </c>
      <c r="L292" s="384"/>
    </row>
    <row r="293" spans="2:12" ht="28.05" customHeight="1" thickTop="1" x14ac:dyDescent="0.45">
      <c r="B293" s="389" t="s">
        <v>342</v>
      </c>
      <c r="C293" s="507"/>
      <c r="D293" s="508"/>
      <c r="E293" s="508"/>
      <c r="F293" s="508"/>
      <c r="G293" s="508"/>
      <c r="H293" s="508"/>
      <c r="I293" s="508"/>
      <c r="J293" s="508"/>
      <c r="K293" s="508"/>
      <c r="L293" s="509"/>
    </row>
    <row r="294" spans="2:12" ht="28.05" customHeight="1" x14ac:dyDescent="0.45">
      <c r="B294" s="390" t="s">
        <v>530</v>
      </c>
      <c r="C294" s="510"/>
      <c r="D294" s="511"/>
      <c r="E294" s="511"/>
      <c r="F294" s="511"/>
      <c r="G294" s="511"/>
      <c r="H294" s="511"/>
      <c r="I294" s="511"/>
      <c r="J294" s="511"/>
      <c r="K294" s="511"/>
      <c r="L294" s="512"/>
    </row>
    <row r="296" spans="2:12" x14ac:dyDescent="0.45">
      <c r="B296" s="515" t="s">
        <v>538</v>
      </c>
      <c r="C296" s="515"/>
      <c r="D296" s="515"/>
      <c r="E296" s="515"/>
      <c r="F296" s="515"/>
      <c r="G296" s="515"/>
      <c r="H296" s="515"/>
      <c r="I296" s="515"/>
      <c r="J296" s="515"/>
      <c r="K296" s="515"/>
      <c r="L296" s="515"/>
    </row>
    <row r="297" spans="2:12" x14ac:dyDescent="0.45">
      <c r="B297" s="367" t="s">
        <v>301</v>
      </c>
      <c r="C297" s="367" t="s">
        <v>343</v>
      </c>
      <c r="D297" s="367" t="s">
        <v>344</v>
      </c>
      <c r="E297" s="367" t="s">
        <v>302</v>
      </c>
      <c r="F297" s="367" t="s">
        <v>303</v>
      </c>
      <c r="G297" s="367" t="s">
        <v>304</v>
      </c>
      <c r="H297" s="367" t="s">
        <v>346</v>
      </c>
    </row>
    <row r="298" spans="2:12" x14ac:dyDescent="0.45">
      <c r="B298" s="369"/>
      <c r="C298" s="370"/>
      <c r="D298" s="370"/>
      <c r="E298" s="370"/>
      <c r="F298" s="370"/>
      <c r="G298" s="371" t="str">
        <f>IF(OR($E$298="",$F$298=""),"",IF($E$298&gt;$F$298,"Win",IF($E$298=$F$298,"Draw","Loss")))</f>
        <v/>
      </c>
      <c r="H298" s="370"/>
    </row>
    <row r="299" spans="2:12" x14ac:dyDescent="0.45">
      <c r="B299" s="372" t="s">
        <v>520</v>
      </c>
      <c r="C299" s="368" t="str">
        <f>IF($F$298="","",IF($F$298=0,"Yes","No"))</f>
        <v/>
      </c>
      <c r="D299" s="372" t="s">
        <v>521</v>
      </c>
      <c r="E299" s="368">
        <f>SUM($G$301:$G$318)</f>
        <v>0</v>
      </c>
      <c r="F299" s="372" t="s">
        <v>522</v>
      </c>
      <c r="G299" s="368" t="str">
        <f>IF(OR($E$298="",$E$299=0),"",IF($E$299=$E$298,"OK","does not match GF"))</f>
        <v/>
      </c>
    </row>
    <row r="300" spans="2:12" x14ac:dyDescent="0.45">
      <c r="B300" s="373" t="s">
        <v>153</v>
      </c>
      <c r="C300" s="373" t="s">
        <v>18</v>
      </c>
      <c r="D300" s="373" t="s">
        <v>316</v>
      </c>
      <c r="E300" s="373" t="s">
        <v>217</v>
      </c>
      <c r="F300" s="373" t="s">
        <v>523</v>
      </c>
      <c r="G300" s="373" t="s">
        <v>524</v>
      </c>
      <c r="H300" s="373" t="s">
        <v>525</v>
      </c>
      <c r="I300" s="373" t="s">
        <v>155</v>
      </c>
      <c r="J300" s="373" t="s">
        <v>526</v>
      </c>
      <c r="K300" s="373" t="s">
        <v>527</v>
      </c>
      <c r="L300" s="373" t="s">
        <v>528</v>
      </c>
    </row>
    <row r="301" spans="2:12" x14ac:dyDescent="0.45">
      <c r="B301" s="380">
        <v>1</v>
      </c>
      <c r="C301" s="374"/>
      <c r="D301" s="375" t="s">
        <v>515</v>
      </c>
      <c r="E301" s="375"/>
      <c r="F301" s="375"/>
      <c r="G301" s="375"/>
      <c r="H301" s="376"/>
      <c r="I301" s="376"/>
      <c r="J301" s="375"/>
      <c r="K301" s="375"/>
      <c r="L301" s="382" t="str">
        <f>IF(OR($C301="",$E301&lt;&gt;"GK",$D301="Sub - unused",$F$298=""),"",IF($F$298=0,"Yes","No"))</f>
        <v/>
      </c>
    </row>
    <row r="302" spans="2:12" x14ac:dyDescent="0.45">
      <c r="B302" s="380">
        <v>2</v>
      </c>
      <c r="C302" s="374"/>
      <c r="D302" s="375" t="s">
        <v>515</v>
      </c>
      <c r="E302" s="375"/>
      <c r="F302" s="375"/>
      <c r="G302" s="375"/>
      <c r="H302" s="376"/>
      <c r="I302" s="376"/>
      <c r="J302" s="375"/>
      <c r="K302" s="375"/>
      <c r="L302" s="382" t="str">
        <f t="shared" ref="L302:L318" si="13">IF(OR($C302="",$E302&lt;&gt;"GK",$D302="Sub - unused",$F$298=""),"",IF($F$298=0,"Yes","No"))</f>
        <v/>
      </c>
    </row>
    <row r="303" spans="2:12" x14ac:dyDescent="0.45">
      <c r="B303" s="380">
        <v>3</v>
      </c>
      <c r="C303" s="374"/>
      <c r="D303" s="375" t="s">
        <v>515</v>
      </c>
      <c r="E303" s="375"/>
      <c r="F303" s="375"/>
      <c r="G303" s="375"/>
      <c r="H303" s="376"/>
      <c r="I303" s="376"/>
      <c r="J303" s="375"/>
      <c r="K303" s="375"/>
      <c r="L303" s="382" t="str">
        <f t="shared" si="13"/>
        <v/>
      </c>
    </row>
    <row r="304" spans="2:12" x14ac:dyDescent="0.45">
      <c r="B304" s="380">
        <v>4</v>
      </c>
      <c r="C304" s="374"/>
      <c r="D304" s="375" t="s">
        <v>515</v>
      </c>
      <c r="E304" s="375"/>
      <c r="F304" s="375"/>
      <c r="G304" s="375"/>
      <c r="H304" s="376"/>
      <c r="I304" s="376"/>
      <c r="J304" s="375"/>
      <c r="K304" s="375"/>
      <c r="L304" s="382" t="str">
        <f t="shared" si="13"/>
        <v/>
      </c>
    </row>
    <row r="305" spans="2:12" x14ac:dyDescent="0.45">
      <c r="B305" s="380">
        <v>5</v>
      </c>
      <c r="C305" s="374"/>
      <c r="D305" s="375" t="s">
        <v>515</v>
      </c>
      <c r="E305" s="375"/>
      <c r="F305" s="375"/>
      <c r="G305" s="375"/>
      <c r="H305" s="376"/>
      <c r="I305" s="376"/>
      <c r="J305" s="375"/>
      <c r="K305" s="375"/>
      <c r="L305" s="382" t="str">
        <f t="shared" si="13"/>
        <v/>
      </c>
    </row>
    <row r="306" spans="2:12" x14ac:dyDescent="0.45">
      <c r="B306" s="380">
        <v>6</v>
      </c>
      <c r="C306" s="374"/>
      <c r="D306" s="375" t="s">
        <v>515</v>
      </c>
      <c r="E306" s="375"/>
      <c r="F306" s="375"/>
      <c r="G306" s="375"/>
      <c r="H306" s="376"/>
      <c r="I306" s="376"/>
      <c r="J306" s="375"/>
      <c r="K306" s="375"/>
      <c r="L306" s="382" t="str">
        <f t="shared" si="13"/>
        <v/>
      </c>
    </row>
    <row r="307" spans="2:12" x14ac:dyDescent="0.45">
      <c r="B307" s="380">
        <v>7</v>
      </c>
      <c r="C307" s="374"/>
      <c r="D307" s="375" t="s">
        <v>515</v>
      </c>
      <c r="E307" s="375"/>
      <c r="F307" s="375"/>
      <c r="G307" s="375"/>
      <c r="H307" s="376"/>
      <c r="I307" s="376"/>
      <c r="J307" s="375"/>
      <c r="K307" s="375"/>
      <c r="L307" s="382" t="str">
        <f t="shared" si="13"/>
        <v/>
      </c>
    </row>
    <row r="308" spans="2:12" x14ac:dyDescent="0.45">
      <c r="B308" s="380">
        <v>8</v>
      </c>
      <c r="C308" s="374"/>
      <c r="D308" s="375" t="s">
        <v>515</v>
      </c>
      <c r="E308" s="375"/>
      <c r="F308" s="375"/>
      <c r="G308" s="375"/>
      <c r="H308" s="376"/>
      <c r="I308" s="376"/>
      <c r="J308" s="375"/>
      <c r="K308" s="375"/>
      <c r="L308" s="382" t="str">
        <f t="shared" si="13"/>
        <v/>
      </c>
    </row>
    <row r="309" spans="2:12" x14ac:dyDescent="0.45">
      <c r="B309" s="380">
        <v>9</v>
      </c>
      <c r="C309" s="374"/>
      <c r="D309" s="375" t="s">
        <v>515</v>
      </c>
      <c r="E309" s="375"/>
      <c r="F309" s="375"/>
      <c r="G309" s="375"/>
      <c r="H309" s="376"/>
      <c r="I309" s="376"/>
      <c r="J309" s="375"/>
      <c r="K309" s="375"/>
      <c r="L309" s="382" t="str">
        <f t="shared" si="13"/>
        <v/>
      </c>
    </row>
    <row r="310" spans="2:12" x14ac:dyDescent="0.45">
      <c r="B310" s="380">
        <v>10</v>
      </c>
      <c r="C310" s="374"/>
      <c r="D310" s="375" t="s">
        <v>515</v>
      </c>
      <c r="E310" s="375"/>
      <c r="F310" s="375"/>
      <c r="G310" s="375"/>
      <c r="H310" s="376"/>
      <c r="I310" s="376"/>
      <c r="J310" s="375"/>
      <c r="K310" s="375"/>
      <c r="L310" s="382" t="str">
        <f t="shared" si="13"/>
        <v/>
      </c>
    </row>
    <row r="311" spans="2:12" x14ac:dyDescent="0.45">
      <c r="B311" s="380">
        <v>11</v>
      </c>
      <c r="C311" s="374"/>
      <c r="D311" s="375" t="s">
        <v>515</v>
      </c>
      <c r="E311" s="375"/>
      <c r="F311" s="375"/>
      <c r="G311" s="375"/>
      <c r="H311" s="376"/>
      <c r="I311" s="376"/>
      <c r="J311" s="375"/>
      <c r="K311" s="375"/>
      <c r="L311" s="382" t="str">
        <f t="shared" si="13"/>
        <v/>
      </c>
    </row>
    <row r="312" spans="2:12" x14ac:dyDescent="0.45">
      <c r="B312" s="380" t="s">
        <v>335</v>
      </c>
      <c r="C312" s="374"/>
      <c r="D312" s="375" t="s">
        <v>517</v>
      </c>
      <c r="E312" s="375"/>
      <c r="F312" s="375"/>
      <c r="G312" s="375"/>
      <c r="H312" s="376"/>
      <c r="I312" s="376"/>
      <c r="J312" s="375"/>
      <c r="K312" s="375"/>
      <c r="L312" s="382" t="str">
        <f t="shared" si="13"/>
        <v/>
      </c>
    </row>
    <row r="313" spans="2:12" x14ac:dyDescent="0.45">
      <c r="B313" s="380" t="s">
        <v>336</v>
      </c>
      <c r="C313" s="374"/>
      <c r="D313" s="375" t="s">
        <v>517</v>
      </c>
      <c r="E313" s="375"/>
      <c r="F313" s="375"/>
      <c r="G313" s="375"/>
      <c r="H313" s="376"/>
      <c r="I313" s="376"/>
      <c r="J313" s="375"/>
      <c r="K313" s="375"/>
      <c r="L313" s="382" t="str">
        <f t="shared" si="13"/>
        <v/>
      </c>
    </row>
    <row r="314" spans="2:12" x14ac:dyDescent="0.45">
      <c r="B314" s="380" t="s">
        <v>337</v>
      </c>
      <c r="C314" s="374"/>
      <c r="D314" s="375" t="s">
        <v>517</v>
      </c>
      <c r="E314" s="375"/>
      <c r="F314" s="375"/>
      <c r="G314" s="375"/>
      <c r="H314" s="376"/>
      <c r="I314" s="376"/>
      <c r="J314" s="375"/>
      <c r="K314" s="375"/>
      <c r="L314" s="382" t="str">
        <f t="shared" si="13"/>
        <v/>
      </c>
    </row>
    <row r="315" spans="2:12" x14ac:dyDescent="0.45">
      <c r="B315" s="380" t="s">
        <v>338</v>
      </c>
      <c r="C315" s="374"/>
      <c r="D315" s="375" t="s">
        <v>517</v>
      </c>
      <c r="E315" s="375"/>
      <c r="F315" s="375"/>
      <c r="G315" s="375"/>
      <c r="H315" s="376"/>
      <c r="I315" s="376"/>
      <c r="J315" s="375"/>
      <c r="K315" s="375"/>
      <c r="L315" s="382" t="str">
        <f t="shared" si="13"/>
        <v/>
      </c>
    </row>
    <row r="316" spans="2:12" x14ac:dyDescent="0.45">
      <c r="B316" s="380" t="s">
        <v>339</v>
      </c>
      <c r="C316" s="374"/>
      <c r="D316" s="375" t="s">
        <v>517</v>
      </c>
      <c r="E316" s="375"/>
      <c r="F316" s="375"/>
      <c r="G316" s="375"/>
      <c r="H316" s="376"/>
      <c r="I316" s="376"/>
      <c r="J316" s="375"/>
      <c r="K316" s="375"/>
      <c r="L316" s="382" t="str">
        <f t="shared" si="13"/>
        <v/>
      </c>
    </row>
    <row r="317" spans="2:12" x14ac:dyDescent="0.45">
      <c r="B317" s="380" t="s">
        <v>340</v>
      </c>
      <c r="C317" s="374"/>
      <c r="D317" s="375" t="s">
        <v>517</v>
      </c>
      <c r="E317" s="375"/>
      <c r="F317" s="375"/>
      <c r="G317" s="375"/>
      <c r="H317" s="376"/>
      <c r="I317" s="376"/>
      <c r="J317" s="375"/>
      <c r="K317" s="375"/>
      <c r="L317" s="382" t="str">
        <f t="shared" si="13"/>
        <v/>
      </c>
    </row>
    <row r="318" spans="2:12" x14ac:dyDescent="0.45">
      <c r="B318" s="381" t="s">
        <v>341</v>
      </c>
      <c r="C318" s="377"/>
      <c r="D318" s="378" t="s">
        <v>517</v>
      </c>
      <c r="E318" s="378"/>
      <c r="F318" s="378"/>
      <c r="G318" s="378"/>
      <c r="H318" s="379"/>
      <c r="I318" s="379"/>
      <c r="J318" s="378"/>
      <c r="K318" s="378"/>
      <c r="L318" s="383" t="str">
        <f t="shared" si="13"/>
        <v/>
      </c>
    </row>
    <row r="319" spans="2:12" ht="14.65" thickBot="1" x14ac:dyDescent="0.5">
      <c r="B319" s="388" t="s">
        <v>529</v>
      </c>
      <c r="C319" s="384" t="str">
        <f>COUNTIFS($C$301:$C$318,"&lt;&gt;",$D$301:$D$318,"&lt;&gt;Sub - unused")&amp;" played"</f>
        <v>0 played</v>
      </c>
      <c r="D319" s="384"/>
      <c r="E319" s="384"/>
      <c r="F319" s="384"/>
      <c r="G319" s="384">
        <f>SUM($G$301:$G$318)</f>
        <v>0</v>
      </c>
      <c r="H319" s="384">
        <f>SUM($H$301:$H$318)</f>
        <v>0</v>
      </c>
      <c r="I319" s="387" t="str">
        <f>IFERROR(AVERAGEIFS($I$301:$I$318,$I$301:$I$318,"&gt;0",$D$301:$D$318,"&lt;&gt;Sub - unused"),"")</f>
        <v/>
      </c>
      <c r="J319" s="384">
        <f>SUM($J$301:$J$318)</f>
        <v>0</v>
      </c>
      <c r="K319" s="384">
        <f>SUM($K$301:$K$318)</f>
        <v>0</v>
      </c>
      <c r="L319" s="384"/>
    </row>
    <row r="320" spans="2:12" ht="28.05" customHeight="1" thickTop="1" x14ac:dyDescent="0.45">
      <c r="B320" s="389" t="s">
        <v>342</v>
      </c>
      <c r="C320" s="507"/>
      <c r="D320" s="508"/>
      <c r="E320" s="508"/>
      <c r="F320" s="508"/>
      <c r="G320" s="508"/>
      <c r="H320" s="508"/>
      <c r="I320" s="508"/>
      <c r="J320" s="508"/>
      <c r="K320" s="508"/>
      <c r="L320" s="509"/>
    </row>
    <row r="321" spans="2:12" ht="28.05" customHeight="1" x14ac:dyDescent="0.45">
      <c r="B321" s="390" t="s">
        <v>530</v>
      </c>
      <c r="C321" s="510"/>
      <c r="D321" s="511"/>
      <c r="E321" s="511"/>
      <c r="F321" s="511"/>
      <c r="G321" s="511"/>
      <c r="H321" s="511"/>
      <c r="I321" s="511"/>
      <c r="J321" s="511"/>
      <c r="K321" s="511"/>
      <c r="L321" s="512"/>
    </row>
    <row r="323" spans="2:12" x14ac:dyDescent="0.45">
      <c r="B323" s="515" t="s">
        <v>539</v>
      </c>
      <c r="C323" s="515"/>
      <c r="D323" s="515"/>
      <c r="E323" s="515"/>
      <c r="F323" s="515"/>
      <c r="G323" s="515"/>
      <c r="H323" s="515"/>
      <c r="I323" s="515"/>
      <c r="J323" s="515"/>
      <c r="K323" s="515"/>
      <c r="L323" s="515"/>
    </row>
    <row r="324" spans="2:12" x14ac:dyDescent="0.45">
      <c r="B324" s="367" t="s">
        <v>301</v>
      </c>
      <c r="C324" s="367" t="s">
        <v>343</v>
      </c>
      <c r="D324" s="367" t="s">
        <v>344</v>
      </c>
      <c r="E324" s="367" t="s">
        <v>302</v>
      </c>
      <c r="F324" s="367" t="s">
        <v>303</v>
      </c>
      <c r="G324" s="367" t="s">
        <v>304</v>
      </c>
      <c r="H324" s="367" t="s">
        <v>346</v>
      </c>
    </row>
    <row r="325" spans="2:12" x14ac:dyDescent="0.45">
      <c r="B325" s="369"/>
      <c r="C325" s="370"/>
      <c r="D325" s="370"/>
      <c r="E325" s="370"/>
      <c r="F325" s="370"/>
      <c r="G325" s="371" t="str">
        <f>IF(OR($E$325="",$F$325=""),"",IF($E$325&gt;$F$325,"Win",IF($E$325=$F$325,"Draw","Loss")))</f>
        <v/>
      </c>
      <c r="H325" s="370"/>
    </row>
    <row r="326" spans="2:12" x14ac:dyDescent="0.45">
      <c r="B326" s="372" t="s">
        <v>520</v>
      </c>
      <c r="C326" s="368" t="str">
        <f>IF($F$325="","",IF($F$325=0,"Yes","No"))</f>
        <v/>
      </c>
      <c r="D326" s="372" t="s">
        <v>521</v>
      </c>
      <c r="E326" s="368">
        <f>SUM($G$328:$G$345)</f>
        <v>0</v>
      </c>
      <c r="F326" s="372" t="s">
        <v>522</v>
      </c>
      <c r="G326" s="368" t="str">
        <f>IF(OR($E$325="",$E$326=0),"",IF($E$326=$E$325,"OK","does not match GF"))</f>
        <v/>
      </c>
    </row>
    <row r="327" spans="2:12" x14ac:dyDescent="0.45">
      <c r="B327" s="373" t="s">
        <v>153</v>
      </c>
      <c r="C327" s="373" t="s">
        <v>18</v>
      </c>
      <c r="D327" s="373" t="s">
        <v>316</v>
      </c>
      <c r="E327" s="373" t="s">
        <v>217</v>
      </c>
      <c r="F327" s="373" t="s">
        <v>523</v>
      </c>
      <c r="G327" s="373" t="s">
        <v>524</v>
      </c>
      <c r="H327" s="373" t="s">
        <v>525</v>
      </c>
      <c r="I327" s="373" t="s">
        <v>155</v>
      </c>
      <c r="J327" s="373" t="s">
        <v>526</v>
      </c>
      <c r="K327" s="373" t="s">
        <v>527</v>
      </c>
      <c r="L327" s="373" t="s">
        <v>528</v>
      </c>
    </row>
    <row r="328" spans="2:12" x14ac:dyDescent="0.45">
      <c r="B328" s="380">
        <v>1</v>
      </c>
      <c r="C328" s="374"/>
      <c r="D328" s="375" t="s">
        <v>515</v>
      </c>
      <c r="E328" s="375"/>
      <c r="F328" s="375"/>
      <c r="G328" s="375"/>
      <c r="H328" s="376"/>
      <c r="I328" s="376"/>
      <c r="J328" s="375"/>
      <c r="K328" s="375"/>
      <c r="L328" s="382" t="str">
        <f>IF(OR($C328="",$E328&lt;&gt;"GK",$D328="Sub - unused",$F$325=""),"",IF($F$325=0,"Yes","No"))</f>
        <v/>
      </c>
    </row>
    <row r="329" spans="2:12" x14ac:dyDescent="0.45">
      <c r="B329" s="380">
        <v>2</v>
      </c>
      <c r="C329" s="374"/>
      <c r="D329" s="375" t="s">
        <v>515</v>
      </c>
      <c r="E329" s="375"/>
      <c r="F329" s="375"/>
      <c r="G329" s="375"/>
      <c r="H329" s="376"/>
      <c r="I329" s="376"/>
      <c r="J329" s="375"/>
      <c r="K329" s="375"/>
      <c r="L329" s="382" t="str">
        <f t="shared" ref="L329:L345" si="14">IF(OR($C329="",$E329&lt;&gt;"GK",$D329="Sub - unused",$F$325=""),"",IF($F$325=0,"Yes","No"))</f>
        <v/>
      </c>
    </row>
    <row r="330" spans="2:12" x14ac:dyDescent="0.45">
      <c r="B330" s="380">
        <v>3</v>
      </c>
      <c r="C330" s="374"/>
      <c r="D330" s="375" t="s">
        <v>515</v>
      </c>
      <c r="E330" s="375"/>
      <c r="F330" s="375"/>
      <c r="G330" s="375"/>
      <c r="H330" s="376"/>
      <c r="I330" s="376"/>
      <c r="J330" s="375"/>
      <c r="K330" s="375"/>
      <c r="L330" s="382" t="str">
        <f t="shared" si="14"/>
        <v/>
      </c>
    </row>
    <row r="331" spans="2:12" x14ac:dyDescent="0.45">
      <c r="B331" s="380">
        <v>4</v>
      </c>
      <c r="C331" s="374"/>
      <c r="D331" s="375" t="s">
        <v>515</v>
      </c>
      <c r="E331" s="375"/>
      <c r="F331" s="375"/>
      <c r="G331" s="375"/>
      <c r="H331" s="376"/>
      <c r="I331" s="376"/>
      <c r="J331" s="375"/>
      <c r="K331" s="375"/>
      <c r="L331" s="382" t="str">
        <f t="shared" si="14"/>
        <v/>
      </c>
    </row>
    <row r="332" spans="2:12" x14ac:dyDescent="0.45">
      <c r="B332" s="380">
        <v>5</v>
      </c>
      <c r="C332" s="374"/>
      <c r="D332" s="375" t="s">
        <v>515</v>
      </c>
      <c r="E332" s="375"/>
      <c r="F332" s="375"/>
      <c r="G332" s="375"/>
      <c r="H332" s="376"/>
      <c r="I332" s="376"/>
      <c r="J332" s="375"/>
      <c r="K332" s="375"/>
      <c r="L332" s="382" t="str">
        <f t="shared" si="14"/>
        <v/>
      </c>
    </row>
    <row r="333" spans="2:12" x14ac:dyDescent="0.45">
      <c r="B333" s="380">
        <v>6</v>
      </c>
      <c r="C333" s="374"/>
      <c r="D333" s="375" t="s">
        <v>515</v>
      </c>
      <c r="E333" s="375"/>
      <c r="F333" s="375"/>
      <c r="G333" s="375"/>
      <c r="H333" s="376"/>
      <c r="I333" s="376"/>
      <c r="J333" s="375"/>
      <c r="K333" s="375"/>
      <c r="L333" s="382" t="str">
        <f t="shared" si="14"/>
        <v/>
      </c>
    </row>
    <row r="334" spans="2:12" x14ac:dyDescent="0.45">
      <c r="B334" s="380">
        <v>7</v>
      </c>
      <c r="C334" s="374"/>
      <c r="D334" s="375" t="s">
        <v>515</v>
      </c>
      <c r="E334" s="375"/>
      <c r="F334" s="375"/>
      <c r="G334" s="375"/>
      <c r="H334" s="376"/>
      <c r="I334" s="376"/>
      <c r="J334" s="375"/>
      <c r="K334" s="375"/>
      <c r="L334" s="382" t="str">
        <f t="shared" si="14"/>
        <v/>
      </c>
    </row>
    <row r="335" spans="2:12" x14ac:dyDescent="0.45">
      <c r="B335" s="380">
        <v>8</v>
      </c>
      <c r="C335" s="374"/>
      <c r="D335" s="375" t="s">
        <v>515</v>
      </c>
      <c r="E335" s="375"/>
      <c r="F335" s="375"/>
      <c r="G335" s="375"/>
      <c r="H335" s="376"/>
      <c r="I335" s="376"/>
      <c r="J335" s="375"/>
      <c r="K335" s="375"/>
      <c r="L335" s="382" t="str">
        <f t="shared" si="14"/>
        <v/>
      </c>
    </row>
    <row r="336" spans="2:12" x14ac:dyDescent="0.45">
      <c r="B336" s="380">
        <v>9</v>
      </c>
      <c r="C336" s="374"/>
      <c r="D336" s="375" t="s">
        <v>515</v>
      </c>
      <c r="E336" s="375"/>
      <c r="F336" s="375"/>
      <c r="G336" s="375"/>
      <c r="H336" s="376"/>
      <c r="I336" s="376"/>
      <c r="J336" s="375"/>
      <c r="K336" s="375"/>
      <c r="L336" s="382" t="str">
        <f t="shared" si="14"/>
        <v/>
      </c>
    </row>
    <row r="337" spans="2:12" x14ac:dyDescent="0.45">
      <c r="B337" s="380">
        <v>10</v>
      </c>
      <c r="C337" s="374"/>
      <c r="D337" s="375" t="s">
        <v>515</v>
      </c>
      <c r="E337" s="375"/>
      <c r="F337" s="375"/>
      <c r="G337" s="375"/>
      <c r="H337" s="376"/>
      <c r="I337" s="376"/>
      <c r="J337" s="375"/>
      <c r="K337" s="375"/>
      <c r="L337" s="382" t="str">
        <f t="shared" si="14"/>
        <v/>
      </c>
    </row>
    <row r="338" spans="2:12" x14ac:dyDescent="0.45">
      <c r="B338" s="380">
        <v>11</v>
      </c>
      <c r="C338" s="374"/>
      <c r="D338" s="375" t="s">
        <v>515</v>
      </c>
      <c r="E338" s="375"/>
      <c r="F338" s="375"/>
      <c r="G338" s="375"/>
      <c r="H338" s="376"/>
      <c r="I338" s="376"/>
      <c r="J338" s="375"/>
      <c r="K338" s="375"/>
      <c r="L338" s="382" t="str">
        <f t="shared" si="14"/>
        <v/>
      </c>
    </row>
    <row r="339" spans="2:12" x14ac:dyDescent="0.45">
      <c r="B339" s="380" t="s">
        <v>335</v>
      </c>
      <c r="C339" s="374"/>
      <c r="D339" s="375" t="s">
        <v>517</v>
      </c>
      <c r="E339" s="375"/>
      <c r="F339" s="375"/>
      <c r="G339" s="375"/>
      <c r="H339" s="376"/>
      <c r="I339" s="376"/>
      <c r="J339" s="375"/>
      <c r="K339" s="375"/>
      <c r="L339" s="382" t="str">
        <f t="shared" si="14"/>
        <v/>
      </c>
    </row>
    <row r="340" spans="2:12" x14ac:dyDescent="0.45">
      <c r="B340" s="380" t="s">
        <v>336</v>
      </c>
      <c r="C340" s="374"/>
      <c r="D340" s="375" t="s">
        <v>517</v>
      </c>
      <c r="E340" s="375"/>
      <c r="F340" s="375"/>
      <c r="G340" s="375"/>
      <c r="H340" s="376"/>
      <c r="I340" s="376"/>
      <c r="J340" s="375"/>
      <c r="K340" s="375"/>
      <c r="L340" s="382" t="str">
        <f t="shared" si="14"/>
        <v/>
      </c>
    </row>
    <row r="341" spans="2:12" x14ac:dyDescent="0.45">
      <c r="B341" s="380" t="s">
        <v>337</v>
      </c>
      <c r="C341" s="374"/>
      <c r="D341" s="375" t="s">
        <v>517</v>
      </c>
      <c r="E341" s="375"/>
      <c r="F341" s="375"/>
      <c r="G341" s="375"/>
      <c r="H341" s="376"/>
      <c r="I341" s="376"/>
      <c r="J341" s="375"/>
      <c r="K341" s="375"/>
      <c r="L341" s="382" t="str">
        <f t="shared" si="14"/>
        <v/>
      </c>
    </row>
    <row r="342" spans="2:12" x14ac:dyDescent="0.45">
      <c r="B342" s="380" t="s">
        <v>338</v>
      </c>
      <c r="C342" s="374"/>
      <c r="D342" s="375" t="s">
        <v>517</v>
      </c>
      <c r="E342" s="375"/>
      <c r="F342" s="375"/>
      <c r="G342" s="375"/>
      <c r="H342" s="376"/>
      <c r="I342" s="376"/>
      <c r="J342" s="375"/>
      <c r="K342" s="375"/>
      <c r="L342" s="382" t="str">
        <f t="shared" si="14"/>
        <v/>
      </c>
    </row>
    <row r="343" spans="2:12" x14ac:dyDescent="0.45">
      <c r="B343" s="380" t="s">
        <v>339</v>
      </c>
      <c r="C343" s="374"/>
      <c r="D343" s="375" t="s">
        <v>517</v>
      </c>
      <c r="E343" s="375"/>
      <c r="F343" s="375"/>
      <c r="G343" s="375"/>
      <c r="H343" s="376"/>
      <c r="I343" s="376"/>
      <c r="J343" s="375"/>
      <c r="K343" s="375"/>
      <c r="L343" s="382" t="str">
        <f t="shared" si="14"/>
        <v/>
      </c>
    </row>
    <row r="344" spans="2:12" x14ac:dyDescent="0.45">
      <c r="B344" s="380" t="s">
        <v>340</v>
      </c>
      <c r="C344" s="374"/>
      <c r="D344" s="375" t="s">
        <v>517</v>
      </c>
      <c r="E344" s="375"/>
      <c r="F344" s="375"/>
      <c r="G344" s="375"/>
      <c r="H344" s="376"/>
      <c r="I344" s="376"/>
      <c r="J344" s="375"/>
      <c r="K344" s="375"/>
      <c r="L344" s="382" t="str">
        <f t="shared" si="14"/>
        <v/>
      </c>
    </row>
    <row r="345" spans="2:12" x14ac:dyDescent="0.45">
      <c r="B345" s="381" t="s">
        <v>341</v>
      </c>
      <c r="C345" s="377"/>
      <c r="D345" s="378" t="s">
        <v>517</v>
      </c>
      <c r="E345" s="378"/>
      <c r="F345" s="378"/>
      <c r="G345" s="378"/>
      <c r="H345" s="379"/>
      <c r="I345" s="379"/>
      <c r="J345" s="378"/>
      <c r="K345" s="378"/>
      <c r="L345" s="383" t="str">
        <f t="shared" si="14"/>
        <v/>
      </c>
    </row>
    <row r="346" spans="2:12" ht="14.65" thickBot="1" x14ac:dyDescent="0.5">
      <c r="B346" s="388" t="s">
        <v>529</v>
      </c>
      <c r="C346" s="384" t="str">
        <f>COUNTIFS($C$328:$C$345,"&lt;&gt;",$D$328:$D$345,"&lt;&gt;Sub - unused")&amp;" played"</f>
        <v>0 played</v>
      </c>
      <c r="D346" s="384"/>
      <c r="E346" s="384"/>
      <c r="F346" s="384"/>
      <c r="G346" s="384">
        <f>SUM($G$328:$G$345)</f>
        <v>0</v>
      </c>
      <c r="H346" s="384">
        <f>SUM($H$328:$H$345)</f>
        <v>0</v>
      </c>
      <c r="I346" s="387" t="str">
        <f>IFERROR(AVERAGEIFS($I$328:$I$345,$I$328:$I$345,"&gt;0",$D$328:$D$345,"&lt;&gt;Sub - unused"),"")</f>
        <v/>
      </c>
      <c r="J346" s="384">
        <f>SUM($J$328:$J$345)</f>
        <v>0</v>
      </c>
      <c r="K346" s="384">
        <f>SUM($K$328:$K$345)</f>
        <v>0</v>
      </c>
      <c r="L346" s="384"/>
    </row>
    <row r="347" spans="2:12" ht="28.05" customHeight="1" thickTop="1" x14ac:dyDescent="0.45">
      <c r="B347" s="389" t="s">
        <v>342</v>
      </c>
      <c r="C347" s="507"/>
      <c r="D347" s="508"/>
      <c r="E347" s="508"/>
      <c r="F347" s="508"/>
      <c r="G347" s="508"/>
      <c r="H347" s="508"/>
      <c r="I347" s="508"/>
      <c r="J347" s="508"/>
      <c r="K347" s="508"/>
      <c r="L347" s="509"/>
    </row>
    <row r="348" spans="2:12" ht="28.05" customHeight="1" x14ac:dyDescent="0.45">
      <c r="B348" s="390" t="s">
        <v>530</v>
      </c>
      <c r="C348" s="510"/>
      <c r="D348" s="511"/>
      <c r="E348" s="511"/>
      <c r="F348" s="511"/>
      <c r="G348" s="511"/>
      <c r="H348" s="511"/>
      <c r="I348" s="511"/>
      <c r="J348" s="511"/>
      <c r="K348" s="511"/>
      <c r="L348" s="512"/>
    </row>
    <row r="350" spans="2:12" x14ac:dyDescent="0.45">
      <c r="B350" s="515" t="s">
        <v>540</v>
      </c>
      <c r="C350" s="515"/>
      <c r="D350" s="515"/>
      <c r="E350" s="515"/>
      <c r="F350" s="515"/>
      <c r="G350" s="515"/>
      <c r="H350" s="515"/>
      <c r="I350" s="515"/>
      <c r="J350" s="515"/>
      <c r="K350" s="515"/>
      <c r="L350" s="515"/>
    </row>
    <row r="351" spans="2:12" x14ac:dyDescent="0.45">
      <c r="B351" s="367" t="s">
        <v>301</v>
      </c>
      <c r="C351" s="367" t="s">
        <v>343</v>
      </c>
      <c r="D351" s="367" t="s">
        <v>344</v>
      </c>
      <c r="E351" s="367" t="s">
        <v>302</v>
      </c>
      <c r="F351" s="367" t="s">
        <v>303</v>
      </c>
      <c r="G351" s="367" t="s">
        <v>304</v>
      </c>
      <c r="H351" s="367" t="s">
        <v>346</v>
      </c>
    </row>
    <row r="352" spans="2:12" x14ac:dyDescent="0.45">
      <c r="B352" s="369"/>
      <c r="C352" s="370"/>
      <c r="D352" s="370"/>
      <c r="E352" s="370"/>
      <c r="F352" s="370"/>
      <c r="G352" s="371" t="str">
        <f>IF(OR($E$352="",$F$352=""),"",IF($E$352&gt;$F$352,"Win",IF($E$352=$F$352,"Draw","Loss")))</f>
        <v/>
      </c>
      <c r="H352" s="370"/>
    </row>
    <row r="353" spans="2:12" x14ac:dyDescent="0.45">
      <c r="B353" s="372" t="s">
        <v>520</v>
      </c>
      <c r="C353" s="368" t="str">
        <f>IF($F$352="","",IF($F$352=0,"Yes","No"))</f>
        <v/>
      </c>
      <c r="D353" s="372" t="s">
        <v>521</v>
      </c>
      <c r="E353" s="368">
        <f>SUM($G$355:$G$372)</f>
        <v>0</v>
      </c>
      <c r="F353" s="372" t="s">
        <v>522</v>
      </c>
      <c r="G353" s="368" t="str">
        <f>IF(OR($E$352="",$E$353=0),"",IF($E$353=$E$352,"OK","does not match GF"))</f>
        <v/>
      </c>
    </row>
    <row r="354" spans="2:12" x14ac:dyDescent="0.45">
      <c r="B354" s="373" t="s">
        <v>153</v>
      </c>
      <c r="C354" s="373" t="s">
        <v>18</v>
      </c>
      <c r="D354" s="373" t="s">
        <v>316</v>
      </c>
      <c r="E354" s="373" t="s">
        <v>217</v>
      </c>
      <c r="F354" s="373" t="s">
        <v>523</v>
      </c>
      <c r="G354" s="373" t="s">
        <v>524</v>
      </c>
      <c r="H354" s="373" t="s">
        <v>525</v>
      </c>
      <c r="I354" s="373" t="s">
        <v>155</v>
      </c>
      <c r="J354" s="373" t="s">
        <v>526</v>
      </c>
      <c r="K354" s="373" t="s">
        <v>527</v>
      </c>
      <c r="L354" s="373" t="s">
        <v>528</v>
      </c>
    </row>
    <row r="355" spans="2:12" x14ac:dyDescent="0.45">
      <c r="B355" s="380">
        <v>1</v>
      </c>
      <c r="C355" s="374"/>
      <c r="D355" s="375" t="s">
        <v>515</v>
      </c>
      <c r="E355" s="375"/>
      <c r="F355" s="375"/>
      <c r="G355" s="375"/>
      <c r="H355" s="376"/>
      <c r="I355" s="376"/>
      <c r="J355" s="375"/>
      <c r="K355" s="375"/>
      <c r="L355" s="382" t="str">
        <f>IF(OR($C355="",$E355&lt;&gt;"GK",$D355="Sub - unused",$F$352=""),"",IF($F$352=0,"Yes","No"))</f>
        <v/>
      </c>
    </row>
    <row r="356" spans="2:12" x14ac:dyDescent="0.45">
      <c r="B356" s="380">
        <v>2</v>
      </c>
      <c r="C356" s="374"/>
      <c r="D356" s="375" t="s">
        <v>515</v>
      </c>
      <c r="E356" s="375"/>
      <c r="F356" s="375"/>
      <c r="G356" s="375"/>
      <c r="H356" s="376"/>
      <c r="I356" s="376"/>
      <c r="J356" s="375"/>
      <c r="K356" s="375"/>
      <c r="L356" s="382" t="str">
        <f t="shared" ref="L356:L372" si="15">IF(OR($C356="",$E356&lt;&gt;"GK",$D356="Sub - unused",$F$352=""),"",IF($F$352=0,"Yes","No"))</f>
        <v/>
      </c>
    </row>
    <row r="357" spans="2:12" x14ac:dyDescent="0.45">
      <c r="B357" s="380">
        <v>3</v>
      </c>
      <c r="C357" s="374"/>
      <c r="D357" s="375" t="s">
        <v>515</v>
      </c>
      <c r="E357" s="375"/>
      <c r="F357" s="375"/>
      <c r="G357" s="375"/>
      <c r="H357" s="376"/>
      <c r="I357" s="376"/>
      <c r="J357" s="375"/>
      <c r="K357" s="375"/>
      <c r="L357" s="382" t="str">
        <f t="shared" si="15"/>
        <v/>
      </c>
    </row>
    <row r="358" spans="2:12" x14ac:dyDescent="0.45">
      <c r="B358" s="380">
        <v>4</v>
      </c>
      <c r="C358" s="374"/>
      <c r="D358" s="375" t="s">
        <v>515</v>
      </c>
      <c r="E358" s="375"/>
      <c r="F358" s="375"/>
      <c r="G358" s="375"/>
      <c r="H358" s="376"/>
      <c r="I358" s="376"/>
      <c r="J358" s="375"/>
      <c r="K358" s="375"/>
      <c r="L358" s="382" t="str">
        <f t="shared" si="15"/>
        <v/>
      </c>
    </row>
    <row r="359" spans="2:12" x14ac:dyDescent="0.45">
      <c r="B359" s="380">
        <v>5</v>
      </c>
      <c r="C359" s="374"/>
      <c r="D359" s="375" t="s">
        <v>515</v>
      </c>
      <c r="E359" s="375"/>
      <c r="F359" s="375"/>
      <c r="G359" s="375"/>
      <c r="H359" s="376"/>
      <c r="I359" s="376"/>
      <c r="J359" s="375"/>
      <c r="K359" s="375"/>
      <c r="L359" s="382" t="str">
        <f t="shared" si="15"/>
        <v/>
      </c>
    </row>
    <row r="360" spans="2:12" x14ac:dyDescent="0.45">
      <c r="B360" s="380">
        <v>6</v>
      </c>
      <c r="C360" s="374"/>
      <c r="D360" s="375" t="s">
        <v>515</v>
      </c>
      <c r="E360" s="375"/>
      <c r="F360" s="375"/>
      <c r="G360" s="375"/>
      <c r="H360" s="376"/>
      <c r="I360" s="376"/>
      <c r="J360" s="375"/>
      <c r="K360" s="375"/>
      <c r="L360" s="382" t="str">
        <f t="shared" si="15"/>
        <v/>
      </c>
    </row>
    <row r="361" spans="2:12" x14ac:dyDescent="0.45">
      <c r="B361" s="380">
        <v>7</v>
      </c>
      <c r="C361" s="374"/>
      <c r="D361" s="375" t="s">
        <v>515</v>
      </c>
      <c r="E361" s="375"/>
      <c r="F361" s="375"/>
      <c r="G361" s="375"/>
      <c r="H361" s="376"/>
      <c r="I361" s="376"/>
      <c r="J361" s="375"/>
      <c r="K361" s="375"/>
      <c r="L361" s="382" t="str">
        <f t="shared" si="15"/>
        <v/>
      </c>
    </row>
    <row r="362" spans="2:12" x14ac:dyDescent="0.45">
      <c r="B362" s="380">
        <v>8</v>
      </c>
      <c r="C362" s="374"/>
      <c r="D362" s="375" t="s">
        <v>515</v>
      </c>
      <c r="E362" s="375"/>
      <c r="F362" s="375"/>
      <c r="G362" s="375"/>
      <c r="H362" s="376"/>
      <c r="I362" s="376"/>
      <c r="J362" s="375"/>
      <c r="K362" s="375"/>
      <c r="L362" s="382" t="str">
        <f t="shared" si="15"/>
        <v/>
      </c>
    </row>
    <row r="363" spans="2:12" x14ac:dyDescent="0.45">
      <c r="B363" s="380">
        <v>9</v>
      </c>
      <c r="C363" s="374"/>
      <c r="D363" s="375" t="s">
        <v>515</v>
      </c>
      <c r="E363" s="375"/>
      <c r="F363" s="375"/>
      <c r="G363" s="375"/>
      <c r="H363" s="376"/>
      <c r="I363" s="376"/>
      <c r="J363" s="375"/>
      <c r="K363" s="375"/>
      <c r="L363" s="382" t="str">
        <f t="shared" si="15"/>
        <v/>
      </c>
    </row>
    <row r="364" spans="2:12" x14ac:dyDescent="0.45">
      <c r="B364" s="380">
        <v>10</v>
      </c>
      <c r="C364" s="374"/>
      <c r="D364" s="375" t="s">
        <v>515</v>
      </c>
      <c r="E364" s="375"/>
      <c r="F364" s="375"/>
      <c r="G364" s="375"/>
      <c r="H364" s="376"/>
      <c r="I364" s="376"/>
      <c r="J364" s="375"/>
      <c r="K364" s="375"/>
      <c r="L364" s="382" t="str">
        <f t="shared" si="15"/>
        <v/>
      </c>
    </row>
    <row r="365" spans="2:12" x14ac:dyDescent="0.45">
      <c r="B365" s="380">
        <v>11</v>
      </c>
      <c r="C365" s="374"/>
      <c r="D365" s="375" t="s">
        <v>515</v>
      </c>
      <c r="E365" s="375"/>
      <c r="F365" s="375"/>
      <c r="G365" s="375"/>
      <c r="H365" s="376"/>
      <c r="I365" s="376"/>
      <c r="J365" s="375"/>
      <c r="K365" s="375"/>
      <c r="L365" s="382" t="str">
        <f t="shared" si="15"/>
        <v/>
      </c>
    </row>
    <row r="366" spans="2:12" x14ac:dyDescent="0.45">
      <c r="B366" s="380" t="s">
        <v>335</v>
      </c>
      <c r="C366" s="374"/>
      <c r="D366" s="375" t="s">
        <v>517</v>
      </c>
      <c r="E366" s="375"/>
      <c r="F366" s="375"/>
      <c r="G366" s="375"/>
      <c r="H366" s="376"/>
      <c r="I366" s="376"/>
      <c r="J366" s="375"/>
      <c r="K366" s="375"/>
      <c r="L366" s="382" t="str">
        <f t="shared" si="15"/>
        <v/>
      </c>
    </row>
    <row r="367" spans="2:12" x14ac:dyDescent="0.45">
      <c r="B367" s="380" t="s">
        <v>336</v>
      </c>
      <c r="C367" s="374"/>
      <c r="D367" s="375" t="s">
        <v>517</v>
      </c>
      <c r="E367" s="375"/>
      <c r="F367" s="375"/>
      <c r="G367" s="375"/>
      <c r="H367" s="376"/>
      <c r="I367" s="376"/>
      <c r="J367" s="375"/>
      <c r="K367" s="375"/>
      <c r="L367" s="382" t="str">
        <f t="shared" si="15"/>
        <v/>
      </c>
    </row>
    <row r="368" spans="2:12" x14ac:dyDescent="0.45">
      <c r="B368" s="380" t="s">
        <v>337</v>
      </c>
      <c r="C368" s="374"/>
      <c r="D368" s="375" t="s">
        <v>517</v>
      </c>
      <c r="E368" s="375"/>
      <c r="F368" s="375"/>
      <c r="G368" s="375"/>
      <c r="H368" s="376"/>
      <c r="I368" s="376"/>
      <c r="J368" s="375"/>
      <c r="K368" s="375"/>
      <c r="L368" s="382" t="str">
        <f t="shared" si="15"/>
        <v/>
      </c>
    </row>
    <row r="369" spans="2:12" x14ac:dyDescent="0.45">
      <c r="B369" s="380" t="s">
        <v>338</v>
      </c>
      <c r="C369" s="374"/>
      <c r="D369" s="375" t="s">
        <v>517</v>
      </c>
      <c r="E369" s="375"/>
      <c r="F369" s="375"/>
      <c r="G369" s="375"/>
      <c r="H369" s="376"/>
      <c r="I369" s="376"/>
      <c r="J369" s="375"/>
      <c r="K369" s="375"/>
      <c r="L369" s="382" t="str">
        <f t="shared" si="15"/>
        <v/>
      </c>
    </row>
    <row r="370" spans="2:12" x14ac:dyDescent="0.45">
      <c r="B370" s="380" t="s">
        <v>339</v>
      </c>
      <c r="C370" s="374"/>
      <c r="D370" s="375" t="s">
        <v>517</v>
      </c>
      <c r="E370" s="375"/>
      <c r="F370" s="375"/>
      <c r="G370" s="375"/>
      <c r="H370" s="376"/>
      <c r="I370" s="376"/>
      <c r="J370" s="375"/>
      <c r="K370" s="375"/>
      <c r="L370" s="382" t="str">
        <f t="shared" si="15"/>
        <v/>
      </c>
    </row>
    <row r="371" spans="2:12" x14ac:dyDescent="0.45">
      <c r="B371" s="380" t="s">
        <v>340</v>
      </c>
      <c r="C371" s="374"/>
      <c r="D371" s="375" t="s">
        <v>517</v>
      </c>
      <c r="E371" s="375"/>
      <c r="F371" s="375"/>
      <c r="G371" s="375"/>
      <c r="H371" s="376"/>
      <c r="I371" s="376"/>
      <c r="J371" s="375"/>
      <c r="K371" s="375"/>
      <c r="L371" s="382" t="str">
        <f t="shared" si="15"/>
        <v/>
      </c>
    </row>
    <row r="372" spans="2:12" x14ac:dyDescent="0.45">
      <c r="B372" s="381" t="s">
        <v>341</v>
      </c>
      <c r="C372" s="377"/>
      <c r="D372" s="378" t="s">
        <v>517</v>
      </c>
      <c r="E372" s="378"/>
      <c r="F372" s="378"/>
      <c r="G372" s="378"/>
      <c r="H372" s="379"/>
      <c r="I372" s="379"/>
      <c r="J372" s="378"/>
      <c r="K372" s="378"/>
      <c r="L372" s="383" t="str">
        <f t="shared" si="15"/>
        <v/>
      </c>
    </row>
    <row r="373" spans="2:12" ht="14.65" thickBot="1" x14ac:dyDescent="0.5">
      <c r="B373" s="388" t="s">
        <v>529</v>
      </c>
      <c r="C373" s="384" t="str">
        <f>COUNTIFS($C$355:$C$372,"&lt;&gt;",$D$355:$D$372,"&lt;&gt;Sub - unused")&amp;" played"</f>
        <v>0 played</v>
      </c>
      <c r="D373" s="384"/>
      <c r="E373" s="384"/>
      <c r="F373" s="384"/>
      <c r="G373" s="384">
        <f>SUM($G$355:$G$372)</f>
        <v>0</v>
      </c>
      <c r="H373" s="384">
        <f>SUM($H$355:$H$372)</f>
        <v>0</v>
      </c>
      <c r="I373" s="387" t="str">
        <f>IFERROR(AVERAGEIFS($I$355:$I$372,$I$355:$I$372,"&gt;0",$D$355:$D$372,"&lt;&gt;Sub - unused"),"")</f>
        <v/>
      </c>
      <c r="J373" s="384">
        <f>SUM($J$355:$J$372)</f>
        <v>0</v>
      </c>
      <c r="K373" s="384">
        <f>SUM($K$355:$K$372)</f>
        <v>0</v>
      </c>
      <c r="L373" s="384"/>
    </row>
    <row r="374" spans="2:12" ht="28.05" customHeight="1" thickTop="1" x14ac:dyDescent="0.45">
      <c r="B374" s="389" t="s">
        <v>342</v>
      </c>
      <c r="C374" s="507"/>
      <c r="D374" s="508"/>
      <c r="E374" s="508"/>
      <c r="F374" s="508"/>
      <c r="G374" s="508"/>
      <c r="H374" s="508"/>
      <c r="I374" s="508"/>
      <c r="J374" s="508"/>
      <c r="K374" s="508"/>
      <c r="L374" s="509"/>
    </row>
    <row r="375" spans="2:12" ht="28.05" customHeight="1" x14ac:dyDescent="0.45">
      <c r="B375" s="390" t="s">
        <v>530</v>
      </c>
      <c r="C375" s="510"/>
      <c r="D375" s="511"/>
      <c r="E375" s="511"/>
      <c r="F375" s="511"/>
      <c r="G375" s="511"/>
      <c r="H375" s="511"/>
      <c r="I375" s="511"/>
      <c r="J375" s="511"/>
      <c r="K375" s="511"/>
      <c r="L375" s="512"/>
    </row>
    <row r="377" spans="2:12" x14ac:dyDescent="0.45">
      <c r="B377" s="515" t="s">
        <v>541</v>
      </c>
      <c r="C377" s="515"/>
      <c r="D377" s="515"/>
      <c r="E377" s="515"/>
      <c r="F377" s="515"/>
      <c r="G377" s="515"/>
      <c r="H377" s="515"/>
      <c r="I377" s="515"/>
      <c r="J377" s="515"/>
      <c r="K377" s="515"/>
      <c r="L377" s="515"/>
    </row>
    <row r="378" spans="2:12" x14ac:dyDescent="0.45">
      <c r="B378" s="367" t="s">
        <v>301</v>
      </c>
      <c r="C378" s="367" t="s">
        <v>343</v>
      </c>
      <c r="D378" s="367" t="s">
        <v>344</v>
      </c>
      <c r="E378" s="367" t="s">
        <v>302</v>
      </c>
      <c r="F378" s="367" t="s">
        <v>303</v>
      </c>
      <c r="G378" s="367" t="s">
        <v>304</v>
      </c>
      <c r="H378" s="367" t="s">
        <v>346</v>
      </c>
    </row>
    <row r="379" spans="2:12" x14ac:dyDescent="0.45">
      <c r="B379" s="369"/>
      <c r="C379" s="370"/>
      <c r="D379" s="370"/>
      <c r="E379" s="370"/>
      <c r="F379" s="370"/>
      <c r="G379" s="371" t="str">
        <f>IF(OR($E$379="",$F$379=""),"",IF($E$379&gt;$F$379,"Win",IF($E$379=$F$379,"Draw","Loss")))</f>
        <v/>
      </c>
      <c r="H379" s="370"/>
    </row>
    <row r="380" spans="2:12" x14ac:dyDescent="0.45">
      <c r="B380" s="372" t="s">
        <v>520</v>
      </c>
      <c r="C380" s="368" t="str">
        <f>IF($F$379="","",IF($F$379=0,"Yes","No"))</f>
        <v/>
      </c>
      <c r="D380" s="372" t="s">
        <v>521</v>
      </c>
      <c r="E380" s="368">
        <f>SUM($G$382:$G$399)</f>
        <v>0</v>
      </c>
      <c r="F380" s="372" t="s">
        <v>522</v>
      </c>
      <c r="G380" s="368" t="str">
        <f>IF(OR($E$379="",$E$380=0),"",IF($E$380=$E$379,"OK","does not match GF"))</f>
        <v/>
      </c>
    </row>
    <row r="381" spans="2:12" x14ac:dyDescent="0.45">
      <c r="B381" s="373" t="s">
        <v>153</v>
      </c>
      <c r="C381" s="373" t="s">
        <v>18</v>
      </c>
      <c r="D381" s="373" t="s">
        <v>316</v>
      </c>
      <c r="E381" s="373" t="s">
        <v>217</v>
      </c>
      <c r="F381" s="373" t="s">
        <v>523</v>
      </c>
      <c r="G381" s="373" t="s">
        <v>524</v>
      </c>
      <c r="H381" s="373" t="s">
        <v>525</v>
      </c>
      <c r="I381" s="373" t="s">
        <v>155</v>
      </c>
      <c r="J381" s="373" t="s">
        <v>526</v>
      </c>
      <c r="K381" s="373" t="s">
        <v>527</v>
      </c>
      <c r="L381" s="373" t="s">
        <v>528</v>
      </c>
    </row>
    <row r="382" spans="2:12" x14ac:dyDescent="0.45">
      <c r="B382" s="380">
        <v>1</v>
      </c>
      <c r="C382" s="374"/>
      <c r="D382" s="375" t="s">
        <v>515</v>
      </c>
      <c r="E382" s="375"/>
      <c r="F382" s="375"/>
      <c r="G382" s="375"/>
      <c r="H382" s="376"/>
      <c r="I382" s="376"/>
      <c r="J382" s="375"/>
      <c r="K382" s="375"/>
      <c r="L382" s="382" t="str">
        <f>IF(OR($C382="",$E382&lt;&gt;"GK",$D382="Sub - unused",$F$379=""),"",IF($F$379=0,"Yes","No"))</f>
        <v/>
      </c>
    </row>
    <row r="383" spans="2:12" x14ac:dyDescent="0.45">
      <c r="B383" s="380">
        <v>2</v>
      </c>
      <c r="C383" s="374"/>
      <c r="D383" s="375" t="s">
        <v>515</v>
      </c>
      <c r="E383" s="375"/>
      <c r="F383" s="375"/>
      <c r="G383" s="375"/>
      <c r="H383" s="376"/>
      <c r="I383" s="376"/>
      <c r="J383" s="375"/>
      <c r="K383" s="375"/>
      <c r="L383" s="382" t="str">
        <f t="shared" ref="L383:L399" si="16">IF(OR($C383="",$E383&lt;&gt;"GK",$D383="Sub - unused",$F$379=""),"",IF($F$379=0,"Yes","No"))</f>
        <v/>
      </c>
    </row>
    <row r="384" spans="2:12" x14ac:dyDescent="0.45">
      <c r="B384" s="380">
        <v>3</v>
      </c>
      <c r="C384" s="374"/>
      <c r="D384" s="375" t="s">
        <v>515</v>
      </c>
      <c r="E384" s="375"/>
      <c r="F384" s="375"/>
      <c r="G384" s="375"/>
      <c r="H384" s="376"/>
      <c r="I384" s="376"/>
      <c r="J384" s="375"/>
      <c r="K384" s="375"/>
      <c r="L384" s="382" t="str">
        <f t="shared" si="16"/>
        <v/>
      </c>
    </row>
    <row r="385" spans="2:12" x14ac:dyDescent="0.45">
      <c r="B385" s="380">
        <v>4</v>
      </c>
      <c r="C385" s="374"/>
      <c r="D385" s="375" t="s">
        <v>515</v>
      </c>
      <c r="E385" s="375"/>
      <c r="F385" s="375"/>
      <c r="G385" s="375"/>
      <c r="H385" s="376"/>
      <c r="I385" s="376"/>
      <c r="J385" s="375"/>
      <c r="K385" s="375"/>
      <c r="L385" s="382" t="str">
        <f t="shared" si="16"/>
        <v/>
      </c>
    </row>
    <row r="386" spans="2:12" x14ac:dyDescent="0.45">
      <c r="B386" s="380">
        <v>5</v>
      </c>
      <c r="C386" s="374"/>
      <c r="D386" s="375" t="s">
        <v>515</v>
      </c>
      <c r="E386" s="375"/>
      <c r="F386" s="375"/>
      <c r="G386" s="375"/>
      <c r="H386" s="376"/>
      <c r="I386" s="376"/>
      <c r="J386" s="375"/>
      <c r="K386" s="375"/>
      <c r="L386" s="382" t="str">
        <f t="shared" si="16"/>
        <v/>
      </c>
    </row>
    <row r="387" spans="2:12" x14ac:dyDescent="0.45">
      <c r="B387" s="380">
        <v>6</v>
      </c>
      <c r="C387" s="374"/>
      <c r="D387" s="375" t="s">
        <v>515</v>
      </c>
      <c r="E387" s="375"/>
      <c r="F387" s="375"/>
      <c r="G387" s="375"/>
      <c r="H387" s="376"/>
      <c r="I387" s="376"/>
      <c r="J387" s="375"/>
      <c r="K387" s="375"/>
      <c r="L387" s="382" t="str">
        <f t="shared" si="16"/>
        <v/>
      </c>
    </row>
    <row r="388" spans="2:12" x14ac:dyDescent="0.45">
      <c r="B388" s="380">
        <v>7</v>
      </c>
      <c r="C388" s="374"/>
      <c r="D388" s="375" t="s">
        <v>515</v>
      </c>
      <c r="E388" s="375"/>
      <c r="F388" s="375"/>
      <c r="G388" s="375"/>
      <c r="H388" s="376"/>
      <c r="I388" s="376"/>
      <c r="J388" s="375"/>
      <c r="K388" s="375"/>
      <c r="L388" s="382" t="str">
        <f t="shared" si="16"/>
        <v/>
      </c>
    </row>
    <row r="389" spans="2:12" x14ac:dyDescent="0.45">
      <c r="B389" s="380">
        <v>8</v>
      </c>
      <c r="C389" s="374"/>
      <c r="D389" s="375" t="s">
        <v>515</v>
      </c>
      <c r="E389" s="375"/>
      <c r="F389" s="375"/>
      <c r="G389" s="375"/>
      <c r="H389" s="376"/>
      <c r="I389" s="376"/>
      <c r="J389" s="375"/>
      <c r="K389" s="375"/>
      <c r="L389" s="382" t="str">
        <f t="shared" si="16"/>
        <v/>
      </c>
    </row>
    <row r="390" spans="2:12" x14ac:dyDescent="0.45">
      <c r="B390" s="380">
        <v>9</v>
      </c>
      <c r="C390" s="374"/>
      <c r="D390" s="375" t="s">
        <v>515</v>
      </c>
      <c r="E390" s="375"/>
      <c r="F390" s="375"/>
      <c r="G390" s="375"/>
      <c r="H390" s="376"/>
      <c r="I390" s="376"/>
      <c r="J390" s="375"/>
      <c r="K390" s="375"/>
      <c r="L390" s="382" t="str">
        <f t="shared" si="16"/>
        <v/>
      </c>
    </row>
    <row r="391" spans="2:12" x14ac:dyDescent="0.45">
      <c r="B391" s="380">
        <v>10</v>
      </c>
      <c r="C391" s="374"/>
      <c r="D391" s="375" t="s">
        <v>515</v>
      </c>
      <c r="E391" s="375"/>
      <c r="F391" s="375"/>
      <c r="G391" s="375"/>
      <c r="H391" s="376"/>
      <c r="I391" s="376"/>
      <c r="J391" s="375"/>
      <c r="K391" s="375"/>
      <c r="L391" s="382" t="str">
        <f t="shared" si="16"/>
        <v/>
      </c>
    </row>
    <row r="392" spans="2:12" x14ac:dyDescent="0.45">
      <c r="B392" s="380">
        <v>11</v>
      </c>
      <c r="C392" s="374"/>
      <c r="D392" s="375" t="s">
        <v>515</v>
      </c>
      <c r="E392" s="375"/>
      <c r="F392" s="375"/>
      <c r="G392" s="375"/>
      <c r="H392" s="376"/>
      <c r="I392" s="376"/>
      <c r="J392" s="375"/>
      <c r="K392" s="375"/>
      <c r="L392" s="382" t="str">
        <f t="shared" si="16"/>
        <v/>
      </c>
    </row>
    <row r="393" spans="2:12" x14ac:dyDescent="0.45">
      <c r="B393" s="380" t="s">
        <v>335</v>
      </c>
      <c r="C393" s="374"/>
      <c r="D393" s="375" t="s">
        <v>517</v>
      </c>
      <c r="E393" s="375"/>
      <c r="F393" s="375"/>
      <c r="G393" s="375"/>
      <c r="H393" s="376"/>
      <c r="I393" s="376"/>
      <c r="J393" s="375"/>
      <c r="K393" s="375"/>
      <c r="L393" s="382" t="str">
        <f t="shared" si="16"/>
        <v/>
      </c>
    </row>
    <row r="394" spans="2:12" x14ac:dyDescent="0.45">
      <c r="B394" s="380" t="s">
        <v>336</v>
      </c>
      <c r="C394" s="374"/>
      <c r="D394" s="375" t="s">
        <v>517</v>
      </c>
      <c r="E394" s="375"/>
      <c r="F394" s="375"/>
      <c r="G394" s="375"/>
      <c r="H394" s="376"/>
      <c r="I394" s="376"/>
      <c r="J394" s="375"/>
      <c r="K394" s="375"/>
      <c r="L394" s="382" t="str">
        <f t="shared" si="16"/>
        <v/>
      </c>
    </row>
    <row r="395" spans="2:12" x14ac:dyDescent="0.45">
      <c r="B395" s="380" t="s">
        <v>337</v>
      </c>
      <c r="C395" s="374"/>
      <c r="D395" s="375" t="s">
        <v>517</v>
      </c>
      <c r="E395" s="375"/>
      <c r="F395" s="375"/>
      <c r="G395" s="375"/>
      <c r="H395" s="376"/>
      <c r="I395" s="376"/>
      <c r="J395" s="375"/>
      <c r="K395" s="375"/>
      <c r="L395" s="382" t="str">
        <f t="shared" si="16"/>
        <v/>
      </c>
    </row>
    <row r="396" spans="2:12" x14ac:dyDescent="0.45">
      <c r="B396" s="380" t="s">
        <v>338</v>
      </c>
      <c r="C396" s="374"/>
      <c r="D396" s="375" t="s">
        <v>517</v>
      </c>
      <c r="E396" s="375"/>
      <c r="F396" s="375"/>
      <c r="G396" s="375"/>
      <c r="H396" s="376"/>
      <c r="I396" s="376"/>
      <c r="J396" s="375"/>
      <c r="K396" s="375"/>
      <c r="L396" s="382" t="str">
        <f t="shared" si="16"/>
        <v/>
      </c>
    </row>
    <row r="397" spans="2:12" x14ac:dyDescent="0.45">
      <c r="B397" s="380" t="s">
        <v>339</v>
      </c>
      <c r="C397" s="374"/>
      <c r="D397" s="375" t="s">
        <v>517</v>
      </c>
      <c r="E397" s="375"/>
      <c r="F397" s="375"/>
      <c r="G397" s="375"/>
      <c r="H397" s="376"/>
      <c r="I397" s="376"/>
      <c r="J397" s="375"/>
      <c r="K397" s="375"/>
      <c r="L397" s="382" t="str">
        <f t="shared" si="16"/>
        <v/>
      </c>
    </row>
    <row r="398" spans="2:12" x14ac:dyDescent="0.45">
      <c r="B398" s="380" t="s">
        <v>340</v>
      </c>
      <c r="C398" s="374"/>
      <c r="D398" s="375" t="s">
        <v>517</v>
      </c>
      <c r="E398" s="375"/>
      <c r="F398" s="375"/>
      <c r="G398" s="375"/>
      <c r="H398" s="376"/>
      <c r="I398" s="376"/>
      <c r="J398" s="375"/>
      <c r="K398" s="375"/>
      <c r="L398" s="382" t="str">
        <f t="shared" si="16"/>
        <v/>
      </c>
    </row>
    <row r="399" spans="2:12" x14ac:dyDescent="0.45">
      <c r="B399" s="381" t="s">
        <v>341</v>
      </c>
      <c r="C399" s="377"/>
      <c r="D399" s="378" t="s">
        <v>517</v>
      </c>
      <c r="E399" s="378"/>
      <c r="F399" s="378"/>
      <c r="G399" s="378"/>
      <c r="H399" s="379"/>
      <c r="I399" s="379"/>
      <c r="J399" s="378"/>
      <c r="K399" s="378"/>
      <c r="L399" s="383" t="str">
        <f t="shared" si="16"/>
        <v/>
      </c>
    </row>
    <row r="400" spans="2:12" ht="14.65" thickBot="1" x14ac:dyDescent="0.5">
      <c r="B400" s="388" t="s">
        <v>529</v>
      </c>
      <c r="C400" s="384" t="str">
        <f>COUNTIFS($C$382:$C$399,"&lt;&gt;",$D$382:$D$399,"&lt;&gt;Sub - unused")&amp;" played"</f>
        <v>0 played</v>
      </c>
      <c r="D400" s="384"/>
      <c r="E400" s="384"/>
      <c r="F400" s="384"/>
      <c r="G400" s="384">
        <f>SUM($G$382:$G$399)</f>
        <v>0</v>
      </c>
      <c r="H400" s="384">
        <f>SUM($H$382:$H$399)</f>
        <v>0</v>
      </c>
      <c r="I400" s="387" t="str">
        <f>IFERROR(AVERAGEIFS($I$382:$I$399,$I$382:$I$399,"&gt;0",$D$382:$D$399,"&lt;&gt;Sub - unused"),"")</f>
        <v/>
      </c>
      <c r="J400" s="384">
        <f>SUM($J$382:$J$399)</f>
        <v>0</v>
      </c>
      <c r="K400" s="384">
        <f>SUM($K$382:$K$399)</f>
        <v>0</v>
      </c>
      <c r="L400" s="384"/>
    </row>
    <row r="401" spans="2:12" ht="28.05" customHeight="1" thickTop="1" x14ac:dyDescent="0.45">
      <c r="B401" s="389" t="s">
        <v>342</v>
      </c>
      <c r="C401" s="507"/>
      <c r="D401" s="508"/>
      <c r="E401" s="508"/>
      <c r="F401" s="508"/>
      <c r="G401" s="508"/>
      <c r="H401" s="508"/>
      <c r="I401" s="508"/>
      <c r="J401" s="508"/>
      <c r="K401" s="508"/>
      <c r="L401" s="509"/>
    </row>
    <row r="402" spans="2:12" ht="28.05" customHeight="1" x14ac:dyDescent="0.45">
      <c r="B402" s="390" t="s">
        <v>530</v>
      </c>
      <c r="C402" s="510"/>
      <c r="D402" s="511"/>
      <c r="E402" s="511"/>
      <c r="F402" s="511"/>
      <c r="G402" s="511"/>
      <c r="H402" s="511"/>
      <c r="I402" s="511"/>
      <c r="J402" s="511"/>
      <c r="K402" s="511"/>
      <c r="L402" s="512"/>
    </row>
    <row r="404" spans="2:12" x14ac:dyDescent="0.45">
      <c r="B404" s="515" t="s">
        <v>542</v>
      </c>
      <c r="C404" s="515"/>
      <c r="D404" s="515"/>
      <c r="E404" s="515"/>
      <c r="F404" s="515"/>
      <c r="G404" s="515"/>
      <c r="H404" s="515"/>
      <c r="I404" s="515"/>
      <c r="J404" s="515"/>
      <c r="K404" s="515"/>
      <c r="L404" s="515"/>
    </row>
    <row r="405" spans="2:12" x14ac:dyDescent="0.45">
      <c r="B405" s="367" t="s">
        <v>301</v>
      </c>
      <c r="C405" s="367" t="s">
        <v>343</v>
      </c>
      <c r="D405" s="367" t="s">
        <v>344</v>
      </c>
      <c r="E405" s="367" t="s">
        <v>302</v>
      </c>
      <c r="F405" s="367" t="s">
        <v>303</v>
      </c>
      <c r="G405" s="367" t="s">
        <v>304</v>
      </c>
      <c r="H405" s="367" t="s">
        <v>346</v>
      </c>
    </row>
    <row r="406" spans="2:12" x14ac:dyDescent="0.45">
      <c r="B406" s="369"/>
      <c r="C406" s="370"/>
      <c r="D406" s="370"/>
      <c r="E406" s="370"/>
      <c r="F406" s="370"/>
      <c r="G406" s="371" t="str">
        <f>IF(OR($E$406="",$F$406=""),"",IF($E$406&gt;$F$406,"Win",IF($E$406=$F$406,"Draw","Loss")))</f>
        <v/>
      </c>
      <c r="H406" s="370"/>
    </row>
    <row r="407" spans="2:12" x14ac:dyDescent="0.45">
      <c r="B407" s="372" t="s">
        <v>520</v>
      </c>
      <c r="C407" s="368" t="str">
        <f>IF($F$406="","",IF($F$406=0,"Yes","No"))</f>
        <v/>
      </c>
      <c r="D407" s="372" t="s">
        <v>521</v>
      </c>
      <c r="E407" s="368">
        <f>SUM($G$409:$G$426)</f>
        <v>0</v>
      </c>
      <c r="F407" s="372" t="s">
        <v>522</v>
      </c>
      <c r="G407" s="368" t="str">
        <f>IF(OR($E$406="",$E$407=0),"",IF($E$407=$E$406,"OK","does not match GF"))</f>
        <v/>
      </c>
    </row>
    <row r="408" spans="2:12" x14ac:dyDescent="0.45">
      <c r="B408" s="373" t="s">
        <v>153</v>
      </c>
      <c r="C408" s="373" t="s">
        <v>18</v>
      </c>
      <c r="D408" s="373" t="s">
        <v>316</v>
      </c>
      <c r="E408" s="373" t="s">
        <v>217</v>
      </c>
      <c r="F408" s="373" t="s">
        <v>523</v>
      </c>
      <c r="G408" s="373" t="s">
        <v>524</v>
      </c>
      <c r="H408" s="373" t="s">
        <v>525</v>
      </c>
      <c r="I408" s="373" t="s">
        <v>155</v>
      </c>
      <c r="J408" s="373" t="s">
        <v>526</v>
      </c>
      <c r="K408" s="373" t="s">
        <v>527</v>
      </c>
      <c r="L408" s="373" t="s">
        <v>528</v>
      </c>
    </row>
    <row r="409" spans="2:12" x14ac:dyDescent="0.45">
      <c r="B409" s="380">
        <v>1</v>
      </c>
      <c r="C409" s="374"/>
      <c r="D409" s="375" t="s">
        <v>515</v>
      </c>
      <c r="E409" s="375"/>
      <c r="F409" s="375"/>
      <c r="G409" s="375"/>
      <c r="H409" s="376"/>
      <c r="I409" s="376"/>
      <c r="J409" s="375"/>
      <c r="K409" s="375"/>
      <c r="L409" s="382" t="str">
        <f>IF(OR($C409="",$E409&lt;&gt;"GK",$D409="Sub - unused",$F$406=""),"",IF($F$406=0,"Yes","No"))</f>
        <v/>
      </c>
    </row>
    <row r="410" spans="2:12" x14ac:dyDescent="0.45">
      <c r="B410" s="380">
        <v>2</v>
      </c>
      <c r="C410" s="374"/>
      <c r="D410" s="375" t="s">
        <v>515</v>
      </c>
      <c r="E410" s="375"/>
      <c r="F410" s="375"/>
      <c r="G410" s="375"/>
      <c r="H410" s="376"/>
      <c r="I410" s="376"/>
      <c r="J410" s="375"/>
      <c r="K410" s="375"/>
      <c r="L410" s="382" t="str">
        <f t="shared" ref="L410:L426" si="17">IF(OR($C410="",$E410&lt;&gt;"GK",$D410="Sub - unused",$F$406=""),"",IF($F$406=0,"Yes","No"))</f>
        <v/>
      </c>
    </row>
    <row r="411" spans="2:12" x14ac:dyDescent="0.45">
      <c r="B411" s="380">
        <v>3</v>
      </c>
      <c r="C411" s="374"/>
      <c r="D411" s="375" t="s">
        <v>515</v>
      </c>
      <c r="E411" s="375"/>
      <c r="F411" s="375"/>
      <c r="G411" s="375"/>
      <c r="H411" s="376"/>
      <c r="I411" s="376"/>
      <c r="J411" s="375"/>
      <c r="K411" s="375"/>
      <c r="L411" s="382" t="str">
        <f t="shared" si="17"/>
        <v/>
      </c>
    </row>
    <row r="412" spans="2:12" x14ac:dyDescent="0.45">
      <c r="B412" s="380">
        <v>4</v>
      </c>
      <c r="C412" s="374"/>
      <c r="D412" s="375" t="s">
        <v>515</v>
      </c>
      <c r="E412" s="375"/>
      <c r="F412" s="375"/>
      <c r="G412" s="375"/>
      <c r="H412" s="376"/>
      <c r="I412" s="376"/>
      <c r="J412" s="375"/>
      <c r="K412" s="375"/>
      <c r="L412" s="382" t="str">
        <f t="shared" si="17"/>
        <v/>
      </c>
    </row>
    <row r="413" spans="2:12" x14ac:dyDescent="0.45">
      <c r="B413" s="380">
        <v>5</v>
      </c>
      <c r="C413" s="374"/>
      <c r="D413" s="375" t="s">
        <v>515</v>
      </c>
      <c r="E413" s="375"/>
      <c r="F413" s="375"/>
      <c r="G413" s="375"/>
      <c r="H413" s="376"/>
      <c r="I413" s="376"/>
      <c r="J413" s="375"/>
      <c r="K413" s="375"/>
      <c r="L413" s="382" t="str">
        <f t="shared" si="17"/>
        <v/>
      </c>
    </row>
    <row r="414" spans="2:12" x14ac:dyDescent="0.45">
      <c r="B414" s="380">
        <v>6</v>
      </c>
      <c r="C414" s="374"/>
      <c r="D414" s="375" t="s">
        <v>515</v>
      </c>
      <c r="E414" s="375"/>
      <c r="F414" s="375"/>
      <c r="G414" s="375"/>
      <c r="H414" s="376"/>
      <c r="I414" s="376"/>
      <c r="J414" s="375"/>
      <c r="K414" s="375"/>
      <c r="L414" s="382" t="str">
        <f t="shared" si="17"/>
        <v/>
      </c>
    </row>
    <row r="415" spans="2:12" x14ac:dyDescent="0.45">
      <c r="B415" s="380">
        <v>7</v>
      </c>
      <c r="C415" s="374"/>
      <c r="D415" s="375" t="s">
        <v>515</v>
      </c>
      <c r="E415" s="375"/>
      <c r="F415" s="375"/>
      <c r="G415" s="375"/>
      <c r="H415" s="376"/>
      <c r="I415" s="376"/>
      <c r="J415" s="375"/>
      <c r="K415" s="375"/>
      <c r="L415" s="382" t="str">
        <f t="shared" si="17"/>
        <v/>
      </c>
    </row>
    <row r="416" spans="2:12" x14ac:dyDescent="0.45">
      <c r="B416" s="380">
        <v>8</v>
      </c>
      <c r="C416" s="374"/>
      <c r="D416" s="375" t="s">
        <v>515</v>
      </c>
      <c r="E416" s="375"/>
      <c r="F416" s="375"/>
      <c r="G416" s="375"/>
      <c r="H416" s="376"/>
      <c r="I416" s="376"/>
      <c r="J416" s="375"/>
      <c r="K416" s="375"/>
      <c r="L416" s="382" t="str">
        <f t="shared" si="17"/>
        <v/>
      </c>
    </row>
    <row r="417" spans="2:12" x14ac:dyDescent="0.45">
      <c r="B417" s="380">
        <v>9</v>
      </c>
      <c r="C417" s="374"/>
      <c r="D417" s="375" t="s">
        <v>515</v>
      </c>
      <c r="E417" s="375"/>
      <c r="F417" s="375"/>
      <c r="G417" s="375"/>
      <c r="H417" s="376"/>
      <c r="I417" s="376"/>
      <c r="J417" s="375"/>
      <c r="K417" s="375"/>
      <c r="L417" s="382" t="str">
        <f t="shared" si="17"/>
        <v/>
      </c>
    </row>
    <row r="418" spans="2:12" x14ac:dyDescent="0.45">
      <c r="B418" s="380">
        <v>10</v>
      </c>
      <c r="C418" s="374"/>
      <c r="D418" s="375" t="s">
        <v>515</v>
      </c>
      <c r="E418" s="375"/>
      <c r="F418" s="375"/>
      <c r="G418" s="375"/>
      <c r="H418" s="376"/>
      <c r="I418" s="376"/>
      <c r="J418" s="375"/>
      <c r="K418" s="375"/>
      <c r="L418" s="382" t="str">
        <f t="shared" si="17"/>
        <v/>
      </c>
    </row>
    <row r="419" spans="2:12" x14ac:dyDescent="0.45">
      <c r="B419" s="380">
        <v>11</v>
      </c>
      <c r="C419" s="374"/>
      <c r="D419" s="375" t="s">
        <v>515</v>
      </c>
      <c r="E419" s="375"/>
      <c r="F419" s="375"/>
      <c r="G419" s="375"/>
      <c r="H419" s="376"/>
      <c r="I419" s="376"/>
      <c r="J419" s="375"/>
      <c r="K419" s="375"/>
      <c r="L419" s="382" t="str">
        <f t="shared" si="17"/>
        <v/>
      </c>
    </row>
    <row r="420" spans="2:12" x14ac:dyDescent="0.45">
      <c r="B420" s="380" t="s">
        <v>335</v>
      </c>
      <c r="C420" s="374"/>
      <c r="D420" s="375" t="s">
        <v>517</v>
      </c>
      <c r="E420" s="375"/>
      <c r="F420" s="375"/>
      <c r="G420" s="375"/>
      <c r="H420" s="376"/>
      <c r="I420" s="376"/>
      <c r="J420" s="375"/>
      <c r="K420" s="375"/>
      <c r="L420" s="382" t="str">
        <f t="shared" si="17"/>
        <v/>
      </c>
    </row>
    <row r="421" spans="2:12" x14ac:dyDescent="0.45">
      <c r="B421" s="380" t="s">
        <v>336</v>
      </c>
      <c r="C421" s="374"/>
      <c r="D421" s="375" t="s">
        <v>517</v>
      </c>
      <c r="E421" s="375"/>
      <c r="F421" s="375"/>
      <c r="G421" s="375"/>
      <c r="H421" s="376"/>
      <c r="I421" s="376"/>
      <c r="J421" s="375"/>
      <c r="K421" s="375"/>
      <c r="L421" s="382" t="str">
        <f t="shared" si="17"/>
        <v/>
      </c>
    </row>
    <row r="422" spans="2:12" x14ac:dyDescent="0.45">
      <c r="B422" s="380" t="s">
        <v>337</v>
      </c>
      <c r="C422" s="374"/>
      <c r="D422" s="375" t="s">
        <v>517</v>
      </c>
      <c r="E422" s="375"/>
      <c r="F422" s="375"/>
      <c r="G422" s="375"/>
      <c r="H422" s="376"/>
      <c r="I422" s="376"/>
      <c r="J422" s="375"/>
      <c r="K422" s="375"/>
      <c r="L422" s="382" t="str">
        <f t="shared" si="17"/>
        <v/>
      </c>
    </row>
    <row r="423" spans="2:12" x14ac:dyDescent="0.45">
      <c r="B423" s="380" t="s">
        <v>338</v>
      </c>
      <c r="C423" s="374"/>
      <c r="D423" s="375" t="s">
        <v>517</v>
      </c>
      <c r="E423" s="375"/>
      <c r="F423" s="375"/>
      <c r="G423" s="375"/>
      <c r="H423" s="376"/>
      <c r="I423" s="376"/>
      <c r="J423" s="375"/>
      <c r="K423" s="375"/>
      <c r="L423" s="382" t="str">
        <f t="shared" si="17"/>
        <v/>
      </c>
    </row>
    <row r="424" spans="2:12" x14ac:dyDescent="0.45">
      <c r="B424" s="380" t="s">
        <v>339</v>
      </c>
      <c r="C424" s="374"/>
      <c r="D424" s="375" t="s">
        <v>517</v>
      </c>
      <c r="E424" s="375"/>
      <c r="F424" s="375"/>
      <c r="G424" s="375"/>
      <c r="H424" s="376"/>
      <c r="I424" s="376"/>
      <c r="J424" s="375"/>
      <c r="K424" s="375"/>
      <c r="L424" s="382" t="str">
        <f t="shared" si="17"/>
        <v/>
      </c>
    </row>
    <row r="425" spans="2:12" x14ac:dyDescent="0.45">
      <c r="B425" s="380" t="s">
        <v>340</v>
      </c>
      <c r="C425" s="374"/>
      <c r="D425" s="375" t="s">
        <v>517</v>
      </c>
      <c r="E425" s="375"/>
      <c r="F425" s="375"/>
      <c r="G425" s="375"/>
      <c r="H425" s="376"/>
      <c r="I425" s="376"/>
      <c r="J425" s="375"/>
      <c r="K425" s="375"/>
      <c r="L425" s="382" t="str">
        <f t="shared" si="17"/>
        <v/>
      </c>
    </row>
    <row r="426" spans="2:12" x14ac:dyDescent="0.45">
      <c r="B426" s="381" t="s">
        <v>341</v>
      </c>
      <c r="C426" s="377"/>
      <c r="D426" s="378" t="s">
        <v>517</v>
      </c>
      <c r="E426" s="378"/>
      <c r="F426" s="378"/>
      <c r="G426" s="378"/>
      <c r="H426" s="379"/>
      <c r="I426" s="379"/>
      <c r="J426" s="378"/>
      <c r="K426" s="378"/>
      <c r="L426" s="383" t="str">
        <f t="shared" si="17"/>
        <v/>
      </c>
    </row>
    <row r="427" spans="2:12" ht="14.65" thickBot="1" x14ac:dyDescent="0.5">
      <c r="B427" s="388" t="s">
        <v>529</v>
      </c>
      <c r="C427" s="384" t="str">
        <f>COUNTIFS($C$409:$C$426,"&lt;&gt;",$D$409:$D$426,"&lt;&gt;Sub - unused")&amp;" played"</f>
        <v>0 played</v>
      </c>
      <c r="D427" s="384"/>
      <c r="E427" s="384"/>
      <c r="F427" s="384"/>
      <c r="G427" s="384">
        <f>SUM($G$409:$G$426)</f>
        <v>0</v>
      </c>
      <c r="H427" s="384">
        <f>SUM($H$409:$H$426)</f>
        <v>0</v>
      </c>
      <c r="I427" s="387" t="str">
        <f>IFERROR(AVERAGEIFS($I$409:$I$426,$I$409:$I$426,"&gt;0",$D$409:$D$426,"&lt;&gt;Sub - unused"),"")</f>
        <v/>
      </c>
      <c r="J427" s="384">
        <f>SUM($J$409:$J$426)</f>
        <v>0</v>
      </c>
      <c r="K427" s="384">
        <f>SUM($K$409:$K$426)</f>
        <v>0</v>
      </c>
      <c r="L427" s="384"/>
    </row>
    <row r="428" spans="2:12" ht="28.05" customHeight="1" thickTop="1" x14ac:dyDescent="0.45">
      <c r="B428" s="389" t="s">
        <v>342</v>
      </c>
      <c r="C428" s="507"/>
      <c r="D428" s="508"/>
      <c r="E428" s="508"/>
      <c r="F428" s="508"/>
      <c r="G428" s="508"/>
      <c r="H428" s="508"/>
      <c r="I428" s="508"/>
      <c r="J428" s="508"/>
      <c r="K428" s="508"/>
      <c r="L428" s="509"/>
    </row>
    <row r="429" spans="2:12" ht="28.05" customHeight="1" x14ac:dyDescent="0.45">
      <c r="B429" s="390" t="s">
        <v>530</v>
      </c>
      <c r="C429" s="510"/>
      <c r="D429" s="511"/>
      <c r="E429" s="511"/>
      <c r="F429" s="511"/>
      <c r="G429" s="511"/>
      <c r="H429" s="511"/>
      <c r="I429" s="511"/>
      <c r="J429" s="511"/>
      <c r="K429" s="511"/>
      <c r="L429" s="512"/>
    </row>
    <row r="431" spans="2:12" x14ac:dyDescent="0.45">
      <c r="B431" s="515" t="s">
        <v>543</v>
      </c>
      <c r="C431" s="515"/>
      <c r="D431" s="515"/>
      <c r="E431" s="515"/>
      <c r="F431" s="515"/>
      <c r="G431" s="515"/>
      <c r="H431" s="515"/>
      <c r="I431" s="515"/>
      <c r="J431" s="515"/>
      <c r="K431" s="515"/>
      <c r="L431" s="515"/>
    </row>
    <row r="432" spans="2:12" x14ac:dyDescent="0.45">
      <c r="B432" s="367" t="s">
        <v>301</v>
      </c>
      <c r="C432" s="367" t="s">
        <v>343</v>
      </c>
      <c r="D432" s="367" t="s">
        <v>344</v>
      </c>
      <c r="E432" s="367" t="s">
        <v>302</v>
      </c>
      <c r="F432" s="367" t="s">
        <v>303</v>
      </c>
      <c r="G432" s="367" t="s">
        <v>304</v>
      </c>
      <c r="H432" s="367" t="s">
        <v>346</v>
      </c>
    </row>
    <row r="433" spans="2:12" x14ac:dyDescent="0.45">
      <c r="B433" s="369"/>
      <c r="C433" s="370"/>
      <c r="D433" s="370"/>
      <c r="E433" s="370"/>
      <c r="F433" s="370"/>
      <c r="G433" s="371" t="str">
        <f>IF(OR($E$433="",$F$433=""),"",IF($E$433&gt;$F$433,"Win",IF($E$433=$F$433,"Draw","Loss")))</f>
        <v/>
      </c>
      <c r="H433" s="370"/>
    </row>
    <row r="434" spans="2:12" x14ac:dyDescent="0.45">
      <c r="B434" s="372" t="s">
        <v>520</v>
      </c>
      <c r="C434" s="368" t="str">
        <f>IF($F$433="","",IF($F$433=0,"Yes","No"))</f>
        <v/>
      </c>
      <c r="D434" s="372" t="s">
        <v>521</v>
      </c>
      <c r="E434" s="368">
        <f>SUM($G$436:$G$453)</f>
        <v>0</v>
      </c>
      <c r="F434" s="372" t="s">
        <v>522</v>
      </c>
      <c r="G434" s="368" t="str">
        <f>IF(OR($E$433="",$E$434=0),"",IF($E$434=$E$433,"OK","does not match GF"))</f>
        <v/>
      </c>
    </row>
    <row r="435" spans="2:12" x14ac:dyDescent="0.45">
      <c r="B435" s="373" t="s">
        <v>153</v>
      </c>
      <c r="C435" s="373" t="s">
        <v>18</v>
      </c>
      <c r="D435" s="373" t="s">
        <v>316</v>
      </c>
      <c r="E435" s="373" t="s">
        <v>217</v>
      </c>
      <c r="F435" s="373" t="s">
        <v>523</v>
      </c>
      <c r="G435" s="373" t="s">
        <v>524</v>
      </c>
      <c r="H435" s="373" t="s">
        <v>525</v>
      </c>
      <c r="I435" s="373" t="s">
        <v>155</v>
      </c>
      <c r="J435" s="373" t="s">
        <v>526</v>
      </c>
      <c r="K435" s="373" t="s">
        <v>527</v>
      </c>
      <c r="L435" s="373" t="s">
        <v>528</v>
      </c>
    </row>
    <row r="436" spans="2:12" x14ac:dyDescent="0.45">
      <c r="B436" s="380">
        <v>1</v>
      </c>
      <c r="C436" s="374"/>
      <c r="D436" s="375" t="s">
        <v>515</v>
      </c>
      <c r="E436" s="375"/>
      <c r="F436" s="375"/>
      <c r="G436" s="375"/>
      <c r="H436" s="376"/>
      <c r="I436" s="376"/>
      <c r="J436" s="375"/>
      <c r="K436" s="375"/>
      <c r="L436" s="382" t="str">
        <f>IF(OR($C436="",$E436&lt;&gt;"GK",$D436="Sub - unused",$F$433=""),"",IF($F$433=0,"Yes","No"))</f>
        <v/>
      </c>
    </row>
    <row r="437" spans="2:12" x14ac:dyDescent="0.45">
      <c r="B437" s="380">
        <v>2</v>
      </c>
      <c r="C437" s="374"/>
      <c r="D437" s="375" t="s">
        <v>515</v>
      </c>
      <c r="E437" s="375"/>
      <c r="F437" s="375"/>
      <c r="G437" s="375"/>
      <c r="H437" s="376"/>
      <c r="I437" s="376"/>
      <c r="J437" s="375"/>
      <c r="K437" s="375"/>
      <c r="L437" s="382" t="str">
        <f t="shared" ref="L437:L453" si="18">IF(OR($C437="",$E437&lt;&gt;"GK",$D437="Sub - unused",$F$433=""),"",IF($F$433=0,"Yes","No"))</f>
        <v/>
      </c>
    </row>
    <row r="438" spans="2:12" x14ac:dyDescent="0.45">
      <c r="B438" s="380">
        <v>3</v>
      </c>
      <c r="C438" s="374"/>
      <c r="D438" s="375" t="s">
        <v>515</v>
      </c>
      <c r="E438" s="375"/>
      <c r="F438" s="375"/>
      <c r="G438" s="375"/>
      <c r="H438" s="376"/>
      <c r="I438" s="376"/>
      <c r="J438" s="375"/>
      <c r="K438" s="375"/>
      <c r="L438" s="382" t="str">
        <f t="shared" si="18"/>
        <v/>
      </c>
    </row>
    <row r="439" spans="2:12" x14ac:dyDescent="0.45">
      <c r="B439" s="380">
        <v>4</v>
      </c>
      <c r="C439" s="374"/>
      <c r="D439" s="375" t="s">
        <v>515</v>
      </c>
      <c r="E439" s="375"/>
      <c r="F439" s="375"/>
      <c r="G439" s="375"/>
      <c r="H439" s="376"/>
      <c r="I439" s="376"/>
      <c r="J439" s="375"/>
      <c r="K439" s="375"/>
      <c r="L439" s="382" t="str">
        <f t="shared" si="18"/>
        <v/>
      </c>
    </row>
    <row r="440" spans="2:12" x14ac:dyDescent="0.45">
      <c r="B440" s="380">
        <v>5</v>
      </c>
      <c r="C440" s="374"/>
      <c r="D440" s="375" t="s">
        <v>515</v>
      </c>
      <c r="E440" s="375"/>
      <c r="F440" s="375"/>
      <c r="G440" s="375"/>
      <c r="H440" s="376"/>
      <c r="I440" s="376"/>
      <c r="J440" s="375"/>
      <c r="K440" s="375"/>
      <c r="L440" s="382" t="str">
        <f t="shared" si="18"/>
        <v/>
      </c>
    </row>
    <row r="441" spans="2:12" x14ac:dyDescent="0.45">
      <c r="B441" s="380">
        <v>6</v>
      </c>
      <c r="C441" s="374"/>
      <c r="D441" s="375" t="s">
        <v>515</v>
      </c>
      <c r="E441" s="375"/>
      <c r="F441" s="375"/>
      <c r="G441" s="375"/>
      <c r="H441" s="376"/>
      <c r="I441" s="376"/>
      <c r="J441" s="375"/>
      <c r="K441" s="375"/>
      <c r="L441" s="382" t="str">
        <f t="shared" si="18"/>
        <v/>
      </c>
    </row>
    <row r="442" spans="2:12" x14ac:dyDescent="0.45">
      <c r="B442" s="380">
        <v>7</v>
      </c>
      <c r="C442" s="374"/>
      <c r="D442" s="375" t="s">
        <v>515</v>
      </c>
      <c r="E442" s="375"/>
      <c r="F442" s="375"/>
      <c r="G442" s="375"/>
      <c r="H442" s="376"/>
      <c r="I442" s="376"/>
      <c r="J442" s="375"/>
      <c r="K442" s="375"/>
      <c r="L442" s="382" t="str">
        <f t="shared" si="18"/>
        <v/>
      </c>
    </row>
    <row r="443" spans="2:12" x14ac:dyDescent="0.45">
      <c r="B443" s="380">
        <v>8</v>
      </c>
      <c r="C443" s="374"/>
      <c r="D443" s="375" t="s">
        <v>515</v>
      </c>
      <c r="E443" s="375"/>
      <c r="F443" s="375"/>
      <c r="G443" s="375"/>
      <c r="H443" s="376"/>
      <c r="I443" s="376"/>
      <c r="J443" s="375"/>
      <c r="K443" s="375"/>
      <c r="L443" s="382" t="str">
        <f t="shared" si="18"/>
        <v/>
      </c>
    </row>
    <row r="444" spans="2:12" x14ac:dyDescent="0.45">
      <c r="B444" s="380">
        <v>9</v>
      </c>
      <c r="C444" s="374"/>
      <c r="D444" s="375" t="s">
        <v>515</v>
      </c>
      <c r="E444" s="375"/>
      <c r="F444" s="375"/>
      <c r="G444" s="375"/>
      <c r="H444" s="376"/>
      <c r="I444" s="376"/>
      <c r="J444" s="375"/>
      <c r="K444" s="375"/>
      <c r="L444" s="382" t="str">
        <f t="shared" si="18"/>
        <v/>
      </c>
    </row>
    <row r="445" spans="2:12" x14ac:dyDescent="0.45">
      <c r="B445" s="380">
        <v>10</v>
      </c>
      <c r="C445" s="374"/>
      <c r="D445" s="375" t="s">
        <v>515</v>
      </c>
      <c r="E445" s="375"/>
      <c r="F445" s="375"/>
      <c r="G445" s="375"/>
      <c r="H445" s="376"/>
      <c r="I445" s="376"/>
      <c r="J445" s="375"/>
      <c r="K445" s="375"/>
      <c r="L445" s="382" t="str">
        <f t="shared" si="18"/>
        <v/>
      </c>
    </row>
    <row r="446" spans="2:12" x14ac:dyDescent="0.45">
      <c r="B446" s="380">
        <v>11</v>
      </c>
      <c r="C446" s="374"/>
      <c r="D446" s="375" t="s">
        <v>515</v>
      </c>
      <c r="E446" s="375"/>
      <c r="F446" s="375"/>
      <c r="G446" s="375"/>
      <c r="H446" s="376"/>
      <c r="I446" s="376"/>
      <c r="J446" s="375"/>
      <c r="K446" s="375"/>
      <c r="L446" s="382" t="str">
        <f t="shared" si="18"/>
        <v/>
      </c>
    </row>
    <row r="447" spans="2:12" x14ac:dyDescent="0.45">
      <c r="B447" s="380" t="s">
        <v>335</v>
      </c>
      <c r="C447" s="374"/>
      <c r="D447" s="375" t="s">
        <v>517</v>
      </c>
      <c r="E447" s="375"/>
      <c r="F447" s="375"/>
      <c r="G447" s="375"/>
      <c r="H447" s="376"/>
      <c r="I447" s="376"/>
      <c r="J447" s="375"/>
      <c r="K447" s="375"/>
      <c r="L447" s="382" t="str">
        <f t="shared" si="18"/>
        <v/>
      </c>
    </row>
    <row r="448" spans="2:12" x14ac:dyDescent="0.45">
      <c r="B448" s="380" t="s">
        <v>336</v>
      </c>
      <c r="C448" s="374"/>
      <c r="D448" s="375" t="s">
        <v>517</v>
      </c>
      <c r="E448" s="375"/>
      <c r="F448" s="375"/>
      <c r="G448" s="375"/>
      <c r="H448" s="376"/>
      <c r="I448" s="376"/>
      <c r="J448" s="375"/>
      <c r="K448" s="375"/>
      <c r="L448" s="382" t="str">
        <f t="shared" si="18"/>
        <v/>
      </c>
    </row>
    <row r="449" spans="2:12" x14ac:dyDescent="0.45">
      <c r="B449" s="380" t="s">
        <v>337</v>
      </c>
      <c r="C449" s="374"/>
      <c r="D449" s="375" t="s">
        <v>517</v>
      </c>
      <c r="E449" s="375"/>
      <c r="F449" s="375"/>
      <c r="G449" s="375"/>
      <c r="H449" s="376"/>
      <c r="I449" s="376"/>
      <c r="J449" s="375"/>
      <c r="K449" s="375"/>
      <c r="L449" s="382" t="str">
        <f t="shared" si="18"/>
        <v/>
      </c>
    </row>
    <row r="450" spans="2:12" x14ac:dyDescent="0.45">
      <c r="B450" s="380" t="s">
        <v>338</v>
      </c>
      <c r="C450" s="374"/>
      <c r="D450" s="375" t="s">
        <v>517</v>
      </c>
      <c r="E450" s="375"/>
      <c r="F450" s="375"/>
      <c r="G450" s="375"/>
      <c r="H450" s="376"/>
      <c r="I450" s="376"/>
      <c r="J450" s="375"/>
      <c r="K450" s="375"/>
      <c r="L450" s="382" t="str">
        <f t="shared" si="18"/>
        <v/>
      </c>
    </row>
    <row r="451" spans="2:12" x14ac:dyDescent="0.45">
      <c r="B451" s="380" t="s">
        <v>339</v>
      </c>
      <c r="C451" s="374"/>
      <c r="D451" s="375" t="s">
        <v>517</v>
      </c>
      <c r="E451" s="375"/>
      <c r="F451" s="375"/>
      <c r="G451" s="375"/>
      <c r="H451" s="376"/>
      <c r="I451" s="376"/>
      <c r="J451" s="375"/>
      <c r="K451" s="375"/>
      <c r="L451" s="382" t="str">
        <f t="shared" si="18"/>
        <v/>
      </c>
    </row>
    <row r="452" spans="2:12" x14ac:dyDescent="0.45">
      <c r="B452" s="380" t="s">
        <v>340</v>
      </c>
      <c r="C452" s="374"/>
      <c r="D452" s="375" t="s">
        <v>517</v>
      </c>
      <c r="E452" s="375"/>
      <c r="F452" s="375"/>
      <c r="G452" s="375"/>
      <c r="H452" s="376"/>
      <c r="I452" s="376"/>
      <c r="J452" s="375"/>
      <c r="K452" s="375"/>
      <c r="L452" s="382" t="str">
        <f t="shared" si="18"/>
        <v/>
      </c>
    </row>
    <row r="453" spans="2:12" x14ac:dyDescent="0.45">
      <c r="B453" s="381" t="s">
        <v>341</v>
      </c>
      <c r="C453" s="377"/>
      <c r="D453" s="378" t="s">
        <v>517</v>
      </c>
      <c r="E453" s="378"/>
      <c r="F453" s="378"/>
      <c r="G453" s="378"/>
      <c r="H453" s="379"/>
      <c r="I453" s="379"/>
      <c r="J453" s="378"/>
      <c r="K453" s="378"/>
      <c r="L453" s="383" t="str">
        <f t="shared" si="18"/>
        <v/>
      </c>
    </row>
    <row r="454" spans="2:12" ht="14.65" thickBot="1" x14ac:dyDescent="0.5">
      <c r="B454" s="388" t="s">
        <v>529</v>
      </c>
      <c r="C454" s="384" t="str">
        <f>COUNTIFS($C$436:$C$453,"&lt;&gt;",$D$436:$D$453,"&lt;&gt;Sub - unused")&amp;" played"</f>
        <v>0 played</v>
      </c>
      <c r="D454" s="384"/>
      <c r="E454" s="384"/>
      <c r="F454" s="384"/>
      <c r="G454" s="384">
        <f>SUM($G$436:$G$453)</f>
        <v>0</v>
      </c>
      <c r="H454" s="384">
        <f>SUM($H$436:$H$453)</f>
        <v>0</v>
      </c>
      <c r="I454" s="387" t="str">
        <f>IFERROR(AVERAGEIFS($I$436:$I$453,$I$436:$I$453,"&gt;0",$D$436:$D$453,"&lt;&gt;Sub - unused"),"")</f>
        <v/>
      </c>
      <c r="J454" s="384">
        <f>SUM($J$436:$J$453)</f>
        <v>0</v>
      </c>
      <c r="K454" s="384">
        <f>SUM($K$436:$K$453)</f>
        <v>0</v>
      </c>
      <c r="L454" s="384"/>
    </row>
    <row r="455" spans="2:12" ht="28.05" customHeight="1" thickTop="1" x14ac:dyDescent="0.45">
      <c r="B455" s="389" t="s">
        <v>342</v>
      </c>
      <c r="C455" s="507"/>
      <c r="D455" s="508"/>
      <c r="E455" s="508"/>
      <c r="F455" s="508"/>
      <c r="G455" s="508"/>
      <c r="H455" s="508"/>
      <c r="I455" s="508"/>
      <c r="J455" s="508"/>
      <c r="K455" s="508"/>
      <c r="L455" s="509"/>
    </row>
    <row r="456" spans="2:12" ht="28.05" customHeight="1" x14ac:dyDescent="0.45">
      <c r="B456" s="390" t="s">
        <v>530</v>
      </c>
      <c r="C456" s="510"/>
      <c r="D456" s="511"/>
      <c r="E456" s="511"/>
      <c r="F456" s="511"/>
      <c r="G456" s="511"/>
      <c r="H456" s="511"/>
      <c r="I456" s="511"/>
      <c r="J456" s="511"/>
      <c r="K456" s="511"/>
      <c r="L456" s="512"/>
    </row>
    <row r="458" spans="2:12" x14ac:dyDescent="0.45">
      <c r="B458" s="515" t="s">
        <v>544</v>
      </c>
      <c r="C458" s="515"/>
      <c r="D458" s="515"/>
      <c r="E458" s="515"/>
      <c r="F458" s="515"/>
      <c r="G458" s="515"/>
      <c r="H458" s="515"/>
      <c r="I458" s="515"/>
      <c r="J458" s="515"/>
      <c r="K458" s="515"/>
      <c r="L458" s="515"/>
    </row>
    <row r="459" spans="2:12" x14ac:dyDescent="0.45">
      <c r="B459" s="367" t="s">
        <v>301</v>
      </c>
      <c r="C459" s="367" t="s">
        <v>343</v>
      </c>
      <c r="D459" s="367" t="s">
        <v>344</v>
      </c>
      <c r="E459" s="367" t="s">
        <v>302</v>
      </c>
      <c r="F459" s="367" t="s">
        <v>303</v>
      </c>
      <c r="G459" s="367" t="s">
        <v>304</v>
      </c>
      <c r="H459" s="367" t="s">
        <v>346</v>
      </c>
    </row>
    <row r="460" spans="2:12" x14ac:dyDescent="0.45">
      <c r="B460" s="369"/>
      <c r="C460" s="370"/>
      <c r="D460" s="370"/>
      <c r="E460" s="370"/>
      <c r="F460" s="370"/>
      <c r="G460" s="371" t="str">
        <f>IF(OR($E$460="",$F$460=""),"",IF($E$460&gt;$F$460,"Win",IF($E$460=$F$460,"Draw","Loss")))</f>
        <v/>
      </c>
      <c r="H460" s="370"/>
    </row>
    <row r="461" spans="2:12" x14ac:dyDescent="0.45">
      <c r="B461" s="372" t="s">
        <v>520</v>
      </c>
      <c r="C461" s="368" t="str">
        <f>IF($F$460="","",IF($F$460=0,"Yes","No"))</f>
        <v/>
      </c>
      <c r="D461" s="372" t="s">
        <v>521</v>
      </c>
      <c r="E461" s="368">
        <f>SUM($G$463:$G$480)</f>
        <v>0</v>
      </c>
      <c r="F461" s="372" t="s">
        <v>522</v>
      </c>
      <c r="G461" s="368" t="str">
        <f>IF(OR($E$460="",$E$461=0),"",IF($E$461=$E$460,"OK","does not match GF"))</f>
        <v/>
      </c>
    </row>
    <row r="462" spans="2:12" x14ac:dyDescent="0.45">
      <c r="B462" s="373" t="s">
        <v>153</v>
      </c>
      <c r="C462" s="373" t="s">
        <v>18</v>
      </c>
      <c r="D462" s="373" t="s">
        <v>316</v>
      </c>
      <c r="E462" s="373" t="s">
        <v>217</v>
      </c>
      <c r="F462" s="373" t="s">
        <v>523</v>
      </c>
      <c r="G462" s="373" t="s">
        <v>524</v>
      </c>
      <c r="H462" s="373" t="s">
        <v>525</v>
      </c>
      <c r="I462" s="373" t="s">
        <v>155</v>
      </c>
      <c r="J462" s="373" t="s">
        <v>526</v>
      </c>
      <c r="K462" s="373" t="s">
        <v>527</v>
      </c>
      <c r="L462" s="373" t="s">
        <v>528</v>
      </c>
    </row>
    <row r="463" spans="2:12" x14ac:dyDescent="0.45">
      <c r="B463" s="380">
        <v>1</v>
      </c>
      <c r="C463" s="374"/>
      <c r="D463" s="375" t="s">
        <v>515</v>
      </c>
      <c r="E463" s="375"/>
      <c r="F463" s="375"/>
      <c r="G463" s="375"/>
      <c r="H463" s="376"/>
      <c r="I463" s="376"/>
      <c r="J463" s="375"/>
      <c r="K463" s="375"/>
      <c r="L463" s="382" t="str">
        <f>IF(OR($C463="",$E463&lt;&gt;"GK",$D463="Sub - unused",$F$460=""),"",IF($F$460=0,"Yes","No"))</f>
        <v/>
      </c>
    </row>
    <row r="464" spans="2:12" x14ac:dyDescent="0.45">
      <c r="B464" s="380">
        <v>2</v>
      </c>
      <c r="C464" s="374"/>
      <c r="D464" s="375" t="s">
        <v>515</v>
      </c>
      <c r="E464" s="375"/>
      <c r="F464" s="375"/>
      <c r="G464" s="375"/>
      <c r="H464" s="376"/>
      <c r="I464" s="376"/>
      <c r="J464" s="375"/>
      <c r="K464" s="375"/>
      <c r="L464" s="382" t="str">
        <f t="shared" ref="L464:L480" si="19">IF(OR($C464="",$E464&lt;&gt;"GK",$D464="Sub - unused",$F$460=""),"",IF($F$460=0,"Yes","No"))</f>
        <v/>
      </c>
    </row>
    <row r="465" spans="2:12" x14ac:dyDescent="0.45">
      <c r="B465" s="380">
        <v>3</v>
      </c>
      <c r="C465" s="374"/>
      <c r="D465" s="375" t="s">
        <v>515</v>
      </c>
      <c r="E465" s="375"/>
      <c r="F465" s="375"/>
      <c r="G465" s="375"/>
      <c r="H465" s="376"/>
      <c r="I465" s="376"/>
      <c r="J465" s="375"/>
      <c r="K465" s="375"/>
      <c r="L465" s="382" t="str">
        <f t="shared" si="19"/>
        <v/>
      </c>
    </row>
    <row r="466" spans="2:12" x14ac:dyDescent="0.45">
      <c r="B466" s="380">
        <v>4</v>
      </c>
      <c r="C466" s="374"/>
      <c r="D466" s="375" t="s">
        <v>515</v>
      </c>
      <c r="E466" s="375"/>
      <c r="F466" s="375"/>
      <c r="G466" s="375"/>
      <c r="H466" s="376"/>
      <c r="I466" s="376"/>
      <c r="J466" s="375"/>
      <c r="K466" s="375"/>
      <c r="L466" s="382" t="str">
        <f t="shared" si="19"/>
        <v/>
      </c>
    </row>
    <row r="467" spans="2:12" x14ac:dyDescent="0.45">
      <c r="B467" s="380">
        <v>5</v>
      </c>
      <c r="C467" s="374"/>
      <c r="D467" s="375" t="s">
        <v>515</v>
      </c>
      <c r="E467" s="375"/>
      <c r="F467" s="375"/>
      <c r="G467" s="375"/>
      <c r="H467" s="376"/>
      <c r="I467" s="376"/>
      <c r="J467" s="375"/>
      <c r="K467" s="375"/>
      <c r="L467" s="382" t="str">
        <f t="shared" si="19"/>
        <v/>
      </c>
    </row>
    <row r="468" spans="2:12" x14ac:dyDescent="0.45">
      <c r="B468" s="380">
        <v>6</v>
      </c>
      <c r="C468" s="374"/>
      <c r="D468" s="375" t="s">
        <v>515</v>
      </c>
      <c r="E468" s="375"/>
      <c r="F468" s="375"/>
      <c r="G468" s="375"/>
      <c r="H468" s="376"/>
      <c r="I468" s="376"/>
      <c r="J468" s="375"/>
      <c r="K468" s="375"/>
      <c r="L468" s="382" t="str">
        <f t="shared" si="19"/>
        <v/>
      </c>
    </row>
    <row r="469" spans="2:12" x14ac:dyDescent="0.45">
      <c r="B469" s="380">
        <v>7</v>
      </c>
      <c r="C469" s="374"/>
      <c r="D469" s="375" t="s">
        <v>515</v>
      </c>
      <c r="E469" s="375"/>
      <c r="F469" s="375"/>
      <c r="G469" s="375"/>
      <c r="H469" s="376"/>
      <c r="I469" s="376"/>
      <c r="J469" s="375"/>
      <c r="K469" s="375"/>
      <c r="L469" s="382" t="str">
        <f t="shared" si="19"/>
        <v/>
      </c>
    </row>
    <row r="470" spans="2:12" x14ac:dyDescent="0.45">
      <c r="B470" s="380">
        <v>8</v>
      </c>
      <c r="C470" s="374"/>
      <c r="D470" s="375" t="s">
        <v>515</v>
      </c>
      <c r="E470" s="375"/>
      <c r="F470" s="375"/>
      <c r="G470" s="375"/>
      <c r="H470" s="376"/>
      <c r="I470" s="376"/>
      <c r="J470" s="375"/>
      <c r="K470" s="375"/>
      <c r="L470" s="382" t="str">
        <f t="shared" si="19"/>
        <v/>
      </c>
    </row>
    <row r="471" spans="2:12" x14ac:dyDescent="0.45">
      <c r="B471" s="380">
        <v>9</v>
      </c>
      <c r="C471" s="374"/>
      <c r="D471" s="375" t="s">
        <v>515</v>
      </c>
      <c r="E471" s="375"/>
      <c r="F471" s="375"/>
      <c r="G471" s="375"/>
      <c r="H471" s="376"/>
      <c r="I471" s="376"/>
      <c r="J471" s="375"/>
      <c r="K471" s="375"/>
      <c r="L471" s="382" t="str">
        <f t="shared" si="19"/>
        <v/>
      </c>
    </row>
    <row r="472" spans="2:12" x14ac:dyDescent="0.45">
      <c r="B472" s="380">
        <v>10</v>
      </c>
      <c r="C472" s="374"/>
      <c r="D472" s="375" t="s">
        <v>515</v>
      </c>
      <c r="E472" s="375"/>
      <c r="F472" s="375"/>
      <c r="G472" s="375"/>
      <c r="H472" s="376"/>
      <c r="I472" s="376"/>
      <c r="J472" s="375"/>
      <c r="K472" s="375"/>
      <c r="L472" s="382" t="str">
        <f t="shared" si="19"/>
        <v/>
      </c>
    </row>
    <row r="473" spans="2:12" x14ac:dyDescent="0.45">
      <c r="B473" s="380">
        <v>11</v>
      </c>
      <c r="C473" s="374"/>
      <c r="D473" s="375" t="s">
        <v>515</v>
      </c>
      <c r="E473" s="375"/>
      <c r="F473" s="375"/>
      <c r="G473" s="375"/>
      <c r="H473" s="376"/>
      <c r="I473" s="376"/>
      <c r="J473" s="375"/>
      <c r="K473" s="375"/>
      <c r="L473" s="382" t="str">
        <f t="shared" si="19"/>
        <v/>
      </c>
    </row>
    <row r="474" spans="2:12" x14ac:dyDescent="0.45">
      <c r="B474" s="380" t="s">
        <v>335</v>
      </c>
      <c r="C474" s="374"/>
      <c r="D474" s="375" t="s">
        <v>517</v>
      </c>
      <c r="E474" s="375"/>
      <c r="F474" s="375"/>
      <c r="G474" s="375"/>
      <c r="H474" s="376"/>
      <c r="I474" s="376"/>
      <c r="J474" s="375"/>
      <c r="K474" s="375"/>
      <c r="L474" s="382" t="str">
        <f t="shared" si="19"/>
        <v/>
      </c>
    </row>
    <row r="475" spans="2:12" x14ac:dyDescent="0.45">
      <c r="B475" s="380" t="s">
        <v>336</v>
      </c>
      <c r="C475" s="374"/>
      <c r="D475" s="375" t="s">
        <v>517</v>
      </c>
      <c r="E475" s="375"/>
      <c r="F475" s="375"/>
      <c r="G475" s="375"/>
      <c r="H475" s="376"/>
      <c r="I475" s="376"/>
      <c r="J475" s="375"/>
      <c r="K475" s="375"/>
      <c r="L475" s="382" t="str">
        <f t="shared" si="19"/>
        <v/>
      </c>
    </row>
    <row r="476" spans="2:12" x14ac:dyDescent="0.45">
      <c r="B476" s="380" t="s">
        <v>337</v>
      </c>
      <c r="C476" s="374"/>
      <c r="D476" s="375" t="s">
        <v>517</v>
      </c>
      <c r="E476" s="375"/>
      <c r="F476" s="375"/>
      <c r="G476" s="375"/>
      <c r="H476" s="376"/>
      <c r="I476" s="376"/>
      <c r="J476" s="375"/>
      <c r="K476" s="375"/>
      <c r="L476" s="382" t="str">
        <f t="shared" si="19"/>
        <v/>
      </c>
    </row>
    <row r="477" spans="2:12" x14ac:dyDescent="0.45">
      <c r="B477" s="380" t="s">
        <v>338</v>
      </c>
      <c r="C477" s="374"/>
      <c r="D477" s="375" t="s">
        <v>517</v>
      </c>
      <c r="E477" s="375"/>
      <c r="F477" s="375"/>
      <c r="G477" s="375"/>
      <c r="H477" s="376"/>
      <c r="I477" s="376"/>
      <c r="J477" s="375"/>
      <c r="K477" s="375"/>
      <c r="L477" s="382" t="str">
        <f t="shared" si="19"/>
        <v/>
      </c>
    </row>
    <row r="478" spans="2:12" x14ac:dyDescent="0.45">
      <c r="B478" s="380" t="s">
        <v>339</v>
      </c>
      <c r="C478" s="374"/>
      <c r="D478" s="375" t="s">
        <v>517</v>
      </c>
      <c r="E478" s="375"/>
      <c r="F478" s="375"/>
      <c r="G478" s="375"/>
      <c r="H478" s="376"/>
      <c r="I478" s="376"/>
      <c r="J478" s="375"/>
      <c r="K478" s="375"/>
      <c r="L478" s="382" t="str">
        <f t="shared" si="19"/>
        <v/>
      </c>
    </row>
    <row r="479" spans="2:12" x14ac:dyDescent="0.45">
      <c r="B479" s="380" t="s">
        <v>340</v>
      </c>
      <c r="C479" s="374"/>
      <c r="D479" s="375" t="s">
        <v>517</v>
      </c>
      <c r="E479" s="375"/>
      <c r="F479" s="375"/>
      <c r="G479" s="375"/>
      <c r="H479" s="376"/>
      <c r="I479" s="376"/>
      <c r="J479" s="375"/>
      <c r="K479" s="375"/>
      <c r="L479" s="382" t="str">
        <f t="shared" si="19"/>
        <v/>
      </c>
    </row>
    <row r="480" spans="2:12" x14ac:dyDescent="0.45">
      <c r="B480" s="381" t="s">
        <v>341</v>
      </c>
      <c r="C480" s="377"/>
      <c r="D480" s="378" t="s">
        <v>517</v>
      </c>
      <c r="E480" s="378"/>
      <c r="F480" s="378"/>
      <c r="G480" s="378"/>
      <c r="H480" s="379"/>
      <c r="I480" s="379"/>
      <c r="J480" s="378"/>
      <c r="K480" s="378"/>
      <c r="L480" s="383" t="str">
        <f t="shared" si="19"/>
        <v/>
      </c>
    </row>
    <row r="481" spans="2:12" ht="14.65" thickBot="1" x14ac:dyDescent="0.5">
      <c r="B481" s="388" t="s">
        <v>529</v>
      </c>
      <c r="C481" s="384" t="str">
        <f>COUNTIFS($C$463:$C$480,"&lt;&gt;",$D$463:$D$480,"&lt;&gt;Sub - unused")&amp;" played"</f>
        <v>0 played</v>
      </c>
      <c r="D481" s="384"/>
      <c r="E481" s="384"/>
      <c r="F481" s="384"/>
      <c r="G481" s="384">
        <f>SUM($G$463:$G$480)</f>
        <v>0</v>
      </c>
      <c r="H481" s="384">
        <f>SUM($H$463:$H$480)</f>
        <v>0</v>
      </c>
      <c r="I481" s="387" t="str">
        <f>IFERROR(AVERAGEIFS($I$463:$I$480,$I$463:$I$480,"&gt;0",$D$463:$D$480,"&lt;&gt;Sub - unused"),"")</f>
        <v/>
      </c>
      <c r="J481" s="384">
        <f>SUM($J$463:$J$480)</f>
        <v>0</v>
      </c>
      <c r="K481" s="384">
        <f>SUM($K$463:$K$480)</f>
        <v>0</v>
      </c>
      <c r="L481" s="384"/>
    </row>
    <row r="482" spans="2:12" ht="28.05" customHeight="1" thickTop="1" x14ac:dyDescent="0.45">
      <c r="B482" s="389" t="s">
        <v>342</v>
      </c>
      <c r="C482" s="507"/>
      <c r="D482" s="508"/>
      <c r="E482" s="508"/>
      <c r="F482" s="508"/>
      <c r="G482" s="508"/>
      <c r="H482" s="508"/>
      <c r="I482" s="508"/>
      <c r="J482" s="508"/>
      <c r="K482" s="508"/>
      <c r="L482" s="509"/>
    </row>
    <row r="483" spans="2:12" ht="28.05" customHeight="1" x14ac:dyDescent="0.45">
      <c r="B483" s="390" t="s">
        <v>530</v>
      </c>
      <c r="C483" s="510"/>
      <c r="D483" s="511"/>
      <c r="E483" s="511"/>
      <c r="F483" s="511"/>
      <c r="G483" s="511"/>
      <c r="H483" s="511"/>
      <c r="I483" s="511"/>
      <c r="J483" s="511"/>
      <c r="K483" s="511"/>
      <c r="L483" s="512"/>
    </row>
    <row r="485" spans="2:12" x14ac:dyDescent="0.45">
      <c r="B485" s="515" t="s">
        <v>545</v>
      </c>
      <c r="C485" s="515"/>
      <c r="D485" s="515"/>
      <c r="E485" s="515"/>
      <c r="F485" s="515"/>
      <c r="G485" s="515"/>
      <c r="H485" s="515"/>
      <c r="I485" s="515"/>
      <c r="J485" s="515"/>
      <c r="K485" s="515"/>
      <c r="L485" s="515"/>
    </row>
    <row r="486" spans="2:12" x14ac:dyDescent="0.45">
      <c r="B486" s="367" t="s">
        <v>301</v>
      </c>
      <c r="C486" s="367" t="s">
        <v>343</v>
      </c>
      <c r="D486" s="367" t="s">
        <v>344</v>
      </c>
      <c r="E486" s="367" t="s">
        <v>302</v>
      </c>
      <c r="F486" s="367" t="s">
        <v>303</v>
      </c>
      <c r="G486" s="367" t="s">
        <v>304</v>
      </c>
      <c r="H486" s="367" t="s">
        <v>346</v>
      </c>
    </row>
    <row r="487" spans="2:12" x14ac:dyDescent="0.45">
      <c r="B487" s="369"/>
      <c r="C487" s="370"/>
      <c r="D487" s="370"/>
      <c r="E487" s="370"/>
      <c r="F487" s="370"/>
      <c r="G487" s="371" t="str">
        <f>IF(OR($E$487="",$F$487=""),"",IF($E$487&gt;$F$487,"Win",IF($E$487=$F$487,"Draw","Loss")))</f>
        <v/>
      </c>
      <c r="H487" s="370"/>
    </row>
    <row r="488" spans="2:12" x14ac:dyDescent="0.45">
      <c r="B488" s="372" t="s">
        <v>520</v>
      </c>
      <c r="C488" s="368" t="str">
        <f>IF($F$487="","",IF($F$487=0,"Yes","No"))</f>
        <v/>
      </c>
      <c r="D488" s="372" t="s">
        <v>521</v>
      </c>
      <c r="E488" s="368">
        <f>SUM($G$490:$G$507)</f>
        <v>0</v>
      </c>
      <c r="F488" s="372" t="s">
        <v>522</v>
      </c>
      <c r="G488" s="368" t="str">
        <f>IF(OR($E$487="",$E$488=0),"",IF($E$488=$E$487,"OK","does not match GF"))</f>
        <v/>
      </c>
    </row>
    <row r="489" spans="2:12" x14ac:dyDescent="0.45">
      <c r="B489" s="373" t="s">
        <v>153</v>
      </c>
      <c r="C489" s="373" t="s">
        <v>18</v>
      </c>
      <c r="D489" s="373" t="s">
        <v>316</v>
      </c>
      <c r="E489" s="373" t="s">
        <v>217</v>
      </c>
      <c r="F489" s="373" t="s">
        <v>523</v>
      </c>
      <c r="G489" s="373" t="s">
        <v>524</v>
      </c>
      <c r="H489" s="373" t="s">
        <v>525</v>
      </c>
      <c r="I489" s="373" t="s">
        <v>155</v>
      </c>
      <c r="J489" s="373" t="s">
        <v>526</v>
      </c>
      <c r="K489" s="373" t="s">
        <v>527</v>
      </c>
      <c r="L489" s="373" t="s">
        <v>528</v>
      </c>
    </row>
    <row r="490" spans="2:12" x14ac:dyDescent="0.45">
      <c r="B490" s="380">
        <v>1</v>
      </c>
      <c r="C490" s="374"/>
      <c r="D490" s="375" t="s">
        <v>515</v>
      </c>
      <c r="E490" s="375"/>
      <c r="F490" s="375"/>
      <c r="G490" s="375"/>
      <c r="H490" s="376"/>
      <c r="I490" s="376"/>
      <c r="J490" s="375"/>
      <c r="K490" s="375"/>
      <c r="L490" s="382" t="str">
        <f>IF(OR($C490="",$E490&lt;&gt;"GK",$D490="Sub - unused",$F$487=""),"",IF($F$487=0,"Yes","No"))</f>
        <v/>
      </c>
    </row>
    <row r="491" spans="2:12" x14ac:dyDescent="0.45">
      <c r="B491" s="380">
        <v>2</v>
      </c>
      <c r="C491" s="374"/>
      <c r="D491" s="375" t="s">
        <v>515</v>
      </c>
      <c r="E491" s="375"/>
      <c r="F491" s="375"/>
      <c r="G491" s="375"/>
      <c r="H491" s="376"/>
      <c r="I491" s="376"/>
      <c r="J491" s="375"/>
      <c r="K491" s="375"/>
      <c r="L491" s="382" t="str">
        <f t="shared" ref="L491:L507" si="20">IF(OR($C491="",$E491&lt;&gt;"GK",$D491="Sub - unused",$F$487=""),"",IF($F$487=0,"Yes","No"))</f>
        <v/>
      </c>
    </row>
    <row r="492" spans="2:12" x14ac:dyDescent="0.45">
      <c r="B492" s="380">
        <v>3</v>
      </c>
      <c r="C492" s="374"/>
      <c r="D492" s="375" t="s">
        <v>515</v>
      </c>
      <c r="E492" s="375"/>
      <c r="F492" s="375"/>
      <c r="G492" s="375"/>
      <c r="H492" s="376"/>
      <c r="I492" s="376"/>
      <c r="J492" s="375"/>
      <c r="K492" s="375"/>
      <c r="L492" s="382" t="str">
        <f t="shared" si="20"/>
        <v/>
      </c>
    </row>
    <row r="493" spans="2:12" x14ac:dyDescent="0.45">
      <c r="B493" s="380">
        <v>4</v>
      </c>
      <c r="C493" s="374"/>
      <c r="D493" s="375" t="s">
        <v>515</v>
      </c>
      <c r="E493" s="375"/>
      <c r="F493" s="375"/>
      <c r="G493" s="375"/>
      <c r="H493" s="376"/>
      <c r="I493" s="376"/>
      <c r="J493" s="375"/>
      <c r="K493" s="375"/>
      <c r="L493" s="382" t="str">
        <f t="shared" si="20"/>
        <v/>
      </c>
    </row>
    <row r="494" spans="2:12" x14ac:dyDescent="0.45">
      <c r="B494" s="380">
        <v>5</v>
      </c>
      <c r="C494" s="374"/>
      <c r="D494" s="375" t="s">
        <v>515</v>
      </c>
      <c r="E494" s="375"/>
      <c r="F494" s="375"/>
      <c r="G494" s="375"/>
      <c r="H494" s="376"/>
      <c r="I494" s="376"/>
      <c r="J494" s="375"/>
      <c r="K494" s="375"/>
      <c r="L494" s="382" t="str">
        <f t="shared" si="20"/>
        <v/>
      </c>
    </row>
    <row r="495" spans="2:12" x14ac:dyDescent="0.45">
      <c r="B495" s="380">
        <v>6</v>
      </c>
      <c r="C495" s="374"/>
      <c r="D495" s="375" t="s">
        <v>515</v>
      </c>
      <c r="E495" s="375"/>
      <c r="F495" s="375"/>
      <c r="G495" s="375"/>
      <c r="H495" s="376"/>
      <c r="I495" s="376"/>
      <c r="J495" s="375"/>
      <c r="K495" s="375"/>
      <c r="L495" s="382" t="str">
        <f t="shared" si="20"/>
        <v/>
      </c>
    </row>
    <row r="496" spans="2:12" x14ac:dyDescent="0.45">
      <c r="B496" s="380">
        <v>7</v>
      </c>
      <c r="C496" s="374"/>
      <c r="D496" s="375" t="s">
        <v>515</v>
      </c>
      <c r="E496" s="375"/>
      <c r="F496" s="375"/>
      <c r="G496" s="375"/>
      <c r="H496" s="376"/>
      <c r="I496" s="376"/>
      <c r="J496" s="375"/>
      <c r="K496" s="375"/>
      <c r="L496" s="382" t="str">
        <f t="shared" si="20"/>
        <v/>
      </c>
    </row>
    <row r="497" spans="2:12" x14ac:dyDescent="0.45">
      <c r="B497" s="380">
        <v>8</v>
      </c>
      <c r="C497" s="374"/>
      <c r="D497" s="375" t="s">
        <v>515</v>
      </c>
      <c r="E497" s="375"/>
      <c r="F497" s="375"/>
      <c r="G497" s="375"/>
      <c r="H497" s="376"/>
      <c r="I497" s="376"/>
      <c r="J497" s="375"/>
      <c r="K497" s="375"/>
      <c r="L497" s="382" t="str">
        <f t="shared" si="20"/>
        <v/>
      </c>
    </row>
    <row r="498" spans="2:12" x14ac:dyDescent="0.45">
      <c r="B498" s="380">
        <v>9</v>
      </c>
      <c r="C498" s="374"/>
      <c r="D498" s="375" t="s">
        <v>515</v>
      </c>
      <c r="E498" s="375"/>
      <c r="F498" s="375"/>
      <c r="G498" s="375"/>
      <c r="H498" s="376"/>
      <c r="I498" s="376"/>
      <c r="J498" s="375"/>
      <c r="K498" s="375"/>
      <c r="L498" s="382" t="str">
        <f t="shared" si="20"/>
        <v/>
      </c>
    </row>
    <row r="499" spans="2:12" x14ac:dyDescent="0.45">
      <c r="B499" s="380">
        <v>10</v>
      </c>
      <c r="C499" s="374"/>
      <c r="D499" s="375" t="s">
        <v>515</v>
      </c>
      <c r="E499" s="375"/>
      <c r="F499" s="375"/>
      <c r="G499" s="375"/>
      <c r="H499" s="376"/>
      <c r="I499" s="376"/>
      <c r="J499" s="375"/>
      <c r="K499" s="375"/>
      <c r="L499" s="382" t="str">
        <f t="shared" si="20"/>
        <v/>
      </c>
    </row>
    <row r="500" spans="2:12" x14ac:dyDescent="0.45">
      <c r="B500" s="380">
        <v>11</v>
      </c>
      <c r="C500" s="374"/>
      <c r="D500" s="375" t="s">
        <v>515</v>
      </c>
      <c r="E500" s="375"/>
      <c r="F500" s="375"/>
      <c r="G500" s="375"/>
      <c r="H500" s="376"/>
      <c r="I500" s="376"/>
      <c r="J500" s="375"/>
      <c r="K500" s="375"/>
      <c r="L500" s="382" t="str">
        <f t="shared" si="20"/>
        <v/>
      </c>
    </row>
    <row r="501" spans="2:12" x14ac:dyDescent="0.45">
      <c r="B501" s="380" t="s">
        <v>335</v>
      </c>
      <c r="C501" s="374"/>
      <c r="D501" s="375" t="s">
        <v>517</v>
      </c>
      <c r="E501" s="375"/>
      <c r="F501" s="375"/>
      <c r="G501" s="375"/>
      <c r="H501" s="376"/>
      <c r="I501" s="376"/>
      <c r="J501" s="375"/>
      <c r="K501" s="375"/>
      <c r="L501" s="382" t="str">
        <f t="shared" si="20"/>
        <v/>
      </c>
    </row>
    <row r="502" spans="2:12" x14ac:dyDescent="0.45">
      <c r="B502" s="380" t="s">
        <v>336</v>
      </c>
      <c r="C502" s="374"/>
      <c r="D502" s="375" t="s">
        <v>517</v>
      </c>
      <c r="E502" s="375"/>
      <c r="F502" s="375"/>
      <c r="G502" s="375"/>
      <c r="H502" s="376"/>
      <c r="I502" s="376"/>
      <c r="J502" s="375"/>
      <c r="K502" s="375"/>
      <c r="L502" s="382" t="str">
        <f t="shared" si="20"/>
        <v/>
      </c>
    </row>
    <row r="503" spans="2:12" x14ac:dyDescent="0.45">
      <c r="B503" s="380" t="s">
        <v>337</v>
      </c>
      <c r="C503" s="374"/>
      <c r="D503" s="375" t="s">
        <v>517</v>
      </c>
      <c r="E503" s="375"/>
      <c r="F503" s="375"/>
      <c r="G503" s="375"/>
      <c r="H503" s="376"/>
      <c r="I503" s="376"/>
      <c r="J503" s="375"/>
      <c r="K503" s="375"/>
      <c r="L503" s="382" t="str">
        <f t="shared" si="20"/>
        <v/>
      </c>
    </row>
    <row r="504" spans="2:12" x14ac:dyDescent="0.45">
      <c r="B504" s="380" t="s">
        <v>338</v>
      </c>
      <c r="C504" s="374"/>
      <c r="D504" s="375" t="s">
        <v>517</v>
      </c>
      <c r="E504" s="375"/>
      <c r="F504" s="375"/>
      <c r="G504" s="375"/>
      <c r="H504" s="376"/>
      <c r="I504" s="376"/>
      <c r="J504" s="375"/>
      <c r="K504" s="375"/>
      <c r="L504" s="382" t="str">
        <f t="shared" si="20"/>
        <v/>
      </c>
    </row>
    <row r="505" spans="2:12" x14ac:dyDescent="0.45">
      <c r="B505" s="380" t="s">
        <v>339</v>
      </c>
      <c r="C505" s="374"/>
      <c r="D505" s="375" t="s">
        <v>517</v>
      </c>
      <c r="E505" s="375"/>
      <c r="F505" s="375"/>
      <c r="G505" s="375"/>
      <c r="H505" s="376"/>
      <c r="I505" s="376"/>
      <c r="J505" s="375"/>
      <c r="K505" s="375"/>
      <c r="L505" s="382" t="str">
        <f t="shared" si="20"/>
        <v/>
      </c>
    </row>
    <row r="506" spans="2:12" x14ac:dyDescent="0.45">
      <c r="B506" s="380" t="s">
        <v>340</v>
      </c>
      <c r="C506" s="374"/>
      <c r="D506" s="375" t="s">
        <v>517</v>
      </c>
      <c r="E506" s="375"/>
      <c r="F506" s="375"/>
      <c r="G506" s="375"/>
      <c r="H506" s="376"/>
      <c r="I506" s="376"/>
      <c r="J506" s="375"/>
      <c r="K506" s="375"/>
      <c r="L506" s="382" t="str">
        <f t="shared" si="20"/>
        <v/>
      </c>
    </row>
    <row r="507" spans="2:12" x14ac:dyDescent="0.45">
      <c r="B507" s="381" t="s">
        <v>341</v>
      </c>
      <c r="C507" s="377"/>
      <c r="D507" s="378" t="s">
        <v>517</v>
      </c>
      <c r="E507" s="378"/>
      <c r="F507" s="378"/>
      <c r="G507" s="378"/>
      <c r="H507" s="379"/>
      <c r="I507" s="379"/>
      <c r="J507" s="378"/>
      <c r="K507" s="378"/>
      <c r="L507" s="383" t="str">
        <f t="shared" si="20"/>
        <v/>
      </c>
    </row>
    <row r="508" spans="2:12" ht="14.65" thickBot="1" x14ac:dyDescent="0.5">
      <c r="B508" s="388" t="s">
        <v>529</v>
      </c>
      <c r="C508" s="384" t="str">
        <f>COUNTIFS($C$490:$C$507,"&lt;&gt;",$D$490:$D$507,"&lt;&gt;Sub - unused")&amp;" played"</f>
        <v>0 played</v>
      </c>
      <c r="D508" s="384"/>
      <c r="E508" s="384"/>
      <c r="F508" s="384"/>
      <c r="G508" s="384">
        <f>SUM($G$490:$G$507)</f>
        <v>0</v>
      </c>
      <c r="H508" s="384">
        <f>SUM($H$490:$H$507)</f>
        <v>0</v>
      </c>
      <c r="I508" s="387" t="str">
        <f>IFERROR(AVERAGEIFS($I$490:$I$507,$I$490:$I$507,"&gt;0",$D$490:$D$507,"&lt;&gt;Sub - unused"),"")</f>
        <v/>
      </c>
      <c r="J508" s="384">
        <f>SUM($J$490:$J$507)</f>
        <v>0</v>
      </c>
      <c r="K508" s="384">
        <f>SUM($K$490:$K$507)</f>
        <v>0</v>
      </c>
      <c r="L508" s="384"/>
    </row>
    <row r="509" spans="2:12" ht="28.05" customHeight="1" thickTop="1" x14ac:dyDescent="0.45">
      <c r="B509" s="389" t="s">
        <v>342</v>
      </c>
      <c r="C509" s="507"/>
      <c r="D509" s="508"/>
      <c r="E509" s="508"/>
      <c r="F509" s="508"/>
      <c r="G509" s="508"/>
      <c r="H509" s="508"/>
      <c r="I509" s="508"/>
      <c r="J509" s="508"/>
      <c r="K509" s="508"/>
      <c r="L509" s="509"/>
    </row>
    <row r="510" spans="2:12" ht="28.05" customHeight="1" x14ac:dyDescent="0.45">
      <c r="B510" s="390" t="s">
        <v>530</v>
      </c>
      <c r="C510" s="510"/>
      <c r="D510" s="511"/>
      <c r="E510" s="511"/>
      <c r="F510" s="511"/>
      <c r="G510" s="511"/>
      <c r="H510" s="511"/>
      <c r="I510" s="511"/>
      <c r="J510" s="511"/>
      <c r="K510" s="511"/>
      <c r="L510" s="512"/>
    </row>
    <row r="512" spans="2:12" x14ac:dyDescent="0.45">
      <c r="B512" s="515" t="s">
        <v>546</v>
      </c>
      <c r="C512" s="515"/>
      <c r="D512" s="515"/>
      <c r="E512" s="515"/>
      <c r="F512" s="515"/>
      <c r="G512" s="515"/>
      <c r="H512" s="515"/>
      <c r="I512" s="515"/>
      <c r="J512" s="515"/>
      <c r="K512" s="515"/>
      <c r="L512" s="515"/>
    </row>
    <row r="513" spans="2:12" x14ac:dyDescent="0.45">
      <c r="B513" s="367" t="s">
        <v>301</v>
      </c>
      <c r="C513" s="367" t="s">
        <v>343</v>
      </c>
      <c r="D513" s="367" t="s">
        <v>344</v>
      </c>
      <c r="E513" s="367" t="s">
        <v>302</v>
      </c>
      <c r="F513" s="367" t="s">
        <v>303</v>
      </c>
      <c r="G513" s="367" t="s">
        <v>304</v>
      </c>
      <c r="H513" s="367" t="s">
        <v>346</v>
      </c>
    </row>
    <row r="514" spans="2:12" x14ac:dyDescent="0.45">
      <c r="B514" s="369"/>
      <c r="C514" s="370"/>
      <c r="D514" s="370"/>
      <c r="E514" s="370"/>
      <c r="F514" s="370"/>
      <c r="G514" s="371" t="str">
        <f>IF(OR($E$514="",$F$514=""),"",IF($E$514&gt;$F$514,"Win",IF($E$514=$F$514,"Draw","Loss")))</f>
        <v/>
      </c>
      <c r="H514" s="370"/>
    </row>
    <row r="515" spans="2:12" x14ac:dyDescent="0.45">
      <c r="B515" s="372" t="s">
        <v>520</v>
      </c>
      <c r="C515" s="368" t="str">
        <f>IF($F$514="","",IF($F$514=0,"Yes","No"))</f>
        <v/>
      </c>
      <c r="D515" s="372" t="s">
        <v>521</v>
      </c>
      <c r="E515" s="368">
        <f>SUM($G$517:$G$534)</f>
        <v>0</v>
      </c>
      <c r="F515" s="372" t="s">
        <v>522</v>
      </c>
      <c r="G515" s="368" t="str">
        <f>IF(OR($E$514="",$E$515=0),"",IF($E$515=$E$514,"OK","does not match GF"))</f>
        <v/>
      </c>
    </row>
    <row r="516" spans="2:12" x14ac:dyDescent="0.45">
      <c r="B516" s="373" t="s">
        <v>153</v>
      </c>
      <c r="C516" s="373" t="s">
        <v>18</v>
      </c>
      <c r="D516" s="373" t="s">
        <v>316</v>
      </c>
      <c r="E516" s="373" t="s">
        <v>217</v>
      </c>
      <c r="F516" s="373" t="s">
        <v>523</v>
      </c>
      <c r="G516" s="373" t="s">
        <v>524</v>
      </c>
      <c r="H516" s="373" t="s">
        <v>525</v>
      </c>
      <c r="I516" s="373" t="s">
        <v>155</v>
      </c>
      <c r="J516" s="373" t="s">
        <v>526</v>
      </c>
      <c r="K516" s="373" t="s">
        <v>527</v>
      </c>
      <c r="L516" s="373" t="s">
        <v>528</v>
      </c>
    </row>
    <row r="517" spans="2:12" x14ac:dyDescent="0.45">
      <c r="B517" s="380">
        <v>1</v>
      </c>
      <c r="C517" s="374"/>
      <c r="D517" s="375" t="s">
        <v>515</v>
      </c>
      <c r="E517" s="375"/>
      <c r="F517" s="375"/>
      <c r="G517" s="375"/>
      <c r="H517" s="376"/>
      <c r="I517" s="376"/>
      <c r="J517" s="375"/>
      <c r="K517" s="375"/>
      <c r="L517" s="382" t="str">
        <f>IF(OR($C517="",$E517&lt;&gt;"GK",$D517="Sub - unused",$F$514=""),"",IF($F$514=0,"Yes","No"))</f>
        <v/>
      </c>
    </row>
    <row r="518" spans="2:12" x14ac:dyDescent="0.45">
      <c r="B518" s="380">
        <v>2</v>
      </c>
      <c r="C518" s="374"/>
      <c r="D518" s="375" t="s">
        <v>515</v>
      </c>
      <c r="E518" s="375"/>
      <c r="F518" s="375"/>
      <c r="G518" s="375"/>
      <c r="H518" s="376"/>
      <c r="I518" s="376"/>
      <c r="J518" s="375"/>
      <c r="K518" s="375"/>
      <c r="L518" s="382" t="str">
        <f t="shared" ref="L518:L534" si="21">IF(OR($C518="",$E518&lt;&gt;"GK",$D518="Sub - unused",$F$514=""),"",IF($F$514=0,"Yes","No"))</f>
        <v/>
      </c>
    </row>
    <row r="519" spans="2:12" x14ac:dyDescent="0.45">
      <c r="B519" s="380">
        <v>3</v>
      </c>
      <c r="C519" s="374"/>
      <c r="D519" s="375" t="s">
        <v>515</v>
      </c>
      <c r="E519" s="375"/>
      <c r="F519" s="375"/>
      <c r="G519" s="375"/>
      <c r="H519" s="376"/>
      <c r="I519" s="376"/>
      <c r="J519" s="375"/>
      <c r="K519" s="375"/>
      <c r="L519" s="382" t="str">
        <f t="shared" si="21"/>
        <v/>
      </c>
    </row>
    <row r="520" spans="2:12" x14ac:dyDescent="0.45">
      <c r="B520" s="380">
        <v>4</v>
      </c>
      <c r="C520" s="374"/>
      <c r="D520" s="375" t="s">
        <v>515</v>
      </c>
      <c r="E520" s="375"/>
      <c r="F520" s="375"/>
      <c r="G520" s="375"/>
      <c r="H520" s="376"/>
      <c r="I520" s="376"/>
      <c r="J520" s="375"/>
      <c r="K520" s="375"/>
      <c r="L520" s="382" t="str">
        <f t="shared" si="21"/>
        <v/>
      </c>
    </row>
    <row r="521" spans="2:12" x14ac:dyDescent="0.45">
      <c r="B521" s="380">
        <v>5</v>
      </c>
      <c r="C521" s="374"/>
      <c r="D521" s="375" t="s">
        <v>515</v>
      </c>
      <c r="E521" s="375"/>
      <c r="F521" s="375"/>
      <c r="G521" s="375"/>
      <c r="H521" s="376"/>
      <c r="I521" s="376"/>
      <c r="J521" s="375"/>
      <c r="K521" s="375"/>
      <c r="L521" s="382" t="str">
        <f t="shared" si="21"/>
        <v/>
      </c>
    </row>
    <row r="522" spans="2:12" x14ac:dyDescent="0.45">
      <c r="B522" s="380">
        <v>6</v>
      </c>
      <c r="C522" s="374"/>
      <c r="D522" s="375" t="s">
        <v>515</v>
      </c>
      <c r="E522" s="375"/>
      <c r="F522" s="375"/>
      <c r="G522" s="375"/>
      <c r="H522" s="376"/>
      <c r="I522" s="376"/>
      <c r="J522" s="375"/>
      <c r="K522" s="375"/>
      <c r="L522" s="382" t="str">
        <f t="shared" si="21"/>
        <v/>
      </c>
    </row>
    <row r="523" spans="2:12" x14ac:dyDescent="0.45">
      <c r="B523" s="380">
        <v>7</v>
      </c>
      <c r="C523" s="374"/>
      <c r="D523" s="375" t="s">
        <v>515</v>
      </c>
      <c r="E523" s="375"/>
      <c r="F523" s="375"/>
      <c r="G523" s="375"/>
      <c r="H523" s="376"/>
      <c r="I523" s="376"/>
      <c r="J523" s="375"/>
      <c r="K523" s="375"/>
      <c r="L523" s="382" t="str">
        <f t="shared" si="21"/>
        <v/>
      </c>
    </row>
    <row r="524" spans="2:12" x14ac:dyDescent="0.45">
      <c r="B524" s="380">
        <v>8</v>
      </c>
      <c r="C524" s="374"/>
      <c r="D524" s="375" t="s">
        <v>515</v>
      </c>
      <c r="E524" s="375"/>
      <c r="F524" s="375"/>
      <c r="G524" s="375"/>
      <c r="H524" s="376"/>
      <c r="I524" s="376"/>
      <c r="J524" s="375"/>
      <c r="K524" s="375"/>
      <c r="L524" s="382" t="str">
        <f t="shared" si="21"/>
        <v/>
      </c>
    </row>
    <row r="525" spans="2:12" x14ac:dyDescent="0.45">
      <c r="B525" s="380">
        <v>9</v>
      </c>
      <c r="C525" s="374"/>
      <c r="D525" s="375" t="s">
        <v>515</v>
      </c>
      <c r="E525" s="375"/>
      <c r="F525" s="375"/>
      <c r="G525" s="375"/>
      <c r="H525" s="376"/>
      <c r="I525" s="376"/>
      <c r="J525" s="375"/>
      <c r="K525" s="375"/>
      <c r="L525" s="382" t="str">
        <f t="shared" si="21"/>
        <v/>
      </c>
    </row>
    <row r="526" spans="2:12" x14ac:dyDescent="0.45">
      <c r="B526" s="380">
        <v>10</v>
      </c>
      <c r="C526" s="374"/>
      <c r="D526" s="375" t="s">
        <v>515</v>
      </c>
      <c r="E526" s="375"/>
      <c r="F526" s="375"/>
      <c r="G526" s="375"/>
      <c r="H526" s="376"/>
      <c r="I526" s="376"/>
      <c r="J526" s="375"/>
      <c r="K526" s="375"/>
      <c r="L526" s="382" t="str">
        <f t="shared" si="21"/>
        <v/>
      </c>
    </row>
    <row r="527" spans="2:12" x14ac:dyDescent="0.45">
      <c r="B527" s="380">
        <v>11</v>
      </c>
      <c r="C527" s="374"/>
      <c r="D527" s="375" t="s">
        <v>515</v>
      </c>
      <c r="E527" s="375"/>
      <c r="F527" s="375"/>
      <c r="G527" s="375"/>
      <c r="H527" s="376"/>
      <c r="I527" s="376"/>
      <c r="J527" s="375"/>
      <c r="K527" s="375"/>
      <c r="L527" s="382" t="str">
        <f t="shared" si="21"/>
        <v/>
      </c>
    </row>
    <row r="528" spans="2:12" x14ac:dyDescent="0.45">
      <c r="B528" s="380" t="s">
        <v>335</v>
      </c>
      <c r="C528" s="374"/>
      <c r="D528" s="375" t="s">
        <v>517</v>
      </c>
      <c r="E528" s="375"/>
      <c r="F528" s="375"/>
      <c r="G528" s="375"/>
      <c r="H528" s="376"/>
      <c r="I528" s="376"/>
      <c r="J528" s="375"/>
      <c r="K528" s="375"/>
      <c r="L528" s="382" t="str">
        <f t="shared" si="21"/>
        <v/>
      </c>
    </row>
    <row r="529" spans="2:12" x14ac:dyDescent="0.45">
      <c r="B529" s="380" t="s">
        <v>336</v>
      </c>
      <c r="C529" s="374"/>
      <c r="D529" s="375" t="s">
        <v>517</v>
      </c>
      <c r="E529" s="375"/>
      <c r="F529" s="375"/>
      <c r="G529" s="375"/>
      <c r="H529" s="376"/>
      <c r="I529" s="376"/>
      <c r="J529" s="375"/>
      <c r="K529" s="375"/>
      <c r="L529" s="382" t="str">
        <f t="shared" si="21"/>
        <v/>
      </c>
    </row>
    <row r="530" spans="2:12" x14ac:dyDescent="0.45">
      <c r="B530" s="380" t="s">
        <v>337</v>
      </c>
      <c r="C530" s="374"/>
      <c r="D530" s="375" t="s">
        <v>517</v>
      </c>
      <c r="E530" s="375"/>
      <c r="F530" s="375"/>
      <c r="G530" s="375"/>
      <c r="H530" s="376"/>
      <c r="I530" s="376"/>
      <c r="J530" s="375"/>
      <c r="K530" s="375"/>
      <c r="L530" s="382" t="str">
        <f t="shared" si="21"/>
        <v/>
      </c>
    </row>
    <row r="531" spans="2:12" x14ac:dyDescent="0.45">
      <c r="B531" s="380" t="s">
        <v>338</v>
      </c>
      <c r="C531" s="374"/>
      <c r="D531" s="375" t="s">
        <v>517</v>
      </c>
      <c r="E531" s="375"/>
      <c r="F531" s="375"/>
      <c r="G531" s="375"/>
      <c r="H531" s="376"/>
      <c r="I531" s="376"/>
      <c r="J531" s="375"/>
      <c r="K531" s="375"/>
      <c r="L531" s="382" t="str">
        <f t="shared" si="21"/>
        <v/>
      </c>
    </row>
    <row r="532" spans="2:12" x14ac:dyDescent="0.45">
      <c r="B532" s="380" t="s">
        <v>339</v>
      </c>
      <c r="C532" s="374"/>
      <c r="D532" s="375" t="s">
        <v>517</v>
      </c>
      <c r="E532" s="375"/>
      <c r="F532" s="375"/>
      <c r="G532" s="375"/>
      <c r="H532" s="376"/>
      <c r="I532" s="376"/>
      <c r="J532" s="375"/>
      <c r="K532" s="375"/>
      <c r="L532" s="382" t="str">
        <f t="shared" si="21"/>
        <v/>
      </c>
    </row>
    <row r="533" spans="2:12" x14ac:dyDescent="0.45">
      <c r="B533" s="380" t="s">
        <v>340</v>
      </c>
      <c r="C533" s="374"/>
      <c r="D533" s="375" t="s">
        <v>517</v>
      </c>
      <c r="E533" s="375"/>
      <c r="F533" s="375"/>
      <c r="G533" s="375"/>
      <c r="H533" s="376"/>
      <c r="I533" s="376"/>
      <c r="J533" s="375"/>
      <c r="K533" s="375"/>
      <c r="L533" s="382" t="str">
        <f t="shared" si="21"/>
        <v/>
      </c>
    </row>
    <row r="534" spans="2:12" x14ac:dyDescent="0.45">
      <c r="B534" s="381" t="s">
        <v>341</v>
      </c>
      <c r="C534" s="377"/>
      <c r="D534" s="378" t="s">
        <v>517</v>
      </c>
      <c r="E534" s="378"/>
      <c r="F534" s="378"/>
      <c r="G534" s="378"/>
      <c r="H534" s="379"/>
      <c r="I534" s="379"/>
      <c r="J534" s="378"/>
      <c r="K534" s="378"/>
      <c r="L534" s="383" t="str">
        <f t="shared" si="21"/>
        <v/>
      </c>
    </row>
    <row r="535" spans="2:12" ht="14.65" thickBot="1" x14ac:dyDescent="0.5">
      <c r="B535" s="388" t="s">
        <v>529</v>
      </c>
      <c r="C535" s="384" t="str">
        <f>COUNTIFS($C$517:$C$534,"&lt;&gt;",$D$517:$D$534,"&lt;&gt;Sub - unused")&amp;" played"</f>
        <v>0 played</v>
      </c>
      <c r="D535" s="384"/>
      <c r="E535" s="384"/>
      <c r="F535" s="384"/>
      <c r="G535" s="384">
        <f>SUM($G$517:$G$534)</f>
        <v>0</v>
      </c>
      <c r="H535" s="384">
        <f>SUM($H$517:$H$534)</f>
        <v>0</v>
      </c>
      <c r="I535" s="387" t="str">
        <f>IFERROR(AVERAGEIFS($I$517:$I$534,$I$517:$I$534,"&gt;0",$D$517:$D$534,"&lt;&gt;Sub - unused"),"")</f>
        <v/>
      </c>
      <c r="J535" s="384">
        <f>SUM($J$517:$J$534)</f>
        <v>0</v>
      </c>
      <c r="K535" s="384">
        <f>SUM($K$517:$K$534)</f>
        <v>0</v>
      </c>
      <c r="L535" s="384"/>
    </row>
    <row r="536" spans="2:12" ht="28.05" customHeight="1" thickTop="1" x14ac:dyDescent="0.45">
      <c r="B536" s="389" t="s">
        <v>342</v>
      </c>
      <c r="C536" s="507"/>
      <c r="D536" s="508"/>
      <c r="E536" s="508"/>
      <c r="F536" s="508"/>
      <c r="G536" s="508"/>
      <c r="H536" s="508"/>
      <c r="I536" s="508"/>
      <c r="J536" s="508"/>
      <c r="K536" s="508"/>
      <c r="L536" s="509"/>
    </row>
    <row r="537" spans="2:12" ht="28.05" customHeight="1" x14ac:dyDescent="0.45">
      <c r="B537" s="390" t="s">
        <v>530</v>
      </c>
      <c r="C537" s="510"/>
      <c r="D537" s="511"/>
      <c r="E537" s="511"/>
      <c r="F537" s="511"/>
      <c r="G537" s="511"/>
      <c r="H537" s="511"/>
      <c r="I537" s="511"/>
      <c r="J537" s="511"/>
      <c r="K537" s="511"/>
      <c r="L537" s="512"/>
    </row>
    <row r="539" spans="2:12" x14ac:dyDescent="0.45">
      <c r="B539" s="515" t="s">
        <v>547</v>
      </c>
      <c r="C539" s="515"/>
      <c r="D539" s="515"/>
      <c r="E539" s="515"/>
      <c r="F539" s="515"/>
      <c r="G539" s="515"/>
      <c r="H539" s="515"/>
      <c r="I539" s="515"/>
      <c r="J539" s="515"/>
      <c r="K539" s="515"/>
      <c r="L539" s="515"/>
    </row>
    <row r="540" spans="2:12" x14ac:dyDescent="0.45">
      <c r="B540" s="367" t="s">
        <v>301</v>
      </c>
      <c r="C540" s="367" t="s">
        <v>343</v>
      </c>
      <c r="D540" s="367" t="s">
        <v>344</v>
      </c>
      <c r="E540" s="367" t="s">
        <v>302</v>
      </c>
      <c r="F540" s="367" t="s">
        <v>303</v>
      </c>
      <c r="G540" s="367" t="s">
        <v>304</v>
      </c>
      <c r="H540" s="367" t="s">
        <v>346</v>
      </c>
    </row>
    <row r="541" spans="2:12" x14ac:dyDescent="0.45">
      <c r="B541" s="369"/>
      <c r="C541" s="370"/>
      <c r="D541" s="370"/>
      <c r="E541" s="370"/>
      <c r="F541" s="370"/>
      <c r="G541" s="371" t="str">
        <f>IF(OR($E$541="",$F$541=""),"",IF($E$541&gt;$F$541,"Win",IF($E$541=$F$541,"Draw","Loss")))</f>
        <v/>
      </c>
      <c r="H541" s="370"/>
    </row>
    <row r="542" spans="2:12" x14ac:dyDescent="0.45">
      <c r="B542" s="372" t="s">
        <v>520</v>
      </c>
      <c r="C542" s="368" t="str">
        <f>IF($F$541="","",IF($F$541=0,"Yes","No"))</f>
        <v/>
      </c>
      <c r="D542" s="372" t="s">
        <v>521</v>
      </c>
      <c r="E542" s="368">
        <f>SUM($G$544:$G$561)</f>
        <v>0</v>
      </c>
      <c r="F542" s="372" t="s">
        <v>522</v>
      </c>
      <c r="G542" s="368" t="str">
        <f>IF(OR($E$541="",$E$542=0),"",IF($E$542=$E$541,"OK","does not match GF"))</f>
        <v/>
      </c>
    </row>
    <row r="543" spans="2:12" x14ac:dyDescent="0.45">
      <c r="B543" s="373" t="s">
        <v>153</v>
      </c>
      <c r="C543" s="373" t="s">
        <v>18</v>
      </c>
      <c r="D543" s="373" t="s">
        <v>316</v>
      </c>
      <c r="E543" s="373" t="s">
        <v>217</v>
      </c>
      <c r="F543" s="373" t="s">
        <v>523</v>
      </c>
      <c r="G543" s="373" t="s">
        <v>524</v>
      </c>
      <c r="H543" s="373" t="s">
        <v>525</v>
      </c>
      <c r="I543" s="373" t="s">
        <v>155</v>
      </c>
      <c r="J543" s="373" t="s">
        <v>526</v>
      </c>
      <c r="K543" s="373" t="s">
        <v>527</v>
      </c>
      <c r="L543" s="373" t="s">
        <v>528</v>
      </c>
    </row>
    <row r="544" spans="2:12" x14ac:dyDescent="0.45">
      <c r="B544" s="380">
        <v>1</v>
      </c>
      <c r="C544" s="374"/>
      <c r="D544" s="375" t="s">
        <v>515</v>
      </c>
      <c r="E544" s="375"/>
      <c r="F544" s="375"/>
      <c r="G544" s="375"/>
      <c r="H544" s="376"/>
      <c r="I544" s="376"/>
      <c r="J544" s="375"/>
      <c r="K544" s="375"/>
      <c r="L544" s="382" t="str">
        <f>IF(OR($C544="",$E544&lt;&gt;"GK",$D544="Sub - unused",$F$541=""),"",IF($F$541=0,"Yes","No"))</f>
        <v/>
      </c>
    </row>
    <row r="545" spans="2:12" x14ac:dyDescent="0.45">
      <c r="B545" s="380">
        <v>2</v>
      </c>
      <c r="C545" s="374"/>
      <c r="D545" s="375" t="s">
        <v>515</v>
      </c>
      <c r="E545" s="375"/>
      <c r="F545" s="375"/>
      <c r="G545" s="375"/>
      <c r="H545" s="376"/>
      <c r="I545" s="376"/>
      <c r="J545" s="375"/>
      <c r="K545" s="375"/>
      <c r="L545" s="382" t="str">
        <f t="shared" ref="L545:L561" si="22">IF(OR($C545="",$E545&lt;&gt;"GK",$D545="Sub - unused",$F$541=""),"",IF($F$541=0,"Yes","No"))</f>
        <v/>
      </c>
    </row>
    <row r="546" spans="2:12" x14ac:dyDescent="0.45">
      <c r="B546" s="380">
        <v>3</v>
      </c>
      <c r="C546" s="374"/>
      <c r="D546" s="375" t="s">
        <v>515</v>
      </c>
      <c r="E546" s="375"/>
      <c r="F546" s="375"/>
      <c r="G546" s="375"/>
      <c r="H546" s="376"/>
      <c r="I546" s="376"/>
      <c r="J546" s="375"/>
      <c r="K546" s="375"/>
      <c r="L546" s="382" t="str">
        <f t="shared" si="22"/>
        <v/>
      </c>
    </row>
    <row r="547" spans="2:12" x14ac:dyDescent="0.45">
      <c r="B547" s="380">
        <v>4</v>
      </c>
      <c r="C547" s="374"/>
      <c r="D547" s="375" t="s">
        <v>515</v>
      </c>
      <c r="E547" s="375"/>
      <c r="F547" s="375"/>
      <c r="G547" s="375"/>
      <c r="H547" s="376"/>
      <c r="I547" s="376"/>
      <c r="J547" s="375"/>
      <c r="K547" s="375"/>
      <c r="L547" s="382" t="str">
        <f t="shared" si="22"/>
        <v/>
      </c>
    </row>
    <row r="548" spans="2:12" x14ac:dyDescent="0.45">
      <c r="B548" s="380">
        <v>5</v>
      </c>
      <c r="C548" s="374"/>
      <c r="D548" s="375" t="s">
        <v>515</v>
      </c>
      <c r="E548" s="375"/>
      <c r="F548" s="375"/>
      <c r="G548" s="375"/>
      <c r="H548" s="376"/>
      <c r="I548" s="376"/>
      <c r="J548" s="375"/>
      <c r="K548" s="375"/>
      <c r="L548" s="382" t="str">
        <f t="shared" si="22"/>
        <v/>
      </c>
    </row>
    <row r="549" spans="2:12" x14ac:dyDescent="0.45">
      <c r="B549" s="380">
        <v>6</v>
      </c>
      <c r="C549" s="374"/>
      <c r="D549" s="375" t="s">
        <v>515</v>
      </c>
      <c r="E549" s="375"/>
      <c r="F549" s="375"/>
      <c r="G549" s="375"/>
      <c r="H549" s="376"/>
      <c r="I549" s="376"/>
      <c r="J549" s="375"/>
      <c r="K549" s="375"/>
      <c r="L549" s="382" t="str">
        <f t="shared" si="22"/>
        <v/>
      </c>
    </row>
    <row r="550" spans="2:12" x14ac:dyDescent="0.45">
      <c r="B550" s="380">
        <v>7</v>
      </c>
      <c r="C550" s="374"/>
      <c r="D550" s="375" t="s">
        <v>515</v>
      </c>
      <c r="E550" s="375"/>
      <c r="F550" s="375"/>
      <c r="G550" s="375"/>
      <c r="H550" s="376"/>
      <c r="I550" s="376"/>
      <c r="J550" s="375"/>
      <c r="K550" s="375"/>
      <c r="L550" s="382" t="str">
        <f t="shared" si="22"/>
        <v/>
      </c>
    </row>
    <row r="551" spans="2:12" x14ac:dyDescent="0.45">
      <c r="B551" s="380">
        <v>8</v>
      </c>
      <c r="C551" s="374"/>
      <c r="D551" s="375" t="s">
        <v>515</v>
      </c>
      <c r="E551" s="375"/>
      <c r="F551" s="375"/>
      <c r="G551" s="375"/>
      <c r="H551" s="376"/>
      <c r="I551" s="376"/>
      <c r="J551" s="375"/>
      <c r="K551" s="375"/>
      <c r="L551" s="382" t="str">
        <f t="shared" si="22"/>
        <v/>
      </c>
    </row>
    <row r="552" spans="2:12" x14ac:dyDescent="0.45">
      <c r="B552" s="380">
        <v>9</v>
      </c>
      <c r="C552" s="374"/>
      <c r="D552" s="375" t="s">
        <v>515</v>
      </c>
      <c r="E552" s="375"/>
      <c r="F552" s="375"/>
      <c r="G552" s="375"/>
      <c r="H552" s="376"/>
      <c r="I552" s="376"/>
      <c r="J552" s="375"/>
      <c r="K552" s="375"/>
      <c r="L552" s="382" t="str">
        <f t="shared" si="22"/>
        <v/>
      </c>
    </row>
    <row r="553" spans="2:12" x14ac:dyDescent="0.45">
      <c r="B553" s="380">
        <v>10</v>
      </c>
      <c r="C553" s="374"/>
      <c r="D553" s="375" t="s">
        <v>515</v>
      </c>
      <c r="E553" s="375"/>
      <c r="F553" s="375"/>
      <c r="G553" s="375"/>
      <c r="H553" s="376"/>
      <c r="I553" s="376"/>
      <c r="J553" s="375"/>
      <c r="K553" s="375"/>
      <c r="L553" s="382" t="str">
        <f t="shared" si="22"/>
        <v/>
      </c>
    </row>
    <row r="554" spans="2:12" x14ac:dyDescent="0.45">
      <c r="B554" s="380">
        <v>11</v>
      </c>
      <c r="C554" s="374"/>
      <c r="D554" s="375" t="s">
        <v>515</v>
      </c>
      <c r="E554" s="375"/>
      <c r="F554" s="375"/>
      <c r="G554" s="375"/>
      <c r="H554" s="376"/>
      <c r="I554" s="376"/>
      <c r="J554" s="375"/>
      <c r="K554" s="375"/>
      <c r="L554" s="382" t="str">
        <f t="shared" si="22"/>
        <v/>
      </c>
    </row>
    <row r="555" spans="2:12" x14ac:dyDescent="0.45">
      <c r="B555" s="380" t="s">
        <v>335</v>
      </c>
      <c r="C555" s="374"/>
      <c r="D555" s="375" t="s">
        <v>517</v>
      </c>
      <c r="E555" s="375"/>
      <c r="F555" s="375"/>
      <c r="G555" s="375"/>
      <c r="H555" s="376"/>
      <c r="I555" s="376"/>
      <c r="J555" s="375"/>
      <c r="K555" s="375"/>
      <c r="L555" s="382" t="str">
        <f t="shared" si="22"/>
        <v/>
      </c>
    </row>
    <row r="556" spans="2:12" x14ac:dyDescent="0.45">
      <c r="B556" s="380" t="s">
        <v>336</v>
      </c>
      <c r="C556" s="374"/>
      <c r="D556" s="375" t="s">
        <v>517</v>
      </c>
      <c r="E556" s="375"/>
      <c r="F556" s="375"/>
      <c r="G556" s="375"/>
      <c r="H556" s="376"/>
      <c r="I556" s="376"/>
      <c r="J556" s="375"/>
      <c r="K556" s="375"/>
      <c r="L556" s="382" t="str">
        <f t="shared" si="22"/>
        <v/>
      </c>
    </row>
    <row r="557" spans="2:12" x14ac:dyDescent="0.45">
      <c r="B557" s="380" t="s">
        <v>337</v>
      </c>
      <c r="C557" s="374"/>
      <c r="D557" s="375" t="s">
        <v>517</v>
      </c>
      <c r="E557" s="375"/>
      <c r="F557" s="375"/>
      <c r="G557" s="375"/>
      <c r="H557" s="376"/>
      <c r="I557" s="376"/>
      <c r="J557" s="375"/>
      <c r="K557" s="375"/>
      <c r="L557" s="382" t="str">
        <f t="shared" si="22"/>
        <v/>
      </c>
    </row>
    <row r="558" spans="2:12" x14ac:dyDescent="0.45">
      <c r="B558" s="380" t="s">
        <v>338</v>
      </c>
      <c r="C558" s="374"/>
      <c r="D558" s="375" t="s">
        <v>517</v>
      </c>
      <c r="E558" s="375"/>
      <c r="F558" s="375"/>
      <c r="G558" s="375"/>
      <c r="H558" s="376"/>
      <c r="I558" s="376"/>
      <c r="J558" s="375"/>
      <c r="K558" s="375"/>
      <c r="L558" s="382" t="str">
        <f t="shared" si="22"/>
        <v/>
      </c>
    </row>
    <row r="559" spans="2:12" x14ac:dyDescent="0.45">
      <c r="B559" s="380" t="s">
        <v>339</v>
      </c>
      <c r="C559" s="374"/>
      <c r="D559" s="375" t="s">
        <v>517</v>
      </c>
      <c r="E559" s="375"/>
      <c r="F559" s="375"/>
      <c r="G559" s="375"/>
      <c r="H559" s="376"/>
      <c r="I559" s="376"/>
      <c r="J559" s="375"/>
      <c r="K559" s="375"/>
      <c r="L559" s="382" t="str">
        <f t="shared" si="22"/>
        <v/>
      </c>
    </row>
    <row r="560" spans="2:12" x14ac:dyDescent="0.45">
      <c r="B560" s="380" t="s">
        <v>340</v>
      </c>
      <c r="C560" s="374"/>
      <c r="D560" s="375" t="s">
        <v>517</v>
      </c>
      <c r="E560" s="375"/>
      <c r="F560" s="375"/>
      <c r="G560" s="375"/>
      <c r="H560" s="376"/>
      <c r="I560" s="376"/>
      <c r="J560" s="375"/>
      <c r="K560" s="375"/>
      <c r="L560" s="382" t="str">
        <f t="shared" si="22"/>
        <v/>
      </c>
    </row>
    <row r="561" spans="2:12" x14ac:dyDescent="0.45">
      <c r="B561" s="381" t="s">
        <v>341</v>
      </c>
      <c r="C561" s="377"/>
      <c r="D561" s="378" t="s">
        <v>517</v>
      </c>
      <c r="E561" s="378"/>
      <c r="F561" s="378"/>
      <c r="G561" s="378"/>
      <c r="H561" s="379"/>
      <c r="I561" s="379"/>
      <c r="J561" s="378"/>
      <c r="K561" s="378"/>
      <c r="L561" s="383" t="str">
        <f t="shared" si="22"/>
        <v/>
      </c>
    </row>
    <row r="562" spans="2:12" ht="14.65" thickBot="1" x14ac:dyDescent="0.5">
      <c r="B562" s="388" t="s">
        <v>529</v>
      </c>
      <c r="C562" s="384" t="str">
        <f>COUNTIFS($C$544:$C$561,"&lt;&gt;",$D$544:$D$561,"&lt;&gt;Sub - unused")&amp;" played"</f>
        <v>0 played</v>
      </c>
      <c r="D562" s="384"/>
      <c r="E562" s="384"/>
      <c r="F562" s="384"/>
      <c r="G562" s="384">
        <f>SUM($G$544:$G$561)</f>
        <v>0</v>
      </c>
      <c r="H562" s="384">
        <f>SUM($H$544:$H$561)</f>
        <v>0</v>
      </c>
      <c r="I562" s="387" t="str">
        <f>IFERROR(AVERAGEIFS($I$544:$I$561,$I$544:$I$561,"&gt;0",$D$544:$D$561,"&lt;&gt;Sub - unused"),"")</f>
        <v/>
      </c>
      <c r="J562" s="384">
        <f>SUM($J$544:$J$561)</f>
        <v>0</v>
      </c>
      <c r="K562" s="384">
        <f>SUM($K$544:$K$561)</f>
        <v>0</v>
      </c>
      <c r="L562" s="384"/>
    </row>
    <row r="563" spans="2:12" ht="28.05" customHeight="1" thickTop="1" x14ac:dyDescent="0.45">
      <c r="B563" s="389" t="s">
        <v>342</v>
      </c>
      <c r="C563" s="507"/>
      <c r="D563" s="508"/>
      <c r="E563" s="508"/>
      <c r="F563" s="508"/>
      <c r="G563" s="508"/>
      <c r="H563" s="508"/>
      <c r="I563" s="508"/>
      <c r="J563" s="508"/>
      <c r="K563" s="508"/>
      <c r="L563" s="509"/>
    </row>
    <row r="564" spans="2:12" ht="28.05" customHeight="1" x14ac:dyDescent="0.45">
      <c r="B564" s="390" t="s">
        <v>530</v>
      </c>
      <c r="C564" s="510"/>
      <c r="D564" s="511"/>
      <c r="E564" s="511"/>
      <c r="F564" s="511"/>
      <c r="G564" s="511"/>
      <c r="H564" s="511"/>
      <c r="I564" s="511"/>
      <c r="J564" s="511"/>
      <c r="K564" s="511"/>
      <c r="L564" s="512"/>
    </row>
    <row r="566" spans="2:12" x14ac:dyDescent="0.45">
      <c r="B566" s="515" t="s">
        <v>548</v>
      </c>
      <c r="C566" s="515"/>
      <c r="D566" s="515"/>
      <c r="E566" s="515"/>
      <c r="F566" s="515"/>
      <c r="G566" s="515"/>
      <c r="H566" s="515"/>
      <c r="I566" s="515"/>
      <c r="J566" s="515"/>
      <c r="K566" s="515"/>
      <c r="L566" s="515"/>
    </row>
    <row r="567" spans="2:12" x14ac:dyDescent="0.45">
      <c r="B567" s="367" t="s">
        <v>301</v>
      </c>
      <c r="C567" s="367" t="s">
        <v>343</v>
      </c>
      <c r="D567" s="367" t="s">
        <v>344</v>
      </c>
      <c r="E567" s="367" t="s">
        <v>302</v>
      </c>
      <c r="F567" s="367" t="s">
        <v>303</v>
      </c>
      <c r="G567" s="367" t="s">
        <v>304</v>
      </c>
      <c r="H567" s="367" t="s">
        <v>346</v>
      </c>
    </row>
    <row r="568" spans="2:12" x14ac:dyDescent="0.45">
      <c r="B568" s="369"/>
      <c r="C568" s="370"/>
      <c r="D568" s="370"/>
      <c r="E568" s="370"/>
      <c r="F568" s="370"/>
      <c r="G568" s="371" t="str">
        <f>IF(OR($E$568="",$F$568=""),"",IF($E$568&gt;$F$568,"Win",IF($E$568=$F$568,"Draw","Loss")))</f>
        <v/>
      </c>
      <c r="H568" s="370"/>
    </row>
    <row r="569" spans="2:12" x14ac:dyDescent="0.45">
      <c r="B569" s="372" t="s">
        <v>520</v>
      </c>
      <c r="C569" s="368" t="str">
        <f>IF($F$568="","",IF($F$568=0,"Yes","No"))</f>
        <v/>
      </c>
      <c r="D569" s="372" t="s">
        <v>521</v>
      </c>
      <c r="E569" s="368">
        <f>SUM($G$571:$G$588)</f>
        <v>0</v>
      </c>
      <c r="F569" s="372" t="s">
        <v>522</v>
      </c>
      <c r="G569" s="368" t="str">
        <f>IF(OR($E$568="",$E$569=0),"",IF($E$569=$E$568,"OK","does not match GF"))</f>
        <v/>
      </c>
    </row>
    <row r="570" spans="2:12" x14ac:dyDescent="0.45">
      <c r="B570" s="373" t="s">
        <v>153</v>
      </c>
      <c r="C570" s="373" t="s">
        <v>18</v>
      </c>
      <c r="D570" s="373" t="s">
        <v>316</v>
      </c>
      <c r="E570" s="373" t="s">
        <v>217</v>
      </c>
      <c r="F570" s="373" t="s">
        <v>523</v>
      </c>
      <c r="G570" s="373" t="s">
        <v>524</v>
      </c>
      <c r="H570" s="373" t="s">
        <v>525</v>
      </c>
      <c r="I570" s="373" t="s">
        <v>155</v>
      </c>
      <c r="J570" s="373" t="s">
        <v>526</v>
      </c>
      <c r="K570" s="373" t="s">
        <v>527</v>
      </c>
      <c r="L570" s="373" t="s">
        <v>528</v>
      </c>
    </row>
    <row r="571" spans="2:12" x14ac:dyDescent="0.45">
      <c r="B571" s="380">
        <v>1</v>
      </c>
      <c r="C571" s="374"/>
      <c r="D571" s="375" t="s">
        <v>515</v>
      </c>
      <c r="E571" s="375"/>
      <c r="F571" s="375"/>
      <c r="G571" s="375"/>
      <c r="H571" s="376"/>
      <c r="I571" s="376"/>
      <c r="J571" s="375"/>
      <c r="K571" s="375"/>
      <c r="L571" s="382" t="str">
        <f>IF(OR($C571="",$E571&lt;&gt;"GK",$D571="Sub - unused",$F$568=""),"",IF($F$568=0,"Yes","No"))</f>
        <v/>
      </c>
    </row>
    <row r="572" spans="2:12" x14ac:dyDescent="0.45">
      <c r="B572" s="380">
        <v>2</v>
      </c>
      <c r="C572" s="374"/>
      <c r="D572" s="375" t="s">
        <v>515</v>
      </c>
      <c r="E572" s="375"/>
      <c r="F572" s="375"/>
      <c r="G572" s="375"/>
      <c r="H572" s="376"/>
      <c r="I572" s="376"/>
      <c r="J572" s="375"/>
      <c r="K572" s="375"/>
      <c r="L572" s="382" t="str">
        <f t="shared" ref="L572:L588" si="23">IF(OR($C572="",$E572&lt;&gt;"GK",$D572="Sub - unused",$F$568=""),"",IF($F$568=0,"Yes","No"))</f>
        <v/>
      </c>
    </row>
    <row r="573" spans="2:12" x14ac:dyDescent="0.45">
      <c r="B573" s="380">
        <v>3</v>
      </c>
      <c r="C573" s="374"/>
      <c r="D573" s="375" t="s">
        <v>515</v>
      </c>
      <c r="E573" s="375"/>
      <c r="F573" s="375"/>
      <c r="G573" s="375"/>
      <c r="H573" s="376"/>
      <c r="I573" s="376"/>
      <c r="J573" s="375"/>
      <c r="K573" s="375"/>
      <c r="L573" s="382" t="str">
        <f t="shared" si="23"/>
        <v/>
      </c>
    </row>
    <row r="574" spans="2:12" x14ac:dyDescent="0.45">
      <c r="B574" s="380">
        <v>4</v>
      </c>
      <c r="C574" s="374"/>
      <c r="D574" s="375" t="s">
        <v>515</v>
      </c>
      <c r="E574" s="375"/>
      <c r="F574" s="375"/>
      <c r="G574" s="375"/>
      <c r="H574" s="376"/>
      <c r="I574" s="376"/>
      <c r="J574" s="375"/>
      <c r="K574" s="375"/>
      <c r="L574" s="382" t="str">
        <f t="shared" si="23"/>
        <v/>
      </c>
    </row>
    <row r="575" spans="2:12" x14ac:dyDescent="0.45">
      <c r="B575" s="380">
        <v>5</v>
      </c>
      <c r="C575" s="374"/>
      <c r="D575" s="375" t="s">
        <v>515</v>
      </c>
      <c r="E575" s="375"/>
      <c r="F575" s="375"/>
      <c r="G575" s="375"/>
      <c r="H575" s="376"/>
      <c r="I575" s="376"/>
      <c r="J575" s="375"/>
      <c r="K575" s="375"/>
      <c r="L575" s="382" t="str">
        <f t="shared" si="23"/>
        <v/>
      </c>
    </row>
    <row r="576" spans="2:12" x14ac:dyDescent="0.45">
      <c r="B576" s="380">
        <v>6</v>
      </c>
      <c r="C576" s="374"/>
      <c r="D576" s="375" t="s">
        <v>515</v>
      </c>
      <c r="E576" s="375"/>
      <c r="F576" s="375"/>
      <c r="G576" s="375"/>
      <c r="H576" s="376"/>
      <c r="I576" s="376"/>
      <c r="J576" s="375"/>
      <c r="K576" s="375"/>
      <c r="L576" s="382" t="str">
        <f t="shared" si="23"/>
        <v/>
      </c>
    </row>
    <row r="577" spans="2:12" x14ac:dyDescent="0.45">
      <c r="B577" s="380">
        <v>7</v>
      </c>
      <c r="C577" s="374"/>
      <c r="D577" s="375" t="s">
        <v>515</v>
      </c>
      <c r="E577" s="375"/>
      <c r="F577" s="375"/>
      <c r="G577" s="375"/>
      <c r="H577" s="376"/>
      <c r="I577" s="376"/>
      <c r="J577" s="375"/>
      <c r="K577" s="375"/>
      <c r="L577" s="382" t="str">
        <f t="shared" si="23"/>
        <v/>
      </c>
    </row>
    <row r="578" spans="2:12" x14ac:dyDescent="0.45">
      <c r="B578" s="380">
        <v>8</v>
      </c>
      <c r="C578" s="374"/>
      <c r="D578" s="375" t="s">
        <v>515</v>
      </c>
      <c r="E578" s="375"/>
      <c r="F578" s="375"/>
      <c r="G578" s="375"/>
      <c r="H578" s="376"/>
      <c r="I578" s="376"/>
      <c r="J578" s="375"/>
      <c r="K578" s="375"/>
      <c r="L578" s="382" t="str">
        <f t="shared" si="23"/>
        <v/>
      </c>
    </row>
    <row r="579" spans="2:12" x14ac:dyDescent="0.45">
      <c r="B579" s="380">
        <v>9</v>
      </c>
      <c r="C579" s="374"/>
      <c r="D579" s="375" t="s">
        <v>515</v>
      </c>
      <c r="E579" s="375"/>
      <c r="F579" s="375"/>
      <c r="G579" s="375"/>
      <c r="H579" s="376"/>
      <c r="I579" s="376"/>
      <c r="J579" s="375"/>
      <c r="K579" s="375"/>
      <c r="L579" s="382" t="str">
        <f t="shared" si="23"/>
        <v/>
      </c>
    </row>
    <row r="580" spans="2:12" x14ac:dyDescent="0.45">
      <c r="B580" s="380">
        <v>10</v>
      </c>
      <c r="C580" s="374"/>
      <c r="D580" s="375" t="s">
        <v>515</v>
      </c>
      <c r="E580" s="375"/>
      <c r="F580" s="375"/>
      <c r="G580" s="375"/>
      <c r="H580" s="376"/>
      <c r="I580" s="376"/>
      <c r="J580" s="375"/>
      <c r="K580" s="375"/>
      <c r="L580" s="382" t="str">
        <f t="shared" si="23"/>
        <v/>
      </c>
    </row>
    <row r="581" spans="2:12" x14ac:dyDescent="0.45">
      <c r="B581" s="380">
        <v>11</v>
      </c>
      <c r="C581" s="374"/>
      <c r="D581" s="375" t="s">
        <v>515</v>
      </c>
      <c r="E581" s="375"/>
      <c r="F581" s="375"/>
      <c r="G581" s="375"/>
      <c r="H581" s="376"/>
      <c r="I581" s="376"/>
      <c r="J581" s="375"/>
      <c r="K581" s="375"/>
      <c r="L581" s="382" t="str">
        <f t="shared" si="23"/>
        <v/>
      </c>
    </row>
    <row r="582" spans="2:12" x14ac:dyDescent="0.45">
      <c r="B582" s="380" t="s">
        <v>335</v>
      </c>
      <c r="C582" s="374"/>
      <c r="D582" s="375" t="s">
        <v>517</v>
      </c>
      <c r="E582" s="375"/>
      <c r="F582" s="375"/>
      <c r="G582" s="375"/>
      <c r="H582" s="376"/>
      <c r="I582" s="376"/>
      <c r="J582" s="375"/>
      <c r="K582" s="375"/>
      <c r="L582" s="382" t="str">
        <f t="shared" si="23"/>
        <v/>
      </c>
    </row>
    <row r="583" spans="2:12" x14ac:dyDescent="0.45">
      <c r="B583" s="380" t="s">
        <v>336</v>
      </c>
      <c r="C583" s="374"/>
      <c r="D583" s="375" t="s">
        <v>517</v>
      </c>
      <c r="E583" s="375"/>
      <c r="F583" s="375"/>
      <c r="G583" s="375"/>
      <c r="H583" s="376"/>
      <c r="I583" s="376"/>
      <c r="J583" s="375"/>
      <c r="K583" s="375"/>
      <c r="L583" s="382" t="str">
        <f t="shared" si="23"/>
        <v/>
      </c>
    </row>
    <row r="584" spans="2:12" x14ac:dyDescent="0.45">
      <c r="B584" s="380" t="s">
        <v>337</v>
      </c>
      <c r="C584" s="374"/>
      <c r="D584" s="375" t="s">
        <v>517</v>
      </c>
      <c r="E584" s="375"/>
      <c r="F584" s="375"/>
      <c r="G584" s="375"/>
      <c r="H584" s="376"/>
      <c r="I584" s="376"/>
      <c r="J584" s="375"/>
      <c r="K584" s="375"/>
      <c r="L584" s="382" t="str">
        <f t="shared" si="23"/>
        <v/>
      </c>
    </row>
    <row r="585" spans="2:12" x14ac:dyDescent="0.45">
      <c r="B585" s="380" t="s">
        <v>338</v>
      </c>
      <c r="C585" s="374"/>
      <c r="D585" s="375" t="s">
        <v>517</v>
      </c>
      <c r="E585" s="375"/>
      <c r="F585" s="375"/>
      <c r="G585" s="375"/>
      <c r="H585" s="376"/>
      <c r="I585" s="376"/>
      <c r="J585" s="375"/>
      <c r="K585" s="375"/>
      <c r="L585" s="382" t="str">
        <f t="shared" si="23"/>
        <v/>
      </c>
    </row>
    <row r="586" spans="2:12" x14ac:dyDescent="0.45">
      <c r="B586" s="380" t="s">
        <v>339</v>
      </c>
      <c r="C586" s="374"/>
      <c r="D586" s="375" t="s">
        <v>517</v>
      </c>
      <c r="E586" s="375"/>
      <c r="F586" s="375"/>
      <c r="G586" s="375"/>
      <c r="H586" s="376"/>
      <c r="I586" s="376"/>
      <c r="J586" s="375"/>
      <c r="K586" s="375"/>
      <c r="L586" s="382" t="str">
        <f t="shared" si="23"/>
        <v/>
      </c>
    </row>
    <row r="587" spans="2:12" x14ac:dyDescent="0.45">
      <c r="B587" s="380" t="s">
        <v>340</v>
      </c>
      <c r="C587" s="374"/>
      <c r="D587" s="375" t="s">
        <v>517</v>
      </c>
      <c r="E587" s="375"/>
      <c r="F587" s="375"/>
      <c r="G587" s="375"/>
      <c r="H587" s="376"/>
      <c r="I587" s="376"/>
      <c r="J587" s="375"/>
      <c r="K587" s="375"/>
      <c r="L587" s="382" t="str">
        <f t="shared" si="23"/>
        <v/>
      </c>
    </row>
    <row r="588" spans="2:12" x14ac:dyDescent="0.45">
      <c r="B588" s="381" t="s">
        <v>341</v>
      </c>
      <c r="C588" s="377"/>
      <c r="D588" s="378" t="s">
        <v>517</v>
      </c>
      <c r="E588" s="378"/>
      <c r="F588" s="378"/>
      <c r="G588" s="378"/>
      <c r="H588" s="379"/>
      <c r="I588" s="379"/>
      <c r="J588" s="378"/>
      <c r="K588" s="378"/>
      <c r="L588" s="383" t="str">
        <f t="shared" si="23"/>
        <v/>
      </c>
    </row>
    <row r="589" spans="2:12" ht="14.65" thickBot="1" x14ac:dyDescent="0.5">
      <c r="B589" s="388" t="s">
        <v>529</v>
      </c>
      <c r="C589" s="384" t="str">
        <f>COUNTIFS($C$571:$C$588,"&lt;&gt;",$D$571:$D$588,"&lt;&gt;Sub - unused")&amp;" played"</f>
        <v>0 played</v>
      </c>
      <c r="D589" s="384"/>
      <c r="E589" s="384"/>
      <c r="F589" s="384"/>
      <c r="G589" s="384">
        <f>SUM($G$571:$G$588)</f>
        <v>0</v>
      </c>
      <c r="H589" s="384">
        <f>SUM($H$571:$H$588)</f>
        <v>0</v>
      </c>
      <c r="I589" s="387" t="str">
        <f>IFERROR(AVERAGEIFS($I$571:$I$588,$I$571:$I$588,"&gt;0",$D$571:$D$588,"&lt;&gt;Sub - unused"),"")</f>
        <v/>
      </c>
      <c r="J589" s="384">
        <f>SUM($J$571:$J$588)</f>
        <v>0</v>
      </c>
      <c r="K589" s="384">
        <f>SUM($K$571:$K$588)</f>
        <v>0</v>
      </c>
      <c r="L589" s="384"/>
    </row>
    <row r="590" spans="2:12" ht="28.05" customHeight="1" thickTop="1" x14ac:dyDescent="0.45">
      <c r="B590" s="389" t="s">
        <v>342</v>
      </c>
      <c r="C590" s="507"/>
      <c r="D590" s="508"/>
      <c r="E590" s="508"/>
      <c r="F590" s="508"/>
      <c r="G590" s="508"/>
      <c r="H590" s="508"/>
      <c r="I590" s="508"/>
      <c r="J590" s="508"/>
      <c r="K590" s="508"/>
      <c r="L590" s="509"/>
    </row>
    <row r="591" spans="2:12" ht="28.05" customHeight="1" x14ac:dyDescent="0.45">
      <c r="B591" s="390" t="s">
        <v>530</v>
      </c>
      <c r="C591" s="510"/>
      <c r="D591" s="511"/>
      <c r="E591" s="511"/>
      <c r="F591" s="511"/>
      <c r="G591" s="511"/>
      <c r="H591" s="511"/>
      <c r="I591" s="511"/>
      <c r="J591" s="511"/>
      <c r="K591" s="511"/>
      <c r="L591" s="512"/>
    </row>
    <row r="593" spans="2:12" x14ac:dyDescent="0.45">
      <c r="B593" s="515" t="s">
        <v>549</v>
      </c>
      <c r="C593" s="515"/>
      <c r="D593" s="515"/>
      <c r="E593" s="515"/>
      <c r="F593" s="515"/>
      <c r="G593" s="515"/>
      <c r="H593" s="515"/>
      <c r="I593" s="515"/>
      <c r="J593" s="515"/>
      <c r="K593" s="515"/>
      <c r="L593" s="515"/>
    </row>
    <row r="594" spans="2:12" x14ac:dyDescent="0.45">
      <c r="B594" s="367" t="s">
        <v>301</v>
      </c>
      <c r="C594" s="367" t="s">
        <v>343</v>
      </c>
      <c r="D594" s="367" t="s">
        <v>344</v>
      </c>
      <c r="E594" s="367" t="s">
        <v>302</v>
      </c>
      <c r="F594" s="367" t="s">
        <v>303</v>
      </c>
      <c r="G594" s="367" t="s">
        <v>304</v>
      </c>
      <c r="H594" s="367" t="s">
        <v>346</v>
      </c>
    </row>
    <row r="595" spans="2:12" x14ac:dyDescent="0.45">
      <c r="B595" s="369"/>
      <c r="C595" s="370"/>
      <c r="D595" s="370"/>
      <c r="E595" s="370"/>
      <c r="F595" s="370"/>
      <c r="G595" s="371" t="str">
        <f>IF(OR($E$595="",$F$595=""),"",IF($E$595&gt;$F$595,"Win",IF($E$595=$F$595,"Draw","Loss")))</f>
        <v/>
      </c>
      <c r="H595" s="370"/>
    </row>
    <row r="596" spans="2:12" x14ac:dyDescent="0.45">
      <c r="B596" s="372" t="s">
        <v>520</v>
      </c>
      <c r="C596" s="368" t="str">
        <f>IF($F$595="","",IF($F$595=0,"Yes","No"))</f>
        <v/>
      </c>
      <c r="D596" s="372" t="s">
        <v>521</v>
      </c>
      <c r="E596" s="368">
        <f>SUM($G$598:$G$615)</f>
        <v>0</v>
      </c>
      <c r="F596" s="372" t="s">
        <v>522</v>
      </c>
      <c r="G596" s="368" t="str">
        <f>IF(OR($E$595="",$E$596=0),"",IF($E$596=$E$595,"OK","does not match GF"))</f>
        <v/>
      </c>
    </row>
    <row r="597" spans="2:12" x14ac:dyDescent="0.45">
      <c r="B597" s="373" t="s">
        <v>153</v>
      </c>
      <c r="C597" s="373" t="s">
        <v>18</v>
      </c>
      <c r="D597" s="373" t="s">
        <v>316</v>
      </c>
      <c r="E597" s="373" t="s">
        <v>217</v>
      </c>
      <c r="F597" s="373" t="s">
        <v>523</v>
      </c>
      <c r="G597" s="373" t="s">
        <v>524</v>
      </c>
      <c r="H597" s="373" t="s">
        <v>525</v>
      </c>
      <c r="I597" s="373" t="s">
        <v>155</v>
      </c>
      <c r="J597" s="373" t="s">
        <v>526</v>
      </c>
      <c r="K597" s="373" t="s">
        <v>527</v>
      </c>
      <c r="L597" s="373" t="s">
        <v>528</v>
      </c>
    </row>
    <row r="598" spans="2:12" x14ac:dyDescent="0.45">
      <c r="B598" s="380">
        <v>1</v>
      </c>
      <c r="C598" s="374"/>
      <c r="D598" s="375" t="s">
        <v>515</v>
      </c>
      <c r="E598" s="375"/>
      <c r="F598" s="375"/>
      <c r="G598" s="375"/>
      <c r="H598" s="376"/>
      <c r="I598" s="376"/>
      <c r="J598" s="375"/>
      <c r="K598" s="375"/>
      <c r="L598" s="382" t="str">
        <f>IF(OR($C598="",$E598&lt;&gt;"GK",$D598="Sub - unused",$F$595=""),"",IF($F$595=0,"Yes","No"))</f>
        <v/>
      </c>
    </row>
    <row r="599" spans="2:12" x14ac:dyDescent="0.45">
      <c r="B599" s="380">
        <v>2</v>
      </c>
      <c r="C599" s="374"/>
      <c r="D599" s="375" t="s">
        <v>515</v>
      </c>
      <c r="E599" s="375"/>
      <c r="F599" s="375"/>
      <c r="G599" s="375"/>
      <c r="H599" s="376"/>
      <c r="I599" s="376"/>
      <c r="J599" s="375"/>
      <c r="K599" s="375"/>
      <c r="L599" s="382" t="str">
        <f t="shared" ref="L599:L615" si="24">IF(OR($C599="",$E599&lt;&gt;"GK",$D599="Sub - unused",$F$595=""),"",IF($F$595=0,"Yes","No"))</f>
        <v/>
      </c>
    </row>
    <row r="600" spans="2:12" x14ac:dyDescent="0.45">
      <c r="B600" s="380">
        <v>3</v>
      </c>
      <c r="C600" s="374"/>
      <c r="D600" s="375" t="s">
        <v>515</v>
      </c>
      <c r="E600" s="375"/>
      <c r="F600" s="375"/>
      <c r="G600" s="375"/>
      <c r="H600" s="376"/>
      <c r="I600" s="376"/>
      <c r="J600" s="375"/>
      <c r="K600" s="375"/>
      <c r="L600" s="382" t="str">
        <f t="shared" si="24"/>
        <v/>
      </c>
    </row>
    <row r="601" spans="2:12" x14ac:dyDescent="0.45">
      <c r="B601" s="380">
        <v>4</v>
      </c>
      <c r="C601" s="374"/>
      <c r="D601" s="375" t="s">
        <v>515</v>
      </c>
      <c r="E601" s="375"/>
      <c r="F601" s="375"/>
      <c r="G601" s="375"/>
      <c r="H601" s="376"/>
      <c r="I601" s="376"/>
      <c r="J601" s="375"/>
      <c r="K601" s="375"/>
      <c r="L601" s="382" t="str">
        <f t="shared" si="24"/>
        <v/>
      </c>
    </row>
    <row r="602" spans="2:12" x14ac:dyDescent="0.45">
      <c r="B602" s="380">
        <v>5</v>
      </c>
      <c r="C602" s="374"/>
      <c r="D602" s="375" t="s">
        <v>515</v>
      </c>
      <c r="E602" s="375"/>
      <c r="F602" s="375"/>
      <c r="G602" s="375"/>
      <c r="H602" s="376"/>
      <c r="I602" s="376"/>
      <c r="J602" s="375"/>
      <c r="K602" s="375"/>
      <c r="L602" s="382" t="str">
        <f t="shared" si="24"/>
        <v/>
      </c>
    </row>
    <row r="603" spans="2:12" x14ac:dyDescent="0.45">
      <c r="B603" s="380">
        <v>6</v>
      </c>
      <c r="C603" s="374"/>
      <c r="D603" s="375" t="s">
        <v>515</v>
      </c>
      <c r="E603" s="375"/>
      <c r="F603" s="375"/>
      <c r="G603" s="375"/>
      <c r="H603" s="376"/>
      <c r="I603" s="376"/>
      <c r="J603" s="375"/>
      <c r="K603" s="375"/>
      <c r="L603" s="382" t="str">
        <f t="shared" si="24"/>
        <v/>
      </c>
    </row>
    <row r="604" spans="2:12" x14ac:dyDescent="0.45">
      <c r="B604" s="380">
        <v>7</v>
      </c>
      <c r="C604" s="374"/>
      <c r="D604" s="375" t="s">
        <v>515</v>
      </c>
      <c r="E604" s="375"/>
      <c r="F604" s="375"/>
      <c r="G604" s="375"/>
      <c r="H604" s="376"/>
      <c r="I604" s="376"/>
      <c r="J604" s="375"/>
      <c r="K604" s="375"/>
      <c r="L604" s="382" t="str">
        <f t="shared" si="24"/>
        <v/>
      </c>
    </row>
    <row r="605" spans="2:12" x14ac:dyDescent="0.45">
      <c r="B605" s="380">
        <v>8</v>
      </c>
      <c r="C605" s="374"/>
      <c r="D605" s="375" t="s">
        <v>515</v>
      </c>
      <c r="E605" s="375"/>
      <c r="F605" s="375"/>
      <c r="G605" s="375"/>
      <c r="H605" s="376"/>
      <c r="I605" s="376"/>
      <c r="J605" s="375"/>
      <c r="K605" s="375"/>
      <c r="L605" s="382" t="str">
        <f t="shared" si="24"/>
        <v/>
      </c>
    </row>
    <row r="606" spans="2:12" x14ac:dyDescent="0.45">
      <c r="B606" s="380">
        <v>9</v>
      </c>
      <c r="C606" s="374"/>
      <c r="D606" s="375" t="s">
        <v>515</v>
      </c>
      <c r="E606" s="375"/>
      <c r="F606" s="375"/>
      <c r="G606" s="375"/>
      <c r="H606" s="376"/>
      <c r="I606" s="376"/>
      <c r="J606" s="375"/>
      <c r="K606" s="375"/>
      <c r="L606" s="382" t="str">
        <f t="shared" si="24"/>
        <v/>
      </c>
    </row>
    <row r="607" spans="2:12" x14ac:dyDescent="0.45">
      <c r="B607" s="380">
        <v>10</v>
      </c>
      <c r="C607" s="374"/>
      <c r="D607" s="375" t="s">
        <v>515</v>
      </c>
      <c r="E607" s="375"/>
      <c r="F607" s="375"/>
      <c r="G607" s="375"/>
      <c r="H607" s="376"/>
      <c r="I607" s="376"/>
      <c r="J607" s="375"/>
      <c r="K607" s="375"/>
      <c r="L607" s="382" t="str">
        <f t="shared" si="24"/>
        <v/>
      </c>
    </row>
    <row r="608" spans="2:12" x14ac:dyDescent="0.45">
      <c r="B608" s="380">
        <v>11</v>
      </c>
      <c r="C608" s="374"/>
      <c r="D608" s="375" t="s">
        <v>515</v>
      </c>
      <c r="E608" s="375"/>
      <c r="F608" s="375"/>
      <c r="G608" s="375"/>
      <c r="H608" s="376"/>
      <c r="I608" s="376"/>
      <c r="J608" s="375"/>
      <c r="K608" s="375"/>
      <c r="L608" s="382" t="str">
        <f t="shared" si="24"/>
        <v/>
      </c>
    </row>
    <row r="609" spans="2:12" x14ac:dyDescent="0.45">
      <c r="B609" s="380" t="s">
        <v>335</v>
      </c>
      <c r="C609" s="374"/>
      <c r="D609" s="375" t="s">
        <v>517</v>
      </c>
      <c r="E609" s="375"/>
      <c r="F609" s="375"/>
      <c r="G609" s="375"/>
      <c r="H609" s="376"/>
      <c r="I609" s="376"/>
      <c r="J609" s="375"/>
      <c r="K609" s="375"/>
      <c r="L609" s="382" t="str">
        <f t="shared" si="24"/>
        <v/>
      </c>
    </row>
    <row r="610" spans="2:12" x14ac:dyDescent="0.45">
      <c r="B610" s="380" t="s">
        <v>336</v>
      </c>
      <c r="C610" s="374"/>
      <c r="D610" s="375" t="s">
        <v>517</v>
      </c>
      <c r="E610" s="375"/>
      <c r="F610" s="375"/>
      <c r="G610" s="375"/>
      <c r="H610" s="376"/>
      <c r="I610" s="376"/>
      <c r="J610" s="375"/>
      <c r="K610" s="375"/>
      <c r="L610" s="382" t="str">
        <f t="shared" si="24"/>
        <v/>
      </c>
    </row>
    <row r="611" spans="2:12" x14ac:dyDescent="0.45">
      <c r="B611" s="380" t="s">
        <v>337</v>
      </c>
      <c r="C611" s="374"/>
      <c r="D611" s="375" t="s">
        <v>517</v>
      </c>
      <c r="E611" s="375"/>
      <c r="F611" s="375"/>
      <c r="G611" s="375"/>
      <c r="H611" s="376"/>
      <c r="I611" s="376"/>
      <c r="J611" s="375"/>
      <c r="K611" s="375"/>
      <c r="L611" s="382" t="str">
        <f t="shared" si="24"/>
        <v/>
      </c>
    </row>
    <row r="612" spans="2:12" x14ac:dyDescent="0.45">
      <c r="B612" s="380" t="s">
        <v>338</v>
      </c>
      <c r="C612" s="374"/>
      <c r="D612" s="375" t="s">
        <v>517</v>
      </c>
      <c r="E612" s="375"/>
      <c r="F612" s="375"/>
      <c r="G612" s="375"/>
      <c r="H612" s="376"/>
      <c r="I612" s="376"/>
      <c r="J612" s="375"/>
      <c r="K612" s="375"/>
      <c r="L612" s="382" t="str">
        <f t="shared" si="24"/>
        <v/>
      </c>
    </row>
    <row r="613" spans="2:12" x14ac:dyDescent="0.45">
      <c r="B613" s="380" t="s">
        <v>339</v>
      </c>
      <c r="C613" s="374"/>
      <c r="D613" s="375" t="s">
        <v>517</v>
      </c>
      <c r="E613" s="375"/>
      <c r="F613" s="375"/>
      <c r="G613" s="375"/>
      <c r="H613" s="376"/>
      <c r="I613" s="376"/>
      <c r="J613" s="375"/>
      <c r="K613" s="375"/>
      <c r="L613" s="382" t="str">
        <f t="shared" si="24"/>
        <v/>
      </c>
    </row>
    <row r="614" spans="2:12" x14ac:dyDescent="0.45">
      <c r="B614" s="380" t="s">
        <v>340</v>
      </c>
      <c r="C614" s="374"/>
      <c r="D614" s="375" t="s">
        <v>517</v>
      </c>
      <c r="E614" s="375"/>
      <c r="F614" s="375"/>
      <c r="G614" s="375"/>
      <c r="H614" s="376"/>
      <c r="I614" s="376"/>
      <c r="J614" s="375"/>
      <c r="K614" s="375"/>
      <c r="L614" s="382" t="str">
        <f t="shared" si="24"/>
        <v/>
      </c>
    </row>
    <row r="615" spans="2:12" x14ac:dyDescent="0.45">
      <c r="B615" s="381" t="s">
        <v>341</v>
      </c>
      <c r="C615" s="377"/>
      <c r="D615" s="378" t="s">
        <v>517</v>
      </c>
      <c r="E615" s="378"/>
      <c r="F615" s="378"/>
      <c r="G615" s="378"/>
      <c r="H615" s="379"/>
      <c r="I615" s="379"/>
      <c r="J615" s="378"/>
      <c r="K615" s="378"/>
      <c r="L615" s="383" t="str">
        <f t="shared" si="24"/>
        <v/>
      </c>
    </row>
    <row r="616" spans="2:12" ht="14.65" thickBot="1" x14ac:dyDescent="0.5">
      <c r="B616" s="388" t="s">
        <v>529</v>
      </c>
      <c r="C616" s="384" t="str">
        <f>COUNTIFS($C$598:$C$615,"&lt;&gt;",$D$598:$D$615,"&lt;&gt;Sub - unused")&amp;" played"</f>
        <v>0 played</v>
      </c>
      <c r="D616" s="384"/>
      <c r="E616" s="384"/>
      <c r="F616" s="384"/>
      <c r="G616" s="384">
        <f>SUM($G$598:$G$615)</f>
        <v>0</v>
      </c>
      <c r="H616" s="384">
        <f>SUM($H$598:$H$615)</f>
        <v>0</v>
      </c>
      <c r="I616" s="387" t="str">
        <f>IFERROR(AVERAGEIFS($I$598:$I$615,$I$598:$I$615,"&gt;0",$D$598:$D$615,"&lt;&gt;Sub - unused"),"")</f>
        <v/>
      </c>
      <c r="J616" s="384">
        <f>SUM($J$598:$J$615)</f>
        <v>0</v>
      </c>
      <c r="K616" s="384">
        <f>SUM($K$598:$K$615)</f>
        <v>0</v>
      </c>
      <c r="L616" s="384"/>
    </row>
    <row r="617" spans="2:12" ht="28.05" customHeight="1" thickTop="1" x14ac:dyDescent="0.45">
      <c r="B617" s="389" t="s">
        <v>342</v>
      </c>
      <c r="C617" s="507"/>
      <c r="D617" s="508"/>
      <c r="E617" s="508"/>
      <c r="F617" s="508"/>
      <c r="G617" s="508"/>
      <c r="H617" s="508"/>
      <c r="I617" s="508"/>
      <c r="J617" s="508"/>
      <c r="K617" s="508"/>
      <c r="L617" s="509"/>
    </row>
    <row r="618" spans="2:12" ht="28.05" customHeight="1" x14ac:dyDescent="0.45">
      <c r="B618" s="390" t="s">
        <v>530</v>
      </c>
      <c r="C618" s="510"/>
      <c r="D618" s="511"/>
      <c r="E618" s="511"/>
      <c r="F618" s="511"/>
      <c r="G618" s="511"/>
      <c r="H618" s="511"/>
      <c r="I618" s="511"/>
      <c r="J618" s="511"/>
      <c r="K618" s="511"/>
      <c r="L618" s="512"/>
    </row>
    <row r="620" spans="2:12" x14ac:dyDescent="0.45">
      <c r="B620" s="515" t="s">
        <v>550</v>
      </c>
      <c r="C620" s="515"/>
      <c r="D620" s="515"/>
      <c r="E620" s="515"/>
      <c r="F620" s="515"/>
      <c r="G620" s="515"/>
      <c r="H620" s="515"/>
      <c r="I620" s="515"/>
      <c r="J620" s="515"/>
      <c r="K620" s="515"/>
      <c r="L620" s="515"/>
    </row>
    <row r="621" spans="2:12" x14ac:dyDescent="0.45">
      <c r="B621" s="367" t="s">
        <v>301</v>
      </c>
      <c r="C621" s="367" t="s">
        <v>343</v>
      </c>
      <c r="D621" s="367" t="s">
        <v>344</v>
      </c>
      <c r="E621" s="367" t="s">
        <v>302</v>
      </c>
      <c r="F621" s="367" t="s">
        <v>303</v>
      </c>
      <c r="G621" s="367" t="s">
        <v>304</v>
      </c>
      <c r="H621" s="367" t="s">
        <v>346</v>
      </c>
    </row>
    <row r="622" spans="2:12" x14ac:dyDescent="0.45">
      <c r="B622" s="369"/>
      <c r="C622" s="370"/>
      <c r="D622" s="370"/>
      <c r="E622" s="370"/>
      <c r="F622" s="370"/>
      <c r="G622" s="371" t="str">
        <f>IF(OR($E$622="",$F$622=""),"",IF($E$622&gt;$F$622,"Win",IF($E$622=$F$622,"Draw","Loss")))</f>
        <v/>
      </c>
      <c r="H622" s="370"/>
    </row>
    <row r="623" spans="2:12" x14ac:dyDescent="0.45">
      <c r="B623" s="372" t="s">
        <v>520</v>
      </c>
      <c r="C623" s="368" t="str">
        <f>IF($F$622="","",IF($F$622=0,"Yes","No"))</f>
        <v/>
      </c>
      <c r="D623" s="372" t="s">
        <v>521</v>
      </c>
      <c r="E623" s="368">
        <f>SUM($G$625:$G$642)</f>
        <v>0</v>
      </c>
      <c r="F623" s="372" t="s">
        <v>522</v>
      </c>
      <c r="G623" s="368" t="str">
        <f>IF(OR($E$622="",$E$623=0),"",IF($E$623=$E$622,"OK","does not match GF"))</f>
        <v/>
      </c>
    </row>
    <row r="624" spans="2:12" x14ac:dyDescent="0.45">
      <c r="B624" s="373" t="s">
        <v>153</v>
      </c>
      <c r="C624" s="373" t="s">
        <v>18</v>
      </c>
      <c r="D624" s="373" t="s">
        <v>316</v>
      </c>
      <c r="E624" s="373" t="s">
        <v>217</v>
      </c>
      <c r="F624" s="373" t="s">
        <v>523</v>
      </c>
      <c r="G624" s="373" t="s">
        <v>524</v>
      </c>
      <c r="H624" s="373" t="s">
        <v>525</v>
      </c>
      <c r="I624" s="373" t="s">
        <v>155</v>
      </c>
      <c r="J624" s="373" t="s">
        <v>526</v>
      </c>
      <c r="K624" s="373" t="s">
        <v>527</v>
      </c>
      <c r="L624" s="373" t="s">
        <v>528</v>
      </c>
    </row>
    <row r="625" spans="2:12" x14ac:dyDescent="0.45">
      <c r="B625" s="380">
        <v>1</v>
      </c>
      <c r="C625" s="374"/>
      <c r="D625" s="375" t="s">
        <v>515</v>
      </c>
      <c r="E625" s="375"/>
      <c r="F625" s="375"/>
      <c r="G625" s="375"/>
      <c r="H625" s="376"/>
      <c r="I625" s="376"/>
      <c r="J625" s="375"/>
      <c r="K625" s="375"/>
      <c r="L625" s="382" t="str">
        <f>IF(OR($C625="",$E625&lt;&gt;"GK",$D625="Sub - unused",$F$622=""),"",IF($F$622=0,"Yes","No"))</f>
        <v/>
      </c>
    </row>
    <row r="626" spans="2:12" x14ac:dyDescent="0.45">
      <c r="B626" s="380">
        <v>2</v>
      </c>
      <c r="C626" s="374"/>
      <c r="D626" s="375" t="s">
        <v>515</v>
      </c>
      <c r="E626" s="375"/>
      <c r="F626" s="375"/>
      <c r="G626" s="375"/>
      <c r="H626" s="376"/>
      <c r="I626" s="376"/>
      <c r="J626" s="375"/>
      <c r="K626" s="375"/>
      <c r="L626" s="382" t="str">
        <f t="shared" ref="L626:L642" si="25">IF(OR($C626="",$E626&lt;&gt;"GK",$D626="Sub - unused",$F$622=""),"",IF($F$622=0,"Yes","No"))</f>
        <v/>
      </c>
    </row>
    <row r="627" spans="2:12" x14ac:dyDescent="0.45">
      <c r="B627" s="380">
        <v>3</v>
      </c>
      <c r="C627" s="374"/>
      <c r="D627" s="375" t="s">
        <v>515</v>
      </c>
      <c r="E627" s="375"/>
      <c r="F627" s="375"/>
      <c r="G627" s="375"/>
      <c r="H627" s="376"/>
      <c r="I627" s="376"/>
      <c r="J627" s="375"/>
      <c r="K627" s="375"/>
      <c r="L627" s="382" t="str">
        <f t="shared" si="25"/>
        <v/>
      </c>
    </row>
    <row r="628" spans="2:12" x14ac:dyDescent="0.45">
      <c r="B628" s="380">
        <v>4</v>
      </c>
      <c r="C628" s="374"/>
      <c r="D628" s="375" t="s">
        <v>515</v>
      </c>
      <c r="E628" s="375"/>
      <c r="F628" s="375"/>
      <c r="G628" s="375"/>
      <c r="H628" s="376"/>
      <c r="I628" s="376"/>
      <c r="J628" s="375"/>
      <c r="K628" s="375"/>
      <c r="L628" s="382" t="str">
        <f t="shared" si="25"/>
        <v/>
      </c>
    </row>
    <row r="629" spans="2:12" x14ac:dyDescent="0.45">
      <c r="B629" s="380">
        <v>5</v>
      </c>
      <c r="C629" s="374"/>
      <c r="D629" s="375" t="s">
        <v>515</v>
      </c>
      <c r="E629" s="375"/>
      <c r="F629" s="375"/>
      <c r="G629" s="375"/>
      <c r="H629" s="376"/>
      <c r="I629" s="376"/>
      <c r="J629" s="375"/>
      <c r="K629" s="375"/>
      <c r="L629" s="382" t="str">
        <f t="shared" si="25"/>
        <v/>
      </c>
    </row>
    <row r="630" spans="2:12" x14ac:dyDescent="0.45">
      <c r="B630" s="380">
        <v>6</v>
      </c>
      <c r="C630" s="374"/>
      <c r="D630" s="375" t="s">
        <v>515</v>
      </c>
      <c r="E630" s="375"/>
      <c r="F630" s="375"/>
      <c r="G630" s="375"/>
      <c r="H630" s="376"/>
      <c r="I630" s="376"/>
      <c r="J630" s="375"/>
      <c r="K630" s="375"/>
      <c r="L630" s="382" t="str">
        <f t="shared" si="25"/>
        <v/>
      </c>
    </row>
    <row r="631" spans="2:12" x14ac:dyDescent="0.45">
      <c r="B631" s="380">
        <v>7</v>
      </c>
      <c r="C631" s="374"/>
      <c r="D631" s="375" t="s">
        <v>515</v>
      </c>
      <c r="E631" s="375"/>
      <c r="F631" s="375"/>
      <c r="G631" s="375"/>
      <c r="H631" s="376"/>
      <c r="I631" s="376"/>
      <c r="J631" s="375"/>
      <c r="K631" s="375"/>
      <c r="L631" s="382" t="str">
        <f t="shared" si="25"/>
        <v/>
      </c>
    </row>
    <row r="632" spans="2:12" x14ac:dyDescent="0.45">
      <c r="B632" s="380">
        <v>8</v>
      </c>
      <c r="C632" s="374"/>
      <c r="D632" s="375" t="s">
        <v>515</v>
      </c>
      <c r="E632" s="375"/>
      <c r="F632" s="375"/>
      <c r="G632" s="375"/>
      <c r="H632" s="376"/>
      <c r="I632" s="376"/>
      <c r="J632" s="375"/>
      <c r="K632" s="375"/>
      <c r="L632" s="382" t="str">
        <f t="shared" si="25"/>
        <v/>
      </c>
    </row>
    <row r="633" spans="2:12" x14ac:dyDescent="0.45">
      <c r="B633" s="380">
        <v>9</v>
      </c>
      <c r="C633" s="374"/>
      <c r="D633" s="375" t="s">
        <v>515</v>
      </c>
      <c r="E633" s="375"/>
      <c r="F633" s="375"/>
      <c r="G633" s="375"/>
      <c r="H633" s="376"/>
      <c r="I633" s="376"/>
      <c r="J633" s="375"/>
      <c r="K633" s="375"/>
      <c r="L633" s="382" t="str">
        <f t="shared" si="25"/>
        <v/>
      </c>
    </row>
    <row r="634" spans="2:12" x14ac:dyDescent="0.45">
      <c r="B634" s="380">
        <v>10</v>
      </c>
      <c r="C634" s="374"/>
      <c r="D634" s="375" t="s">
        <v>515</v>
      </c>
      <c r="E634" s="375"/>
      <c r="F634" s="375"/>
      <c r="G634" s="375"/>
      <c r="H634" s="376"/>
      <c r="I634" s="376"/>
      <c r="J634" s="375"/>
      <c r="K634" s="375"/>
      <c r="L634" s="382" t="str">
        <f t="shared" si="25"/>
        <v/>
      </c>
    </row>
    <row r="635" spans="2:12" x14ac:dyDescent="0.45">
      <c r="B635" s="380">
        <v>11</v>
      </c>
      <c r="C635" s="374"/>
      <c r="D635" s="375" t="s">
        <v>515</v>
      </c>
      <c r="E635" s="375"/>
      <c r="F635" s="375"/>
      <c r="G635" s="375"/>
      <c r="H635" s="376"/>
      <c r="I635" s="376"/>
      <c r="J635" s="375"/>
      <c r="K635" s="375"/>
      <c r="L635" s="382" t="str">
        <f t="shared" si="25"/>
        <v/>
      </c>
    </row>
    <row r="636" spans="2:12" x14ac:dyDescent="0.45">
      <c r="B636" s="380" t="s">
        <v>335</v>
      </c>
      <c r="C636" s="374"/>
      <c r="D636" s="375" t="s">
        <v>517</v>
      </c>
      <c r="E636" s="375"/>
      <c r="F636" s="375"/>
      <c r="G636" s="375"/>
      <c r="H636" s="376"/>
      <c r="I636" s="376"/>
      <c r="J636" s="375"/>
      <c r="K636" s="375"/>
      <c r="L636" s="382" t="str">
        <f t="shared" si="25"/>
        <v/>
      </c>
    </row>
    <row r="637" spans="2:12" x14ac:dyDescent="0.45">
      <c r="B637" s="380" t="s">
        <v>336</v>
      </c>
      <c r="C637" s="374"/>
      <c r="D637" s="375" t="s">
        <v>517</v>
      </c>
      <c r="E637" s="375"/>
      <c r="F637" s="375"/>
      <c r="G637" s="375"/>
      <c r="H637" s="376"/>
      <c r="I637" s="376"/>
      <c r="J637" s="375"/>
      <c r="K637" s="375"/>
      <c r="L637" s="382" t="str">
        <f t="shared" si="25"/>
        <v/>
      </c>
    </row>
    <row r="638" spans="2:12" x14ac:dyDescent="0.45">
      <c r="B638" s="380" t="s">
        <v>337</v>
      </c>
      <c r="C638" s="374"/>
      <c r="D638" s="375" t="s">
        <v>517</v>
      </c>
      <c r="E638" s="375"/>
      <c r="F638" s="375"/>
      <c r="G638" s="375"/>
      <c r="H638" s="376"/>
      <c r="I638" s="376"/>
      <c r="J638" s="375"/>
      <c r="K638" s="375"/>
      <c r="L638" s="382" t="str">
        <f t="shared" si="25"/>
        <v/>
      </c>
    </row>
    <row r="639" spans="2:12" x14ac:dyDescent="0.45">
      <c r="B639" s="380" t="s">
        <v>338</v>
      </c>
      <c r="C639" s="374"/>
      <c r="D639" s="375" t="s">
        <v>517</v>
      </c>
      <c r="E639" s="375"/>
      <c r="F639" s="375"/>
      <c r="G639" s="375"/>
      <c r="H639" s="376"/>
      <c r="I639" s="376"/>
      <c r="J639" s="375"/>
      <c r="K639" s="375"/>
      <c r="L639" s="382" t="str">
        <f t="shared" si="25"/>
        <v/>
      </c>
    </row>
    <row r="640" spans="2:12" x14ac:dyDescent="0.45">
      <c r="B640" s="380" t="s">
        <v>339</v>
      </c>
      <c r="C640" s="374"/>
      <c r="D640" s="375" t="s">
        <v>517</v>
      </c>
      <c r="E640" s="375"/>
      <c r="F640" s="375"/>
      <c r="G640" s="375"/>
      <c r="H640" s="376"/>
      <c r="I640" s="376"/>
      <c r="J640" s="375"/>
      <c r="K640" s="375"/>
      <c r="L640" s="382" t="str">
        <f t="shared" si="25"/>
        <v/>
      </c>
    </row>
    <row r="641" spans="2:12" x14ac:dyDescent="0.45">
      <c r="B641" s="380" t="s">
        <v>340</v>
      </c>
      <c r="C641" s="374"/>
      <c r="D641" s="375" t="s">
        <v>517</v>
      </c>
      <c r="E641" s="375"/>
      <c r="F641" s="375"/>
      <c r="G641" s="375"/>
      <c r="H641" s="376"/>
      <c r="I641" s="376"/>
      <c r="J641" s="375"/>
      <c r="K641" s="375"/>
      <c r="L641" s="382" t="str">
        <f t="shared" si="25"/>
        <v/>
      </c>
    </row>
    <row r="642" spans="2:12" x14ac:dyDescent="0.45">
      <c r="B642" s="381" t="s">
        <v>341</v>
      </c>
      <c r="C642" s="377"/>
      <c r="D642" s="378" t="s">
        <v>517</v>
      </c>
      <c r="E642" s="378"/>
      <c r="F642" s="378"/>
      <c r="G642" s="378"/>
      <c r="H642" s="379"/>
      <c r="I642" s="379"/>
      <c r="J642" s="378"/>
      <c r="K642" s="378"/>
      <c r="L642" s="383" t="str">
        <f t="shared" si="25"/>
        <v/>
      </c>
    </row>
    <row r="643" spans="2:12" ht="14.65" thickBot="1" x14ac:dyDescent="0.5">
      <c r="B643" s="388" t="s">
        <v>529</v>
      </c>
      <c r="C643" s="384" t="str">
        <f>COUNTIFS($C$625:$C$642,"&lt;&gt;",$D$625:$D$642,"&lt;&gt;Sub - unused")&amp;" played"</f>
        <v>0 played</v>
      </c>
      <c r="D643" s="384"/>
      <c r="E643" s="384"/>
      <c r="F643" s="384"/>
      <c r="G643" s="384">
        <f>SUM($G$625:$G$642)</f>
        <v>0</v>
      </c>
      <c r="H643" s="384">
        <f>SUM($H$625:$H$642)</f>
        <v>0</v>
      </c>
      <c r="I643" s="387" t="str">
        <f>IFERROR(AVERAGEIFS($I$625:$I$642,$I$625:$I$642,"&gt;0",$D$625:$D$642,"&lt;&gt;Sub - unused"),"")</f>
        <v/>
      </c>
      <c r="J643" s="384">
        <f>SUM($J$625:$J$642)</f>
        <v>0</v>
      </c>
      <c r="K643" s="384">
        <f>SUM($K$625:$K$642)</f>
        <v>0</v>
      </c>
      <c r="L643" s="384"/>
    </row>
    <row r="644" spans="2:12" ht="28.05" customHeight="1" thickTop="1" x14ac:dyDescent="0.45">
      <c r="B644" s="389" t="s">
        <v>342</v>
      </c>
      <c r="C644" s="507"/>
      <c r="D644" s="508"/>
      <c r="E644" s="508"/>
      <c r="F644" s="508"/>
      <c r="G644" s="508"/>
      <c r="H644" s="508"/>
      <c r="I644" s="508"/>
      <c r="J644" s="508"/>
      <c r="K644" s="508"/>
      <c r="L644" s="509"/>
    </row>
    <row r="645" spans="2:12" ht="28.05" customHeight="1" x14ac:dyDescent="0.45">
      <c r="B645" s="390" t="s">
        <v>530</v>
      </c>
      <c r="C645" s="510"/>
      <c r="D645" s="511"/>
      <c r="E645" s="511"/>
      <c r="F645" s="511"/>
      <c r="G645" s="511"/>
      <c r="H645" s="511"/>
      <c r="I645" s="511"/>
      <c r="J645" s="511"/>
      <c r="K645" s="511"/>
      <c r="L645" s="512"/>
    </row>
    <row r="647" spans="2:12" x14ac:dyDescent="0.45">
      <c r="B647" s="515" t="s">
        <v>551</v>
      </c>
      <c r="C647" s="515"/>
      <c r="D647" s="515"/>
      <c r="E647" s="515"/>
      <c r="F647" s="515"/>
      <c r="G647" s="515"/>
      <c r="H647" s="515"/>
      <c r="I647" s="515"/>
      <c r="J647" s="515"/>
      <c r="K647" s="515"/>
      <c r="L647" s="515"/>
    </row>
    <row r="648" spans="2:12" x14ac:dyDescent="0.45">
      <c r="B648" s="367" t="s">
        <v>301</v>
      </c>
      <c r="C648" s="367" t="s">
        <v>343</v>
      </c>
      <c r="D648" s="367" t="s">
        <v>344</v>
      </c>
      <c r="E648" s="367" t="s">
        <v>302</v>
      </c>
      <c r="F648" s="367" t="s">
        <v>303</v>
      </c>
      <c r="G648" s="367" t="s">
        <v>304</v>
      </c>
      <c r="H648" s="367" t="s">
        <v>346</v>
      </c>
    </row>
    <row r="649" spans="2:12" x14ac:dyDescent="0.45">
      <c r="B649" s="369"/>
      <c r="C649" s="370"/>
      <c r="D649" s="370"/>
      <c r="E649" s="370"/>
      <c r="F649" s="370"/>
      <c r="G649" s="371" t="str">
        <f>IF(OR($E$649="",$F$649=""),"",IF($E$649&gt;$F$649,"Win",IF($E$649=$F$649,"Draw","Loss")))</f>
        <v/>
      </c>
      <c r="H649" s="370"/>
    </row>
    <row r="650" spans="2:12" x14ac:dyDescent="0.45">
      <c r="B650" s="372" t="s">
        <v>520</v>
      </c>
      <c r="C650" s="368" t="str">
        <f>IF($F$649="","",IF($F$649=0,"Yes","No"))</f>
        <v/>
      </c>
      <c r="D650" s="372" t="s">
        <v>521</v>
      </c>
      <c r="E650" s="368">
        <f>SUM($G$652:$G$669)</f>
        <v>0</v>
      </c>
      <c r="F650" s="372" t="s">
        <v>522</v>
      </c>
      <c r="G650" s="368" t="str">
        <f>IF(OR($E$649="",$E$650=0),"",IF($E$650=$E$649,"OK","does not match GF"))</f>
        <v/>
      </c>
    </row>
    <row r="651" spans="2:12" x14ac:dyDescent="0.45">
      <c r="B651" s="373" t="s">
        <v>153</v>
      </c>
      <c r="C651" s="373" t="s">
        <v>18</v>
      </c>
      <c r="D651" s="373" t="s">
        <v>316</v>
      </c>
      <c r="E651" s="373" t="s">
        <v>217</v>
      </c>
      <c r="F651" s="373" t="s">
        <v>523</v>
      </c>
      <c r="G651" s="373" t="s">
        <v>524</v>
      </c>
      <c r="H651" s="373" t="s">
        <v>525</v>
      </c>
      <c r="I651" s="373" t="s">
        <v>155</v>
      </c>
      <c r="J651" s="373" t="s">
        <v>526</v>
      </c>
      <c r="K651" s="373" t="s">
        <v>527</v>
      </c>
      <c r="L651" s="373" t="s">
        <v>528</v>
      </c>
    </row>
    <row r="652" spans="2:12" x14ac:dyDescent="0.45">
      <c r="B652" s="380">
        <v>1</v>
      </c>
      <c r="C652" s="374"/>
      <c r="D652" s="375" t="s">
        <v>515</v>
      </c>
      <c r="E652" s="375"/>
      <c r="F652" s="375"/>
      <c r="G652" s="375"/>
      <c r="H652" s="376"/>
      <c r="I652" s="376"/>
      <c r="J652" s="375"/>
      <c r="K652" s="375"/>
      <c r="L652" s="382" t="str">
        <f>IF(OR($C652="",$E652&lt;&gt;"GK",$D652="Sub - unused",$F$649=""),"",IF($F$649=0,"Yes","No"))</f>
        <v/>
      </c>
    </row>
    <row r="653" spans="2:12" x14ac:dyDescent="0.45">
      <c r="B653" s="380">
        <v>2</v>
      </c>
      <c r="C653" s="374"/>
      <c r="D653" s="375" t="s">
        <v>515</v>
      </c>
      <c r="E653" s="375"/>
      <c r="F653" s="375"/>
      <c r="G653" s="375"/>
      <c r="H653" s="376"/>
      <c r="I653" s="376"/>
      <c r="J653" s="375"/>
      <c r="K653" s="375"/>
      <c r="L653" s="382" t="str">
        <f t="shared" ref="L653:L669" si="26">IF(OR($C653="",$E653&lt;&gt;"GK",$D653="Sub - unused",$F$649=""),"",IF($F$649=0,"Yes","No"))</f>
        <v/>
      </c>
    </row>
    <row r="654" spans="2:12" x14ac:dyDescent="0.45">
      <c r="B654" s="380">
        <v>3</v>
      </c>
      <c r="C654" s="374"/>
      <c r="D654" s="375" t="s">
        <v>515</v>
      </c>
      <c r="E654" s="375"/>
      <c r="F654" s="375"/>
      <c r="G654" s="375"/>
      <c r="H654" s="376"/>
      <c r="I654" s="376"/>
      <c r="J654" s="375"/>
      <c r="K654" s="375"/>
      <c r="L654" s="382" t="str">
        <f t="shared" si="26"/>
        <v/>
      </c>
    </row>
    <row r="655" spans="2:12" x14ac:dyDescent="0.45">
      <c r="B655" s="380">
        <v>4</v>
      </c>
      <c r="C655" s="374"/>
      <c r="D655" s="375" t="s">
        <v>515</v>
      </c>
      <c r="E655" s="375"/>
      <c r="F655" s="375"/>
      <c r="G655" s="375"/>
      <c r="H655" s="376"/>
      <c r="I655" s="376"/>
      <c r="J655" s="375"/>
      <c r="K655" s="375"/>
      <c r="L655" s="382" t="str">
        <f t="shared" si="26"/>
        <v/>
      </c>
    </row>
    <row r="656" spans="2:12" x14ac:dyDescent="0.45">
      <c r="B656" s="380">
        <v>5</v>
      </c>
      <c r="C656" s="374"/>
      <c r="D656" s="375" t="s">
        <v>515</v>
      </c>
      <c r="E656" s="375"/>
      <c r="F656" s="375"/>
      <c r="G656" s="375"/>
      <c r="H656" s="376"/>
      <c r="I656" s="376"/>
      <c r="J656" s="375"/>
      <c r="K656" s="375"/>
      <c r="L656" s="382" t="str">
        <f t="shared" si="26"/>
        <v/>
      </c>
    </row>
    <row r="657" spans="2:12" x14ac:dyDescent="0.45">
      <c r="B657" s="380">
        <v>6</v>
      </c>
      <c r="C657" s="374"/>
      <c r="D657" s="375" t="s">
        <v>515</v>
      </c>
      <c r="E657" s="375"/>
      <c r="F657" s="375"/>
      <c r="G657" s="375"/>
      <c r="H657" s="376"/>
      <c r="I657" s="376"/>
      <c r="J657" s="375"/>
      <c r="K657" s="375"/>
      <c r="L657" s="382" t="str">
        <f t="shared" si="26"/>
        <v/>
      </c>
    </row>
    <row r="658" spans="2:12" x14ac:dyDescent="0.45">
      <c r="B658" s="380">
        <v>7</v>
      </c>
      <c r="C658" s="374"/>
      <c r="D658" s="375" t="s">
        <v>515</v>
      </c>
      <c r="E658" s="375"/>
      <c r="F658" s="375"/>
      <c r="G658" s="375"/>
      <c r="H658" s="376"/>
      <c r="I658" s="376"/>
      <c r="J658" s="375"/>
      <c r="K658" s="375"/>
      <c r="L658" s="382" t="str">
        <f t="shared" si="26"/>
        <v/>
      </c>
    </row>
    <row r="659" spans="2:12" x14ac:dyDescent="0.45">
      <c r="B659" s="380">
        <v>8</v>
      </c>
      <c r="C659" s="374"/>
      <c r="D659" s="375" t="s">
        <v>515</v>
      </c>
      <c r="E659" s="375"/>
      <c r="F659" s="375"/>
      <c r="G659" s="375"/>
      <c r="H659" s="376"/>
      <c r="I659" s="376"/>
      <c r="J659" s="375"/>
      <c r="K659" s="375"/>
      <c r="L659" s="382" t="str">
        <f t="shared" si="26"/>
        <v/>
      </c>
    </row>
    <row r="660" spans="2:12" x14ac:dyDescent="0.45">
      <c r="B660" s="380">
        <v>9</v>
      </c>
      <c r="C660" s="374"/>
      <c r="D660" s="375" t="s">
        <v>515</v>
      </c>
      <c r="E660" s="375"/>
      <c r="F660" s="375"/>
      <c r="G660" s="375"/>
      <c r="H660" s="376"/>
      <c r="I660" s="376"/>
      <c r="J660" s="375"/>
      <c r="K660" s="375"/>
      <c r="L660" s="382" t="str">
        <f t="shared" si="26"/>
        <v/>
      </c>
    </row>
    <row r="661" spans="2:12" x14ac:dyDescent="0.45">
      <c r="B661" s="380">
        <v>10</v>
      </c>
      <c r="C661" s="374"/>
      <c r="D661" s="375" t="s">
        <v>515</v>
      </c>
      <c r="E661" s="375"/>
      <c r="F661" s="375"/>
      <c r="G661" s="375"/>
      <c r="H661" s="376"/>
      <c r="I661" s="376"/>
      <c r="J661" s="375"/>
      <c r="K661" s="375"/>
      <c r="L661" s="382" t="str">
        <f t="shared" si="26"/>
        <v/>
      </c>
    </row>
    <row r="662" spans="2:12" x14ac:dyDescent="0.45">
      <c r="B662" s="380">
        <v>11</v>
      </c>
      <c r="C662" s="374"/>
      <c r="D662" s="375" t="s">
        <v>515</v>
      </c>
      <c r="E662" s="375"/>
      <c r="F662" s="375"/>
      <c r="G662" s="375"/>
      <c r="H662" s="376"/>
      <c r="I662" s="376"/>
      <c r="J662" s="375"/>
      <c r="K662" s="375"/>
      <c r="L662" s="382" t="str">
        <f t="shared" si="26"/>
        <v/>
      </c>
    </row>
    <row r="663" spans="2:12" x14ac:dyDescent="0.45">
      <c r="B663" s="380" t="s">
        <v>335</v>
      </c>
      <c r="C663" s="374"/>
      <c r="D663" s="375" t="s">
        <v>517</v>
      </c>
      <c r="E663" s="375"/>
      <c r="F663" s="375"/>
      <c r="G663" s="375"/>
      <c r="H663" s="376"/>
      <c r="I663" s="376"/>
      <c r="J663" s="375"/>
      <c r="K663" s="375"/>
      <c r="L663" s="382" t="str">
        <f t="shared" si="26"/>
        <v/>
      </c>
    </row>
    <row r="664" spans="2:12" x14ac:dyDescent="0.45">
      <c r="B664" s="380" t="s">
        <v>336</v>
      </c>
      <c r="C664" s="374"/>
      <c r="D664" s="375" t="s">
        <v>517</v>
      </c>
      <c r="E664" s="375"/>
      <c r="F664" s="375"/>
      <c r="G664" s="375"/>
      <c r="H664" s="376"/>
      <c r="I664" s="376"/>
      <c r="J664" s="375"/>
      <c r="K664" s="375"/>
      <c r="L664" s="382" t="str">
        <f t="shared" si="26"/>
        <v/>
      </c>
    </row>
    <row r="665" spans="2:12" x14ac:dyDescent="0.45">
      <c r="B665" s="380" t="s">
        <v>337</v>
      </c>
      <c r="C665" s="374"/>
      <c r="D665" s="375" t="s">
        <v>517</v>
      </c>
      <c r="E665" s="375"/>
      <c r="F665" s="375"/>
      <c r="G665" s="375"/>
      <c r="H665" s="376"/>
      <c r="I665" s="376"/>
      <c r="J665" s="375"/>
      <c r="K665" s="375"/>
      <c r="L665" s="382" t="str">
        <f t="shared" si="26"/>
        <v/>
      </c>
    </row>
    <row r="666" spans="2:12" x14ac:dyDescent="0.45">
      <c r="B666" s="380" t="s">
        <v>338</v>
      </c>
      <c r="C666" s="374"/>
      <c r="D666" s="375" t="s">
        <v>517</v>
      </c>
      <c r="E666" s="375"/>
      <c r="F666" s="375"/>
      <c r="G666" s="375"/>
      <c r="H666" s="376"/>
      <c r="I666" s="376"/>
      <c r="J666" s="375"/>
      <c r="K666" s="375"/>
      <c r="L666" s="382" t="str">
        <f t="shared" si="26"/>
        <v/>
      </c>
    </row>
    <row r="667" spans="2:12" x14ac:dyDescent="0.45">
      <c r="B667" s="380" t="s">
        <v>339</v>
      </c>
      <c r="C667" s="374"/>
      <c r="D667" s="375" t="s">
        <v>517</v>
      </c>
      <c r="E667" s="375"/>
      <c r="F667" s="375"/>
      <c r="G667" s="375"/>
      <c r="H667" s="376"/>
      <c r="I667" s="376"/>
      <c r="J667" s="375"/>
      <c r="K667" s="375"/>
      <c r="L667" s="382" t="str">
        <f t="shared" si="26"/>
        <v/>
      </c>
    </row>
    <row r="668" spans="2:12" x14ac:dyDescent="0.45">
      <c r="B668" s="380" t="s">
        <v>340</v>
      </c>
      <c r="C668" s="374"/>
      <c r="D668" s="375" t="s">
        <v>517</v>
      </c>
      <c r="E668" s="375"/>
      <c r="F668" s="375"/>
      <c r="G668" s="375"/>
      <c r="H668" s="376"/>
      <c r="I668" s="376"/>
      <c r="J668" s="375"/>
      <c r="K668" s="375"/>
      <c r="L668" s="382" t="str">
        <f t="shared" si="26"/>
        <v/>
      </c>
    </row>
    <row r="669" spans="2:12" x14ac:dyDescent="0.45">
      <c r="B669" s="381" t="s">
        <v>341</v>
      </c>
      <c r="C669" s="377"/>
      <c r="D669" s="378" t="s">
        <v>517</v>
      </c>
      <c r="E669" s="378"/>
      <c r="F669" s="378"/>
      <c r="G669" s="378"/>
      <c r="H669" s="379"/>
      <c r="I669" s="379"/>
      <c r="J669" s="378"/>
      <c r="K669" s="378"/>
      <c r="L669" s="383" t="str">
        <f t="shared" si="26"/>
        <v/>
      </c>
    </row>
    <row r="670" spans="2:12" ht="14.65" thickBot="1" x14ac:dyDescent="0.5">
      <c r="B670" s="388" t="s">
        <v>529</v>
      </c>
      <c r="C670" s="384" t="str">
        <f>COUNTIFS($C$652:$C$669,"&lt;&gt;",$D$652:$D$669,"&lt;&gt;Sub - unused")&amp;" played"</f>
        <v>0 played</v>
      </c>
      <c r="D670" s="384"/>
      <c r="E670" s="384"/>
      <c r="F670" s="384"/>
      <c r="G670" s="384">
        <f>SUM($G$652:$G$669)</f>
        <v>0</v>
      </c>
      <c r="H670" s="384">
        <f>SUM($H$652:$H$669)</f>
        <v>0</v>
      </c>
      <c r="I670" s="387" t="str">
        <f>IFERROR(AVERAGEIFS($I$652:$I$669,$I$652:$I$669,"&gt;0",$D$652:$D$669,"&lt;&gt;Sub - unused"),"")</f>
        <v/>
      </c>
      <c r="J670" s="384">
        <f>SUM($J$652:$J$669)</f>
        <v>0</v>
      </c>
      <c r="K670" s="384">
        <f>SUM($K$652:$K$669)</f>
        <v>0</v>
      </c>
      <c r="L670" s="384"/>
    </row>
    <row r="671" spans="2:12" ht="28.05" customHeight="1" thickTop="1" x14ac:dyDescent="0.45">
      <c r="B671" s="389" t="s">
        <v>342</v>
      </c>
      <c r="C671" s="507"/>
      <c r="D671" s="508"/>
      <c r="E671" s="508"/>
      <c r="F671" s="508"/>
      <c r="G671" s="508"/>
      <c r="H671" s="508"/>
      <c r="I671" s="508"/>
      <c r="J671" s="508"/>
      <c r="K671" s="508"/>
      <c r="L671" s="509"/>
    </row>
    <row r="672" spans="2:12" ht="28.05" customHeight="1" x14ac:dyDescent="0.45">
      <c r="B672" s="390" t="s">
        <v>530</v>
      </c>
      <c r="C672" s="510"/>
      <c r="D672" s="511"/>
      <c r="E672" s="511"/>
      <c r="F672" s="511"/>
      <c r="G672" s="511"/>
      <c r="H672" s="511"/>
      <c r="I672" s="511"/>
      <c r="J672" s="511"/>
      <c r="K672" s="511"/>
      <c r="L672" s="512"/>
    </row>
  </sheetData>
  <mergeCells count="91">
    <mergeCell ref="B2:D2"/>
    <mergeCell ref="B3:H3"/>
    <mergeCell ref="C6:G6"/>
    <mergeCell ref="B8:F8"/>
    <mergeCell ref="B9:C9"/>
    <mergeCell ref="D9:F9"/>
    <mergeCell ref="B10:C10"/>
    <mergeCell ref="D10:F10"/>
    <mergeCell ref="B11:C11"/>
    <mergeCell ref="D11:F11"/>
    <mergeCell ref="AF7:AG7"/>
    <mergeCell ref="B80:L80"/>
    <mergeCell ref="C104:L104"/>
    <mergeCell ref="C105:L105"/>
    <mergeCell ref="B107:L107"/>
    <mergeCell ref="V43:AB43"/>
    <mergeCell ref="B64:H70"/>
    <mergeCell ref="B72:H72"/>
    <mergeCell ref="B73:H79"/>
    <mergeCell ref="B63:H63"/>
    <mergeCell ref="B12:C12"/>
    <mergeCell ref="D12:F12"/>
    <mergeCell ref="B13:C13"/>
    <mergeCell ref="D13:F13"/>
    <mergeCell ref="B14:C14"/>
    <mergeCell ref="D14:F14"/>
    <mergeCell ref="C131:L131"/>
    <mergeCell ref="C132:L132"/>
    <mergeCell ref="B134:L134"/>
    <mergeCell ref="C158:L158"/>
    <mergeCell ref="C159:L159"/>
    <mergeCell ref="B161:L161"/>
    <mergeCell ref="C185:L185"/>
    <mergeCell ref="C186:L186"/>
    <mergeCell ref="B188:L188"/>
    <mergeCell ref="C212:L212"/>
    <mergeCell ref="C213:L213"/>
    <mergeCell ref="B215:L215"/>
    <mergeCell ref="C239:L239"/>
    <mergeCell ref="C240:L240"/>
    <mergeCell ref="B242:L242"/>
    <mergeCell ref="C266:L266"/>
    <mergeCell ref="C267:L267"/>
    <mergeCell ref="B269:L269"/>
    <mergeCell ref="C293:L293"/>
    <mergeCell ref="C294:L294"/>
    <mergeCell ref="B296:L296"/>
    <mergeCell ref="C320:L320"/>
    <mergeCell ref="C321:L321"/>
    <mergeCell ref="B323:L323"/>
    <mergeCell ref="C347:L347"/>
    <mergeCell ref="C348:L348"/>
    <mergeCell ref="B350:L350"/>
    <mergeCell ref="C374:L374"/>
    <mergeCell ref="C375:L375"/>
    <mergeCell ref="B377:L377"/>
    <mergeCell ref="C401:L401"/>
    <mergeCell ref="C402:L402"/>
    <mergeCell ref="B404:L404"/>
    <mergeCell ref="C428:L428"/>
    <mergeCell ref="C429:L429"/>
    <mergeCell ref="B431:L431"/>
    <mergeCell ref="C455:L455"/>
    <mergeCell ref="C456:L456"/>
    <mergeCell ref="B458:L458"/>
    <mergeCell ref="C482:L482"/>
    <mergeCell ref="C537:L537"/>
    <mergeCell ref="B539:L539"/>
    <mergeCell ref="C563:L563"/>
    <mergeCell ref="C564:L564"/>
    <mergeCell ref="C483:L483"/>
    <mergeCell ref="B485:L485"/>
    <mergeCell ref="C509:L509"/>
    <mergeCell ref="C510:L510"/>
    <mergeCell ref="B512:L512"/>
    <mergeCell ref="C671:L671"/>
    <mergeCell ref="C672:L672"/>
    <mergeCell ref="B16:K16"/>
    <mergeCell ref="B30:K30"/>
    <mergeCell ref="B40:K40"/>
    <mergeCell ref="C618:L618"/>
    <mergeCell ref="B620:L620"/>
    <mergeCell ref="C644:L644"/>
    <mergeCell ref="C645:L645"/>
    <mergeCell ref="B647:L647"/>
    <mergeCell ref="B566:L566"/>
    <mergeCell ref="C590:L590"/>
    <mergeCell ref="C591:L591"/>
    <mergeCell ref="B593:L593"/>
    <mergeCell ref="C617:L617"/>
    <mergeCell ref="C536:L536"/>
  </mergeCells>
  <conditionalFormatting sqref="C85:C100">
    <cfRule type="expression" dxfId="28" priority="1">
      <formula>AND(C85&lt;&gt;"",COUNTIF($C$112:$C$129,C85)&gt;1)</formula>
    </cfRule>
  </conditionalFormatting>
  <conditionalFormatting sqref="C101:C102">
    <cfRule type="expression" dxfId="27" priority="6">
      <formula>AND(C101&lt;&gt;"",COUNTIF($C$85:$C$102,C101)&gt;1)</formula>
    </cfRule>
  </conditionalFormatting>
  <conditionalFormatting sqref="C112:C129">
    <cfRule type="expression" dxfId="26" priority="7">
      <formula>AND(C112&lt;&gt;"",COUNTIF($C$112:$C$129,C112)&gt;1)</formula>
    </cfRule>
  </conditionalFormatting>
  <conditionalFormatting sqref="C139:C156">
    <cfRule type="expression" dxfId="25" priority="8">
      <formula>AND(C139&lt;&gt;"",COUNTIF($C$139:$C$156,C139)&gt;1)</formula>
    </cfRule>
  </conditionalFormatting>
  <conditionalFormatting sqref="C166:C183">
    <cfRule type="expression" dxfId="24" priority="9">
      <formula>AND(C166&lt;&gt;"",COUNTIF($C$166:$C$183,C166)&gt;1)</formula>
    </cfRule>
  </conditionalFormatting>
  <conditionalFormatting sqref="C193:C210">
    <cfRule type="expression" dxfId="23" priority="10">
      <formula>AND(C193&lt;&gt;"",COUNTIF($C$193:$C$210,C193)&gt;1)</formula>
    </cfRule>
  </conditionalFormatting>
  <conditionalFormatting sqref="C220:C237">
    <cfRule type="expression" dxfId="22" priority="11">
      <formula>AND(C220&lt;&gt;"",COUNTIF($C$220:$C$237,C220)&gt;1)</formula>
    </cfRule>
  </conditionalFormatting>
  <conditionalFormatting sqref="C247:C264">
    <cfRule type="expression" dxfId="21" priority="12">
      <formula>AND(C247&lt;&gt;"",COUNTIF($C$247:$C$264,C247)&gt;1)</formula>
    </cfRule>
  </conditionalFormatting>
  <conditionalFormatting sqref="C274:C291">
    <cfRule type="expression" dxfId="20" priority="13">
      <formula>AND(C274&lt;&gt;"",COUNTIF($C$274:$C$291,C274)&gt;1)</formula>
    </cfRule>
  </conditionalFormatting>
  <conditionalFormatting sqref="C301:C318">
    <cfRule type="expression" dxfId="19" priority="14">
      <formula>AND(C301&lt;&gt;"",COUNTIF($C$301:$C$318,C301)&gt;1)</formula>
    </cfRule>
  </conditionalFormatting>
  <conditionalFormatting sqref="C328:C345">
    <cfRule type="expression" dxfId="18" priority="15">
      <formula>AND(C328&lt;&gt;"",COUNTIF($C$328:$C$345,C328)&gt;1)</formula>
    </cfRule>
  </conditionalFormatting>
  <conditionalFormatting sqref="C355:C372">
    <cfRule type="expression" dxfId="17" priority="16">
      <formula>AND(C355&lt;&gt;"",COUNTIF($C$355:$C$372,C355)&gt;1)</formula>
    </cfRule>
  </conditionalFormatting>
  <conditionalFormatting sqref="C382:C399">
    <cfRule type="expression" dxfId="16" priority="17">
      <formula>AND(C382&lt;&gt;"",COUNTIF($C$382:$C$399,C382)&gt;1)</formula>
    </cfRule>
  </conditionalFormatting>
  <conditionalFormatting sqref="C409:C426">
    <cfRule type="expression" dxfId="15" priority="18">
      <formula>AND(C409&lt;&gt;"",COUNTIF($C$409:$C$426,C409)&gt;1)</formula>
    </cfRule>
  </conditionalFormatting>
  <conditionalFormatting sqref="C436:C453">
    <cfRule type="expression" dxfId="14" priority="19">
      <formula>AND(C436&lt;&gt;"",COUNTIF($C$436:$C$453,C436)&gt;1)</formula>
    </cfRule>
  </conditionalFormatting>
  <conditionalFormatting sqref="C463:C480">
    <cfRule type="expression" dxfId="13" priority="20">
      <formula>AND(C463&lt;&gt;"",COUNTIF($C$463:$C$480,C463)&gt;1)</formula>
    </cfRule>
  </conditionalFormatting>
  <conditionalFormatting sqref="C490:C507">
    <cfRule type="expression" dxfId="12" priority="21">
      <formula>AND(C490&lt;&gt;"",COUNTIF($C$490:$C$507,C490)&gt;1)</formula>
    </cfRule>
  </conditionalFormatting>
  <conditionalFormatting sqref="C517:C534">
    <cfRule type="expression" dxfId="11" priority="22">
      <formula>AND(C517&lt;&gt;"",COUNTIF($C$517:$C$534,C517)&gt;1)</formula>
    </cfRule>
  </conditionalFormatting>
  <conditionalFormatting sqref="C544:C561">
    <cfRule type="expression" dxfId="10" priority="23">
      <formula>AND(C544&lt;&gt;"",COUNTIF($C$544:$C$561,C544)&gt;1)</formula>
    </cfRule>
  </conditionalFormatting>
  <conditionalFormatting sqref="C571:C588">
    <cfRule type="expression" dxfId="9" priority="24">
      <formula>AND(C571&lt;&gt;"",COUNTIF($C$571:$C$588,C571)&gt;1)</formula>
    </cfRule>
  </conditionalFormatting>
  <conditionalFormatting sqref="C598:C615">
    <cfRule type="expression" dxfId="8" priority="25">
      <formula>AND(C598&lt;&gt;"",COUNTIF($C$598:$C$615,C598)&gt;1)</formula>
    </cfRule>
  </conditionalFormatting>
  <conditionalFormatting sqref="C625:C642">
    <cfRule type="expression" dxfId="7" priority="26">
      <formula>AND(C625&lt;&gt;"",COUNTIF($C$625:$C$642,C625)&gt;1)</formula>
    </cfRule>
  </conditionalFormatting>
  <conditionalFormatting sqref="C652:C669">
    <cfRule type="expression" dxfId="6" priority="27">
      <formula>AND(C652&lt;&gt;"",COUNTIF($C$652:$C$669,C652)&gt;1)</formula>
    </cfRule>
  </conditionalFormatting>
  <conditionalFormatting sqref="K13:AD15 L16:AD16 J17:K28 K29">
    <cfRule type="expression" dxfId="5" priority="4">
      <formula>$J13=$B$6</formula>
    </cfRule>
  </conditionalFormatting>
  <dataValidations count="31">
    <dataValidation type="list" allowBlank="1" showInputMessage="1" showErrorMessage="1" promptTitle="Game week" prompt="Pick the game week (1-22) to report on." sqref="B6" xr:uid="{00000000-0002-0000-0500-000000000000}">
      <formula1>$J$9:$J$30</formula1>
      <formula2>0</formula2>
    </dataValidation>
    <dataValidation type="list" allowBlank="1" showInputMessage="1" showErrorMessage="1" sqref="C82 C109 C136 C163 C190 C217 C244 C271 C298 C325 C352 C379 C406 C433 C460 C487 C514 C541 C568 C595 C622 C649" xr:uid="{60824804-79F7-4A7C-B035-CC37A4A46EE2}">
      <formula1>$R$45:$R$60</formula1>
    </dataValidation>
    <dataValidation type="list" allowBlank="1" showInputMessage="1" showErrorMessage="1" sqref="D82 D109 D136 D163 D190 D217 D244 D271 D298 D325 D352 D379 D406 D433 D460 D487 D514 D541 D568 D595 D622 D649" xr:uid="{98CBEF66-A22D-4BD1-8CD6-F6EAA9B54F23}">
      <formula1>$AF$42:$AF$43</formula1>
    </dataValidation>
    <dataValidation type="whole" allowBlank="1" showInputMessage="1" showErrorMessage="1" sqref="E82:F82 E109:F109 E136:F136 E163:F163 E190:F190 E217:F217 E244:F244 E271:F271 E298:F298 E325:F325 E352:F352 E379:F379 E406:F406 E433:F433 E460:F460 E487:F487 E514:F514 E541:F541 E568:F568 E595:F595 E622:F622 E649:F649" xr:uid="{57E83B0D-F0D2-46EE-AC0E-E29C8C6FF8E0}">
      <formula1>0</formula1>
      <formula2>30</formula2>
    </dataValidation>
    <dataValidation type="list" allowBlank="1" showInputMessage="1" showErrorMessage="1" sqref="H82" xr:uid="{092188A1-D9C9-4326-BBFF-1A840D235332}">
      <formula1>$C$85:$C$102</formula1>
    </dataValidation>
    <dataValidation type="list" allowBlank="1" showInputMessage="1" showErrorMessage="1" sqref="D652:D669 D112:D129 D139:D156 D166:D183 D193:D210 D220:D237 D247:D264 D274:D291 D301:D318 D328:D345 D355:D372 D382:D399 D409:D426 D436:D453 D463:D480 D490:D507 D517:D534 D544:D561 D571:D588 D598:D615 D625:D642 D85:D102" xr:uid="{270F7F0D-0703-454F-B55D-B5E669DE1465}">
      <formula1>$AF$37:$AF$39</formula1>
    </dataValidation>
    <dataValidation type="list" allowBlank="1" showInputMessage="1" showErrorMessage="1" sqref="E112:F129 E139:F156 E166:F183 E193:F210 E220:F237 E247:F264 E274:F291 E301:F318 E328:F345 E355:F372 E382:F399 E409:F426 E436:F453 E463:F480 E490:F507 E517:F534 E544:F561 E571:F588 E598:F615 E625:F642 E652:F669 E85:F102" xr:uid="{8310A968-61F9-464C-B550-1EAC7BBA1BD4}">
      <formula1>$AF$18:$AF$34</formula1>
    </dataValidation>
    <dataValidation type="whole" allowBlank="1" showInputMessage="1" showErrorMessage="1" sqref="G652:H669 G112:H129 G139:H156 G166:H183 G193:H210 G220:H237 G247:H264 G274:H291 G301:H318 G328:H345 G355:H372 G382:H399 G409:H426 G436:H453 G463:H480 G490:H507 G517:H534 G544:H561 G571:H588 G598:H615 G625:H642 G85:H102" xr:uid="{79778C1F-6898-4F8F-8EC3-3D592CAC8BFB}">
      <formula1>0</formula1>
      <formula2>20</formula2>
    </dataValidation>
    <dataValidation type="decimal" allowBlank="1" showInputMessage="1" showErrorMessage="1" sqref="I652:I669 I112:I129 I139:I156 I166:I183 I193:I210 I220:I237 I247:I264 I274:I291 I301:I318 I328:I345 I355:I372 I382:I399 I409:I426 I436:I453 I463:I480 I490:I507 I517:I534 I544:I561 I571:I588 I598:I615 I625:I642 I85:I102" xr:uid="{8DB6E819-53A4-4462-BC41-82FA47368CE1}">
      <formula1>0</formula1>
      <formula2>10</formula2>
    </dataValidation>
    <dataValidation type="whole" allowBlank="1" showInputMessage="1" showErrorMessage="1" sqref="J652:K669 J112:K129 J139:K156 J166:K183 J193:K210 J220:K237 J247:K264 J274:K291 J301:K318 J328:K345 J355:K372 J382:K399 J409:K426 J436:K453 J463:K480 J490:K507 J517:K534 J544:K561 J571:K588 J598:K615 J625:K642 J85:K102" xr:uid="{7918DBDA-8259-46B0-9D73-1E4FE83B05D5}">
      <formula1>0</formula1>
      <formula2>5</formula2>
    </dataValidation>
    <dataValidation type="list" allowBlank="1" showInputMessage="1" showErrorMessage="1" sqref="H109" xr:uid="{8AD800DE-37BF-4BD1-9865-76C365882351}">
      <formula1>$C$112:$C$129</formula1>
    </dataValidation>
    <dataValidation type="list" allowBlank="1" showInputMessage="1" showErrorMessage="1" sqref="H136" xr:uid="{F0571AE0-D943-407C-AD84-B64B88FBB046}">
      <formula1>$C$139:$C$156</formula1>
    </dataValidation>
    <dataValidation type="list" allowBlank="1" showInputMessage="1" showErrorMessage="1" sqref="H163" xr:uid="{2E3CD8FA-C9A3-47E4-9689-C9C32CC74E1C}">
      <formula1>$C$166:$C$183</formula1>
    </dataValidation>
    <dataValidation type="list" allowBlank="1" showInputMessage="1" showErrorMessage="1" sqref="H190" xr:uid="{0937F25C-B884-48DE-B268-1A14474D4BAB}">
      <formula1>$C$193:$C$210</formula1>
    </dataValidation>
    <dataValidation type="list" allowBlank="1" showInputMessage="1" showErrorMessage="1" sqref="H217" xr:uid="{BAB64BA5-FE98-4E33-9C00-A9261C30020D}">
      <formula1>$C$220:$C$237</formula1>
    </dataValidation>
    <dataValidation type="list" allowBlank="1" showInputMessage="1" showErrorMessage="1" sqref="H244" xr:uid="{573D9290-D615-4894-9585-ACFD7F4102C6}">
      <formula1>$C$247:$C$264</formula1>
    </dataValidation>
    <dataValidation type="list" allowBlank="1" showInputMessage="1" showErrorMessage="1" sqref="H271" xr:uid="{B5BE2345-501B-4D8A-9C22-793E861AEED3}">
      <formula1>$C$274:$C$291</formula1>
    </dataValidation>
    <dataValidation type="list" allowBlank="1" showInputMessage="1" showErrorMessage="1" sqref="H298" xr:uid="{BBB8CDA6-1F3B-4DB5-9846-B35F1B236453}">
      <formula1>$C$301:$C$318</formula1>
    </dataValidation>
    <dataValidation type="list" allowBlank="1" showInputMessage="1" showErrorMessage="1" sqref="H325" xr:uid="{F36B508D-32F8-4D76-947E-C186BAC95C48}">
      <formula1>$C$328:$C$345</formula1>
    </dataValidation>
    <dataValidation type="list" allowBlank="1" showInputMessage="1" showErrorMessage="1" sqref="H352" xr:uid="{9B6FA892-7E66-4EBE-BFBD-64A7A4FEFAE0}">
      <formula1>$C$355:$C$372</formula1>
    </dataValidation>
    <dataValidation type="list" allowBlank="1" showInputMessage="1" showErrorMessage="1" sqref="H379" xr:uid="{850DA6F7-9B6F-4FA1-87FD-45C492449C2F}">
      <formula1>$C$382:$C$399</formula1>
    </dataValidation>
    <dataValidation type="list" allowBlank="1" showInputMessage="1" showErrorMessage="1" sqref="H406" xr:uid="{74380C52-6BB1-41FD-A805-A54BE41BDACE}">
      <formula1>$C$409:$C$426</formula1>
    </dataValidation>
    <dataValidation type="list" allowBlank="1" showInputMessage="1" showErrorMessage="1" sqref="H433" xr:uid="{DE51D889-08B8-4D55-B91E-B262142C6C3A}">
      <formula1>$C$436:$C$453</formula1>
    </dataValidation>
    <dataValidation type="list" allowBlank="1" showInputMessage="1" showErrorMessage="1" sqref="H460" xr:uid="{911DED5C-8B1C-4E9C-A4FF-98C71063C123}">
      <formula1>$C$463:$C$480</formula1>
    </dataValidation>
    <dataValidation type="list" allowBlank="1" showInputMessage="1" showErrorMessage="1" sqref="H487" xr:uid="{CE61B2E0-1D4B-4AC2-ABB1-4FA0CBC9DD91}">
      <formula1>$C$490:$C$507</formula1>
    </dataValidation>
    <dataValidation type="list" allowBlank="1" showInputMessage="1" showErrorMessage="1" sqref="H514" xr:uid="{E304072B-4869-4BB4-84A9-F0F5BA52133B}">
      <formula1>$C$517:$C$534</formula1>
    </dataValidation>
    <dataValidation type="list" allowBlank="1" showInputMessage="1" showErrorMessage="1" sqref="H541" xr:uid="{DCE3897B-8674-4BAE-8F22-A101E65A4BC6}">
      <formula1>$C$544:$C$561</formula1>
    </dataValidation>
    <dataValidation type="list" allowBlank="1" showInputMessage="1" showErrorMessage="1" sqref="H568" xr:uid="{86289B56-8C60-444E-8E37-E7D5094E0354}">
      <formula1>$C$571:$C$588</formula1>
    </dataValidation>
    <dataValidation type="list" allowBlank="1" showInputMessage="1" showErrorMessage="1" sqref="H595" xr:uid="{F1A9AEAB-15E1-43A1-A411-23650692F245}">
      <formula1>$C$598:$C$615</formula1>
    </dataValidation>
    <dataValidation type="list" allowBlank="1" showInputMessage="1" showErrorMessage="1" sqref="H622" xr:uid="{11458441-6208-480C-B988-5FB66ED16128}">
      <formula1>$C$625:$C$642</formula1>
    </dataValidation>
    <dataValidation type="list" allowBlank="1" showInputMessage="1" showErrorMessage="1" sqref="H649" xr:uid="{C19C6AD5-7BC1-4237-9C5B-4DDA9ACBABD6}">
      <formula1>$C$652:$C$669</formula1>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F11711B6-B632-4BF3-B502-BD6BF6232C0B}">
          <x14:formula1>
            <xm:f>Attendance!$D$5:$D$24</xm:f>
          </x14:formula1>
          <xm:sqref>C652:C669 C112:C129 C139:C156 C166:C183 C193:C210 C220:C237 C247:C264 C274:C291 C301:C318 C328:C345 C355:C372 C382:C399 C409:C426 C436:C453 C463:C480 C490:C507 C517:C534 C544:C561 C571:C588 C598:C615 C625:C642 C85:C102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U27"/>
  <sheetViews>
    <sheetView zoomScaleNormal="100" workbookViewId="0">
      <pane ySplit="5" topLeftCell="A6" activePane="bottomLeft" state="frozen"/>
      <selection pane="bottomLeft" activeCell="I7" sqref="I7"/>
    </sheetView>
  </sheetViews>
  <sheetFormatPr defaultColWidth="8.53125" defaultRowHeight="14.25" x14ac:dyDescent="0.45"/>
  <cols>
    <col min="2" max="2" width="12.86328125" customWidth="1"/>
    <col min="3" max="3" width="21.265625" customWidth="1"/>
    <col min="4" max="11" width="12.86328125" customWidth="1"/>
    <col min="12" max="12" width="21.265625" customWidth="1"/>
    <col min="13" max="14" width="12.86328125" customWidth="1"/>
    <col min="15" max="15" width="21.265625" customWidth="1"/>
    <col min="16" max="18" width="12.86328125" customWidth="1"/>
    <col min="19" max="19" width="23.1328125" customWidth="1"/>
    <col min="20" max="27" width="12.86328125" customWidth="1"/>
    <col min="28" max="28" width="21.265625" customWidth="1"/>
    <col min="29" max="31" width="12.86328125" customWidth="1"/>
    <col min="32" max="32" width="23.1328125" customWidth="1"/>
    <col min="33" max="36" width="12.86328125" customWidth="1"/>
    <col min="38" max="38" width="23.1328125" customWidth="1"/>
    <col min="71" max="71" width="29.46484375" bestFit="1" customWidth="1"/>
    <col min="72" max="72" width="10.19921875" bestFit="1" customWidth="1"/>
    <col min="73" max="73" width="5.53125" bestFit="1" customWidth="1"/>
  </cols>
  <sheetData>
    <row r="1" spans="2:73" x14ac:dyDescent="0.45">
      <c r="BA1" s="283" t="s">
        <v>353</v>
      </c>
      <c r="BB1" s="65">
        <v>7</v>
      </c>
      <c r="BC1" s="283" t="s">
        <v>354</v>
      </c>
      <c r="BD1" s="284">
        <f ca="1">IF($BB$2&gt;0,$BB$2,$BB$3)</f>
        <v>46259</v>
      </c>
    </row>
    <row r="2" spans="2:73" ht="18" customHeight="1" x14ac:dyDescent="0.55000000000000004">
      <c r="B2" s="456" t="s">
        <v>355</v>
      </c>
      <c r="C2" s="456"/>
      <c r="D2" s="456"/>
      <c r="E2" s="456"/>
      <c r="F2" s="456"/>
      <c r="X2" s="285" t="s">
        <v>356</v>
      </c>
      <c r="Y2" s="285" t="str">
        <f>IFERROR(MATCH(Dashboard!$C$86,Attendance!$D$5:$D$24,0)+4,"")</f>
        <v/>
      </c>
      <c r="BA2" s="283" t="s">
        <v>357</v>
      </c>
      <c r="BB2" s="286">
        <f t="array" aca="1" ref="BB2" ca="1">IFERROR(MAX(IF((ATAtt="Att")*(ATDates&lt;&gt;"")*(ATDates&lt;=TODAY()),ATDates)),0)</f>
        <v>46259</v>
      </c>
      <c r="BC2" s="283" t="s">
        <v>358</v>
      </c>
      <c r="BD2" s="287" t="str">
        <f ca="1">IF($BB$2&gt;0,"In-season","Pre-season")</f>
        <v>In-season</v>
      </c>
    </row>
    <row r="3" spans="2:73" x14ac:dyDescent="0.45">
      <c r="B3" s="457" t="s">
        <v>359</v>
      </c>
      <c r="C3" s="457"/>
      <c r="D3" s="457"/>
      <c r="E3" s="457"/>
      <c r="F3" s="457"/>
      <c r="G3" s="457"/>
      <c r="H3" s="457"/>
      <c r="BA3" s="283" t="s">
        <v>360</v>
      </c>
      <c r="BB3" s="286">
        <f t="array" aca="1" ref="BB3" ca="1">IFERROR(MAX(IF((PSAtt="Att")*(PSDates&lt;&gt;"")*(PSDates&lt;=TODAY()),PSDates)),0)</f>
        <v>46254</v>
      </c>
      <c r="BC3" s="283" t="s">
        <v>361</v>
      </c>
      <c r="BD3" s="288">
        <f t="array" aca="1" ref="BD3" ca="1">IF(ActiveSrc="In-season",SUMPRODUCT((ATAtt="Att")*(ATDates&lt;&gt;"")*(ATDates&gt;WinEnd-WinDays)*(ATDates&lt;=WinEnd)),SUMPRODUCT((PSAtt="Att")*(PSDates&lt;&gt;"")*(PSDates&gt;WinEnd-WinDays)*(PSDates&lt;=WinEnd)))</f>
        <v>1</v>
      </c>
    </row>
    <row r="4" spans="2:73" x14ac:dyDescent="0.45">
      <c r="B4" s="528" t="s">
        <v>362</v>
      </c>
      <c r="C4" s="528"/>
      <c r="D4" s="528"/>
      <c r="E4" s="528"/>
      <c r="F4" s="528"/>
      <c r="G4" s="528"/>
      <c r="H4" s="528"/>
      <c r="I4" s="528"/>
      <c r="J4" s="528"/>
      <c r="K4" s="528" t="s">
        <v>363</v>
      </c>
      <c r="L4" s="528"/>
      <c r="M4" s="528"/>
      <c r="O4" s="528" t="s">
        <v>364</v>
      </c>
      <c r="P4" s="528"/>
      <c r="Q4" s="528"/>
      <c r="S4" s="528" t="s">
        <v>365</v>
      </c>
      <c r="T4" s="528"/>
      <c r="U4" s="528"/>
      <c r="V4" s="528"/>
      <c r="X4" s="528" t="s">
        <v>366</v>
      </c>
      <c r="Y4" s="528"/>
      <c r="Z4" s="528"/>
      <c r="AB4" s="289" t="s">
        <v>367</v>
      </c>
      <c r="AD4" s="528" t="s">
        <v>368</v>
      </c>
      <c r="AE4" s="528"/>
      <c r="AF4" s="528"/>
      <c r="AG4" s="528"/>
      <c r="AH4" s="528"/>
      <c r="AI4" s="528"/>
      <c r="AJ4" s="528"/>
      <c r="AO4" s="290" t="s">
        <v>369</v>
      </c>
      <c r="BA4" s="291" t="s">
        <v>370</v>
      </c>
      <c r="BJ4" s="291" t="s">
        <v>371</v>
      </c>
      <c r="BO4" s="291" t="s">
        <v>372</v>
      </c>
      <c r="BS4" s="356" t="s">
        <v>503</v>
      </c>
    </row>
    <row r="5" spans="2:73" ht="31.5" customHeight="1" x14ac:dyDescent="0.45">
      <c r="B5" s="292" t="s">
        <v>153</v>
      </c>
      <c r="C5" s="292" t="s">
        <v>18</v>
      </c>
      <c r="D5" s="292" t="s">
        <v>373</v>
      </c>
      <c r="E5" s="292" t="s">
        <v>4</v>
      </c>
      <c r="F5" s="292" t="s">
        <v>374</v>
      </c>
      <c r="G5" s="292" t="s">
        <v>6</v>
      </c>
      <c r="H5" s="292" t="s">
        <v>24</v>
      </c>
      <c r="I5" s="292" t="s">
        <v>375</v>
      </c>
      <c r="J5" s="292" t="s">
        <v>376</v>
      </c>
      <c r="K5" s="292" t="s">
        <v>25</v>
      </c>
      <c r="L5" s="292" t="s">
        <v>18</v>
      </c>
      <c r="M5" s="292" t="s">
        <v>24</v>
      </c>
      <c r="N5" s="292"/>
      <c r="O5" s="292" t="s">
        <v>18</v>
      </c>
      <c r="P5" s="292" t="s">
        <v>4</v>
      </c>
      <c r="Q5" s="292" t="s">
        <v>6</v>
      </c>
      <c r="R5" s="292"/>
      <c r="S5" s="292" t="s">
        <v>375</v>
      </c>
      <c r="T5" s="292" t="s">
        <v>377</v>
      </c>
      <c r="U5" s="292" t="s">
        <v>378</v>
      </c>
      <c r="V5" s="292" t="s">
        <v>33</v>
      </c>
      <c r="W5" s="292"/>
      <c r="X5" s="292" t="s">
        <v>334</v>
      </c>
      <c r="Y5" s="292" t="s">
        <v>4</v>
      </c>
      <c r="Z5" s="292" t="s">
        <v>145</v>
      </c>
      <c r="AA5" s="292" t="s">
        <v>379</v>
      </c>
      <c r="AB5" s="292" t="s">
        <v>380</v>
      </c>
      <c r="AC5" s="292"/>
      <c r="AD5" s="292" t="s">
        <v>334</v>
      </c>
      <c r="AE5" s="292" t="s">
        <v>301</v>
      </c>
      <c r="AF5" s="292" t="s">
        <v>299</v>
      </c>
      <c r="AG5" s="292" t="s">
        <v>300</v>
      </c>
      <c r="AH5" s="292" t="s">
        <v>302</v>
      </c>
      <c r="AI5" s="292" t="s">
        <v>303</v>
      </c>
      <c r="AJ5" s="292" t="s">
        <v>304</v>
      </c>
      <c r="AL5" s="241" t="s">
        <v>375</v>
      </c>
      <c r="AM5" s="241" t="s">
        <v>33</v>
      </c>
      <c r="AO5" s="290" t="s">
        <v>18</v>
      </c>
      <c r="AP5" s="290" t="s">
        <v>381</v>
      </c>
      <c r="AQ5" s="290" t="s">
        <v>382</v>
      </c>
      <c r="AR5" s="290" t="s">
        <v>383</v>
      </c>
      <c r="AS5" s="290" t="s">
        <v>384</v>
      </c>
      <c r="AT5" s="290" t="s">
        <v>385</v>
      </c>
      <c r="AU5" s="290" t="s">
        <v>386</v>
      </c>
      <c r="AV5" s="290" t="s">
        <v>387</v>
      </c>
      <c r="AW5" s="290" t="s">
        <v>388</v>
      </c>
      <c r="AX5" s="293" t="s">
        <v>389</v>
      </c>
      <c r="BA5" s="293" t="s">
        <v>18</v>
      </c>
      <c r="BB5" s="293" t="s">
        <v>390</v>
      </c>
      <c r="BC5" s="293" t="s">
        <v>391</v>
      </c>
      <c r="BD5" s="293" t="s">
        <v>392</v>
      </c>
      <c r="BE5" s="293" t="s">
        <v>393</v>
      </c>
      <c r="BF5" s="293" t="s">
        <v>394</v>
      </c>
      <c r="BG5" s="293" t="s">
        <v>395</v>
      </c>
      <c r="BH5" s="293" t="s">
        <v>396</v>
      </c>
      <c r="BJ5" s="293" t="s">
        <v>18</v>
      </c>
      <c r="BK5" s="293" t="s">
        <v>397</v>
      </c>
      <c r="BL5" s="293" t="s">
        <v>34</v>
      </c>
      <c r="BM5" s="293" t="s">
        <v>398</v>
      </c>
      <c r="BO5" s="293" t="s">
        <v>32</v>
      </c>
      <c r="BP5" s="293" t="s">
        <v>399</v>
      </c>
      <c r="BQ5" s="293" t="s">
        <v>33</v>
      </c>
      <c r="BS5" s="357" t="s">
        <v>18</v>
      </c>
      <c r="BT5" s="358" t="s">
        <v>504</v>
      </c>
      <c r="BU5" s="358" t="s">
        <v>505</v>
      </c>
    </row>
    <row r="6" spans="2:73" x14ac:dyDescent="0.45">
      <c r="B6" s="294">
        <f>IF($C6="","",Attendance!$C5)</f>
        <v>1</v>
      </c>
      <c r="C6" s="295" t="str">
        <f>IF(Attendance!$D5="","",Attendance!$D5)</f>
        <v>Aoife Kennan</v>
      </c>
      <c r="D6" s="296">
        <f>IF($C6="","",IFERROR(Attendance!$GC5,""))</f>
        <v>1</v>
      </c>
      <c r="E6" s="297">
        <f>IF($C6="","",IFERROR(Attendance!$GD5,""))</f>
        <v>3</v>
      </c>
      <c r="F6" s="296" t="str">
        <f>IF($C6="","",IFERROR(Attendance!$GH5,""))</f>
        <v/>
      </c>
      <c r="G6" s="297">
        <f>IF($C6="","",IFERROR(Attendance!$GK5,""))</f>
        <v>6.5</v>
      </c>
      <c r="H6" s="296">
        <f>IF($C6="","",IFERROR(Attendance!$GN5,""))</f>
        <v>0.76666666666666661</v>
      </c>
      <c r="I6" s="295" t="str">
        <f>IF($C6="","",IF($BT6&lt;&gt;"",$BT6,IF($AW6="","Not graded",IF(AND($AV6="Pre-season",N($AP6)&lt;'Pre season'!$AM$5),"Insufficient data",IF($AW6&gt;=3.5,"Match Ready",IF($AW6&gt;3,"Not Ready for 90 min",IF($AW6&gt;2.5,"Nearly Ready",IF($AW6&gt;2,"Improving",IF($AW6&gt;1.5,"Not Ready","Critical")))))))))</f>
        <v>Nearly Ready</v>
      </c>
      <c r="J6" s="295">
        <f t="shared" ref="J6:J25" si="0">IF($C6="","",N($H6)+(26-ROW())/100000)</f>
        <v>0.76686666666666659</v>
      </c>
      <c r="K6" s="295">
        <f>ROWS($K$6:$K6)</f>
        <v>1</v>
      </c>
      <c r="L6" s="295" t="str">
        <f>IFERROR(INDEX($C$6:$C$25,MATCH(LARGE($J$6:$J$25,ROWS($L$6:$L6)),$J$6:$J$25,0)),"")</f>
        <v>Roisin Offenhausen</v>
      </c>
      <c r="M6" s="296">
        <f>IFERROR(INDEX($H$6:$H$25,MATCH(LARGE($J$6:$J$25,ROWS($M$6:$M6)),$J$6:$J$25,0)),"")</f>
        <v>0.84444444444444433</v>
      </c>
      <c r="N6" s="295"/>
      <c r="O6" s="295" t="str">
        <f t="shared" ref="O6:O25" si="1">IF($C6="","",$C6)</f>
        <v>Aoife Kennan</v>
      </c>
      <c r="P6" s="297">
        <f t="shared" ref="P6:P25" si="2">IF($C6="","",IFERROR($E6,""))</f>
        <v>3</v>
      </c>
      <c r="Q6" s="297">
        <f t="shared" ref="Q6:Q25" si="3">IF($C6="","",IFERROR($G6,""))</f>
        <v>6.5</v>
      </c>
      <c r="R6" s="295"/>
      <c r="S6" s="295" t="s">
        <v>400</v>
      </c>
      <c r="T6" s="295">
        <v>0</v>
      </c>
      <c r="U6" s="295">
        <v>1.5</v>
      </c>
      <c r="V6" s="295">
        <f t="shared" ref="V6:V11" si="4">COUNTIF($I$6:$I$25,$S6)</f>
        <v>0</v>
      </c>
      <c r="W6" s="295"/>
      <c r="X6" s="295">
        <v>1</v>
      </c>
      <c r="Y6" s="297" t="str">
        <f ca="1">IFERROR(IF($Y$2="","",AVERAGE(OFFSET(Attendance!$A$1,$Y$2-1,5+($X6-1)*4),OFFSET(Attendance!$A$1,$Y$2-1,7+($X6-1)*4))),"")</f>
        <v/>
      </c>
      <c r="Z6" s="297" t="str">
        <f ca="1">IFERROR(IF($Y$2="","",IF(LEN(OFFSET(Attendance!$A$1,$Y$2-1,95+($X6-1)*4))=0,"",OFFSET(Attendance!$A$1,$Y$2-1,95+($X6-1)*4))),"")</f>
        <v/>
      </c>
      <c r="AA6" s="295">
        <f t="shared" ref="AA6:AA25" si="5">IF($C6="","",COUNTIF($C$6:$C$25,"&lt;"&amp;$C6)+1-COUNTIF($C$6:$C$25,""))</f>
        <v>2</v>
      </c>
      <c r="AB6" s="295" t="str">
        <f>IFERROR(INDEX($C$6:$C$25,MATCH(ROWS($AB$6:$AB6),$AA$6:$AA$25,0)),"")</f>
        <v>Amber Kilalee</v>
      </c>
      <c r="AC6" s="295"/>
      <c r="AD6" s="295">
        <v>1</v>
      </c>
      <c r="AE6" s="298">
        <f t="array" ref="AE6">IF(LEN(INDEX(Attendance!$CP$2:$FY$2,1,($AD6-1)*4+1))=0,"",INDEX(Attendance!$CP$2:$FY$2,1,($AD6-1)*4+1))</f>
        <v>46264</v>
      </c>
      <c r="AF6" s="295" t="str">
        <f t="array" ref="AF6">IF(LEN(INDEX(Attendance!$CP$3:$FY$3,1,($AD6-1)*4+1))=0,"",INDEX(Attendance!$CP$3:$FY$3,1,($AD6-1)*4+1))</f>
        <v>Stamullen FC</v>
      </c>
      <c r="AG6" s="295" t="str">
        <f t="array" ref="AG6">IF(LEN(INDEX(Attendance!$CP$3:$FY$3,1,($AD6-1)*4+4))=0,"",INDEX(Attendance!$CP$3:$FY$3,1,($AD6-1)*4+4))</f>
        <v>A</v>
      </c>
      <c r="AH6" s="295">
        <f t="array" ref="AH6">IF(LEN(INDEX(Attendance!$CP$26:$FY$26,1,($AD6-1)*4+1))=0,"",INDEX(Attendance!$CP$26:$FY$26,1,($AD6-1)*4+1))</f>
        <v>9</v>
      </c>
      <c r="AI6" s="295">
        <f t="array" ref="AI6">IF(LEN(INDEX(Attendance!$CP$27:$FY$27,1,($AD6-1)*4+1))=0,"",INDEX(Attendance!$CP$27:$FY$27,1,($AD6-1)*4+1))</f>
        <v>1</v>
      </c>
      <c r="AJ6" s="295" t="str">
        <f t="array" ref="AJ6">IF(LEN(INDEX(Attendance!$CP$28:$FY$28,1,($AD6-1)*4+1))=0,"",INDEX(Attendance!$CP$28:$FY$28,1,($AD6-1)*4+1))</f>
        <v>W</v>
      </c>
      <c r="AL6" t="str">
        <f t="shared" ref="AL6:AL11" si="6">$S6</f>
        <v>Critical</v>
      </c>
      <c r="AM6">
        <f t="shared" ref="AM6:AM11" si="7">$V6</f>
        <v>0</v>
      </c>
      <c r="AO6" t="str">
        <f t="shared" ref="AO6:AO25" si="8">IF($C6="","",$C6)</f>
        <v>Aoife Kennan</v>
      </c>
      <c r="AP6" s="299">
        <f>IF($AO6="","",IFERROR(INDEX('Pre season'!$AE$5:$AE$24,MATCH($AO6,'Pre season'!$AD$5:$AD$24,0)),""))</f>
        <v>8</v>
      </c>
      <c r="AQ6" s="299">
        <f>IF($AO6="","",IFERROR(INDEX('Pre season'!$AF$5:$AF$24,MATCH($AO6,'Pre season'!$AD$5:$AD$24,0)),""))</f>
        <v>11</v>
      </c>
      <c r="AR6" s="300">
        <f>IF($AO6="","",IFERROR(INDEX('Pre season'!$AG$5:$AG$24,MATCH($AO6,'Pre season'!$AD$5:$AD$24,0)),""))</f>
        <v>0.72727272727272729</v>
      </c>
      <c r="AS6" s="64">
        <f>IF($AO6="","",IFERROR(INDEX('Pre season'!$AK$5:$AK$24,MATCH($AO6,'Pre season'!$AD$5:$AD$24,0)),""))</f>
        <v>2.875</v>
      </c>
      <c r="AT6" s="300">
        <f>IF($AO6="","",IFERROR(INDEX('Pre season'!$AJ$5:$AJ$24,MATCH($AO6,'Pre season'!$AD$5:$AD$24,0)),""))</f>
        <v>0.62545454545454549</v>
      </c>
      <c r="AU6" t="str">
        <f>IF($AO6="","",IF($AS6="","No pre-season data",IF(N($AP6)&lt;'Pre season'!$AM$5,"Insufficient data",IF($AS6&gt;=3.5,"Match Ready",IF($AS6&gt;3,"Not Ready for 90 min",IF($AS6&gt;2.5,"Nearly Ready",IF($AS6&gt;2,"Improving",IF($AS6&gt;1.5,"Not Ready","Critical"))))))))</f>
        <v>Nearly Ready</v>
      </c>
      <c r="AV6" t="str">
        <f t="shared" ref="AV6:AV25" si="9">IF($AO6="","",IF($E6&lt;&gt;"","In-season",IF($AS6="","No data","Pre-season")))</f>
        <v>In-season</v>
      </c>
      <c r="AW6" s="64">
        <f t="shared" ref="AW6:AW25" si="10">IF($AO6="","",IF($E6&lt;&gt;"",$E6,IF($AS6="","",$AS6)))</f>
        <v>3</v>
      </c>
      <c r="AX6" s="301">
        <f t="array" ref="AX6">IF($AO6="","",IF($AT6="","",SUMPRODUCT(($AT$6:$AT$25&lt;&gt;"")*($AT$6:$AT$25&gt;$AT6))+COUNTIF($AT$6:$AT6,$AT6)))</f>
        <v>5</v>
      </c>
      <c r="BA6" t="str">
        <f t="shared" ref="BA6:BA25" si="11">IF($C6="","",$C6)</f>
        <v>Aoife Kennan</v>
      </c>
      <c r="BB6" s="302">
        <f t="array" aca="1" ref="BB6" ca="1">IF($BA6="","",IF(ActiveSrc="In-season",SUMPRODUCT((ATAtt="Att")*(ATDates&gt;WinEnd-WinDays)*(ATDates&lt;=WinEnd)*((Attendance!$E5:$CN5="Yes")+(Attendance!$E5:$CN5="No"))),SUMPRODUCT((PSAtt="Att")*(PSDates&gt;WinEnd-WinDays)*(PSDates&lt;=WinEnd)*(('Pre season'!$E5:$AB5="Yes")+('Pre season'!$E5:$AB5="No")))))</f>
        <v>1</v>
      </c>
      <c r="BC6" s="302">
        <f t="array" aca="1" ref="BC6" ca="1">IF($BA6="","",IF(ActiveSrc="In-season",SUMPRODUCT((ATAtt="Att")*(ATDates&gt;WinEnd-WinDays)*(ATDates&lt;=WinEnd)*(Attendance!$E5:$CN5="Yes")),SUMPRODUCT((PSAtt="Att")*(PSDates&gt;WinEnd-WinDays)*(PSDates&lt;=WinEnd)*('Pre season'!$E5:$AB5="Yes"))))</f>
        <v>1</v>
      </c>
      <c r="BD6" s="302">
        <f t="array" aca="1" ref="BD6" ca="1">IF($BA6="","",IF(ActiveSrc="In-season",SUMPRODUCT((ATWR="WR")*(ATDates&gt;WinEnd-WinDays)*(ATDates&lt;=WinEnd)*IF(ISNUMBER(Attendance!$F5:$CO5),Attendance!$F5:$CO5,0)),SUMPRODUCT((PSWR="WR")*(PSDates&gt;WinEnd-WinDays)*(PSDates&lt;=WinEnd)*IF(ISNUMBER('Pre season'!$F5:$AC5),'Pre season'!$F5:$AC5,0))))</f>
        <v>3</v>
      </c>
      <c r="BE6" s="302">
        <f t="array" aca="1" ref="BE6" ca="1">IF($BA6="","",IF(ActiveSrc="In-season",SUMPRODUCT((ATWR="WR")*(ATDates&gt;WinEnd-WinDays)*(ATDates&lt;=WinEnd)*(IF(ISNUMBER(Attendance!$F5:$CO5),Attendance!$F5:$CO5,0)&gt;0)),SUMPRODUCT((PSWR="WR")*(PSDates&gt;WinEnd-WinDays)*(PSDates&lt;=WinEnd)*(IF(ISNUMBER('Pre season'!$F5:$AC5),'Pre season'!$F5:$AC5,0)&gt;0))))</f>
        <v>1</v>
      </c>
      <c r="BF6" s="303">
        <f t="shared" ref="BF6:BF25" ca="1" si="12">IF($BA6="","",IF(N($BE6)=0,"",$BD6/$BE6))</f>
        <v>3</v>
      </c>
      <c r="BG6" s="304">
        <f ca="1">IF($BA6="","",IF(N($BB6)=0,"",'Pre season'!$AM$2*($BC6/$BB6)+'Pre season'!$AM$3*(IF($BF6="",0,$BF6)/5)))</f>
        <v>0.76</v>
      </c>
      <c r="BH6" s="302">
        <f t="array" aca="1" ref="BH6" ca="1">IF($BA6="","",IF($BG6="","",SUMPRODUCT(($BG$6:$BG$25&lt;&gt;"")*($BG$6:$BG$25&gt;$BG6))+COUNTIF($BG$6:$BG6,$BG6)))</f>
        <v>1</v>
      </c>
      <c r="BJ6" t="str">
        <f t="shared" ref="BJ6:BJ25" si="13">IF($C6="","",$C6)</f>
        <v>Aoife Kennan</v>
      </c>
      <c r="BK6" s="304">
        <f>IF($BJ6="","",IF(OR(N(Attendance!$GB5)&gt;0,N(Attendance!$GF5)&gt;0),IFERROR(Attendance!$GN5,""),IFERROR($AT6,"")))</f>
        <v>0.76666666666666661</v>
      </c>
      <c r="BL6" s="305" t="str">
        <f>IF($BJ6="","",IF(OR(N(Attendance!$GB5)&gt;0,N(Attendance!$GF5)&gt;0),"In-season","Pre-season"))</f>
        <v>In-season</v>
      </c>
      <c r="BM6" s="302">
        <f t="array" ref="BM6">IF($BJ6="","",IF($BK6="","",SUMPRODUCT(($BK$6:$BK$25&lt;&gt;"")*($BK$6:$BK$25&gt;$BK6))+COUNTIF($BK$6:$BK6,$BK6)))</f>
        <v>2</v>
      </c>
      <c r="BO6" t="str">
        <f>$S11</f>
        <v>Match Ready</v>
      </c>
      <c r="BP6" s="301">
        <f t="shared" ref="BP6:BP12" si="14">COUNTIF($I$6:$I$25,$BO6)</f>
        <v>1</v>
      </c>
      <c r="BQ6" t="str">
        <f t="array" ref="BQ6">_xlfn.TEXTJOIN(", ",TRUE(),IF($I$6:$I$25=$BO6,$C$6:$C$25,""))</f>
        <v>Roisin Offenhausen</v>
      </c>
      <c r="BS6" s="359" t="str">
        <f>IF($C6="","",$C6)</f>
        <v>Aoife Kennan</v>
      </c>
      <c r="BT6" s="360"/>
      <c r="BU6" s="361"/>
    </row>
    <row r="7" spans="2:73" x14ac:dyDescent="0.45">
      <c r="B7" s="294">
        <f>IF($C7="","",Attendance!$C6)</f>
        <v>2</v>
      </c>
      <c r="C7" s="295" t="str">
        <f>IF(Attendance!$D6="","",Attendance!$D6)</f>
        <v>Stella McEvoy</v>
      </c>
      <c r="D7" s="296">
        <f>IF($C7="","",IFERROR(Attendance!$GC6,""))</f>
        <v>1</v>
      </c>
      <c r="E7" s="297">
        <f>IF($C7="","",IFERROR(Attendance!$GD6,""))</f>
        <v>3</v>
      </c>
      <c r="F7" s="296" t="str">
        <f>IF($C7="","",IFERROR(Attendance!$GH6,""))</f>
        <v/>
      </c>
      <c r="G7" s="297">
        <f>IF($C7="","",IFERROR(Attendance!$GK6,""))</f>
        <v>7.5</v>
      </c>
      <c r="H7" s="296">
        <f>IF($C7="","",IFERROR(Attendance!$GN6,""))</f>
        <v>0.76666666666666661</v>
      </c>
      <c r="I7" s="295" t="str">
        <f>IF($C7="","",IF($BT7&lt;&gt;"",$BT7,IF($AW7="","Not graded",IF(AND($AV7="Pre-season",N($AP7)&lt;'Pre season'!$AM$5),"Insufficient data",IF($AW7&gt;=3.5,"Match Ready",IF($AW7&gt;3,"Not Ready for 90 min",IF($AW7&gt;2.5,"Nearly Ready",IF($AW7&gt;2,"Improving",IF($AW7&gt;1.5,"Not Ready","Critical")))))))))</f>
        <v>Nearly Ready</v>
      </c>
      <c r="J7" s="295">
        <f t="shared" si="0"/>
        <v>0.76685666666666663</v>
      </c>
      <c r="K7" s="295">
        <f>ROWS($K$6:$K7)</f>
        <v>2</v>
      </c>
      <c r="L7" s="295" t="str">
        <f>IFERROR(INDEX($C$6:$C$25,MATCH(LARGE($J$6:$J$25,ROWS($L$6:$L7)),$J$6:$J$25,0)),"")</f>
        <v>Aoife Kennan</v>
      </c>
      <c r="M7" s="296">
        <f>IFERROR(INDEX($H$6:$H$25,MATCH(LARGE($J$6:$J$25,ROWS($M$6:$M7)),$J$6:$J$25,0)),"")</f>
        <v>0.76666666666666661</v>
      </c>
      <c r="N7" s="295"/>
      <c r="O7" s="295" t="str">
        <f t="shared" si="1"/>
        <v>Stella McEvoy</v>
      </c>
      <c r="P7" s="297">
        <f t="shared" si="2"/>
        <v>3</v>
      </c>
      <c r="Q7" s="297">
        <f t="shared" si="3"/>
        <v>7.5</v>
      </c>
      <c r="R7" s="295"/>
      <c r="S7" s="295" t="s">
        <v>401</v>
      </c>
      <c r="T7" s="295">
        <v>1.51</v>
      </c>
      <c r="U7" s="295">
        <v>2</v>
      </c>
      <c r="V7" s="295">
        <f t="shared" si="4"/>
        <v>0</v>
      </c>
      <c r="W7" s="295"/>
      <c r="X7" s="295">
        <v>2</v>
      </c>
      <c r="Y7" s="297" t="str">
        <f ca="1">IFERROR(IF($Y$2="","",AVERAGE(OFFSET(Attendance!$A$1,$Y$2-1,5+($X7-1)*4),OFFSET(Attendance!$A$1,$Y$2-1,7+($X7-1)*4))),"")</f>
        <v/>
      </c>
      <c r="Z7" s="297" t="str">
        <f ca="1">IFERROR(IF($Y$2="","",IF(LEN(OFFSET(Attendance!$A$1,$Y$2-1,95+($X7-1)*4))=0,"",OFFSET(Attendance!$A$1,$Y$2-1,95+($X7-1)*4))),"")</f>
        <v/>
      </c>
      <c r="AA7" s="295">
        <f t="shared" si="5"/>
        <v>15</v>
      </c>
      <c r="AB7" s="295" t="str">
        <f>IFERROR(INDEX($C$6:$C$25,MATCH(ROWS($AB$6:$AB7),$AA$6:$AA$25,0)),"")</f>
        <v>Aoife Kennan</v>
      </c>
      <c r="AC7" s="295"/>
      <c r="AD7" s="295">
        <v>2</v>
      </c>
      <c r="AE7" s="298" t="str">
        <f t="array" ref="AE7">IF(LEN(INDEX(Attendance!$CP$2:$FY$2,1,($AD7-1)*4+1))=0,"",INDEX(Attendance!$CP$2:$FY$2,1,($AD7-1)*4+1))</f>
        <v/>
      </c>
      <c r="AF7" s="295" t="str">
        <f t="array" ref="AF7">IF(LEN(INDEX(Attendance!$CP$3:$FY$3,1,($AD7-1)*4+1))=0,"",INDEX(Attendance!$CP$3:$FY$3,1,($AD7-1)*4+1))</f>
        <v/>
      </c>
      <c r="AG7" s="295" t="str">
        <f t="array" ref="AG7">IF(LEN(INDEX(Attendance!$CP$3:$FY$3,1,($AD7-1)*4+4))=0,"",INDEX(Attendance!$CP$3:$FY$3,1,($AD7-1)*4+4))</f>
        <v/>
      </c>
      <c r="AH7" s="295" t="str">
        <f t="array" ref="AH7">IF(LEN(INDEX(Attendance!$CP$26:$FY$26,1,($AD7-1)*4+1))=0,"",INDEX(Attendance!$CP$26:$FY$26,1,($AD7-1)*4+1))</f>
        <v/>
      </c>
      <c r="AI7" s="295" t="str">
        <f t="array" ref="AI7">IF(LEN(INDEX(Attendance!$CP$27:$FY$27,1,($AD7-1)*4+1))=0,"",INDEX(Attendance!$CP$27:$FY$27,1,($AD7-1)*4+1))</f>
        <v/>
      </c>
      <c r="AJ7" s="295" t="str">
        <f t="array" ref="AJ7">IF(LEN(INDEX(Attendance!$CP$28:$FY$28,1,($AD7-1)*4+1))=0,"",INDEX(Attendance!$CP$28:$FY$28,1,($AD7-1)*4+1))</f>
        <v/>
      </c>
      <c r="AL7" t="str">
        <f t="shared" si="6"/>
        <v>Not Ready</v>
      </c>
      <c r="AM7">
        <f t="shared" si="7"/>
        <v>0</v>
      </c>
      <c r="AO7" t="str">
        <f t="shared" si="8"/>
        <v>Stella McEvoy</v>
      </c>
      <c r="AP7" s="299">
        <f>IF($AO7="","",IFERROR(INDEX('Pre season'!$AE$5:$AE$24,MATCH($AO7,'Pre season'!$AD$5:$AD$24,0)),""))</f>
        <v>9</v>
      </c>
      <c r="AQ7" s="299">
        <f>IF($AO7="","",IFERROR(INDEX('Pre season'!$AF$5:$AF$24,MATCH($AO7,'Pre season'!$AD$5:$AD$24,0)),""))</f>
        <v>11</v>
      </c>
      <c r="AR7" s="300">
        <f>IF($AO7="","",IFERROR(INDEX('Pre season'!$AG$5:$AG$24,MATCH($AO7,'Pre season'!$AD$5:$AD$24,0)),""))</f>
        <v>0.81818181818181823</v>
      </c>
      <c r="AS7" s="64">
        <f>IF($AO7="","",IFERROR(INDEX('Pre season'!$AK$5:$AK$24,MATCH($AO7,'Pre season'!$AD$5:$AD$24,0)),""))</f>
        <v>3.6666666666666665</v>
      </c>
      <c r="AT7" s="300">
        <f>IF($AO7="","",IFERROR(INDEX('Pre season'!$AJ$5:$AJ$24,MATCH($AO7,'Pre season'!$AD$5:$AD$24,0)),""))</f>
        <v>0.76727272727272733</v>
      </c>
      <c r="AU7" t="str">
        <f>IF($AO7="","",IF($AS7="","No pre-season data",IF(N($AP7)&lt;'Pre season'!$AM$5,"Insufficient data",IF($AS7&gt;=3.5,"Match Ready",IF($AS7&gt;3,"Not Ready for 90 min",IF($AS7&gt;2.5,"Nearly Ready",IF($AS7&gt;2,"Improving",IF($AS7&gt;1.5,"Not Ready","Critical"))))))))</f>
        <v>Match Ready</v>
      </c>
      <c r="AV7" t="str">
        <f t="shared" si="9"/>
        <v>In-season</v>
      </c>
      <c r="AW7" s="64">
        <f t="shared" si="10"/>
        <v>3</v>
      </c>
      <c r="AX7" s="301">
        <f t="array" ref="AX7">IF($AO7="","",IF($AT7="","",SUMPRODUCT(($AT$6:$AT$25&lt;&gt;"")*($AT$6:$AT$25&gt;$AT7))+COUNTIF($AT$6:$AT7,$AT7)))</f>
        <v>1</v>
      </c>
      <c r="BA7" t="str">
        <f t="shared" si="11"/>
        <v>Stella McEvoy</v>
      </c>
      <c r="BB7" s="302">
        <f t="array" aca="1" ref="BB7" ca="1">IF($BA7="","",IF(ActiveSrc="In-season",SUMPRODUCT((ATAtt="Att")*(ATDates&gt;WinEnd-WinDays)*(ATDates&lt;=WinEnd)*((Attendance!$E6:$CN6="Yes")+(Attendance!$E6:$CN6="No"))),SUMPRODUCT((PSAtt="Att")*(PSDates&gt;WinEnd-WinDays)*(PSDates&lt;=WinEnd)*(('Pre season'!$E6:$AB6="Yes")+('Pre season'!$E6:$AB6="No")))))</f>
        <v>1</v>
      </c>
      <c r="BC7" s="302">
        <f t="array" aca="1" ref="BC7" ca="1">IF($BA7="","",IF(ActiveSrc="In-season",SUMPRODUCT((ATAtt="Att")*(ATDates&gt;WinEnd-WinDays)*(ATDates&lt;=WinEnd)*(Attendance!$E6:$CN6="Yes")),SUMPRODUCT((PSAtt="Att")*(PSDates&gt;WinEnd-WinDays)*(PSDates&lt;=WinEnd)*('Pre season'!$E6:$AB6="Yes"))))</f>
        <v>1</v>
      </c>
      <c r="BD7" s="302">
        <f t="array" aca="1" ref="BD7" ca="1">IF($BA7="","",IF(ActiveSrc="In-season",SUMPRODUCT((ATWR="WR")*(ATDates&gt;WinEnd-WinDays)*(ATDates&lt;=WinEnd)*IF(ISNUMBER(Attendance!$F6:$CO6),Attendance!$F6:$CO6,0)),SUMPRODUCT((PSWR="WR")*(PSDates&gt;WinEnd-WinDays)*(PSDates&lt;=WinEnd)*IF(ISNUMBER('Pre season'!$F6:$AC6),'Pre season'!$F6:$AC6,0))))</f>
        <v>3</v>
      </c>
      <c r="BE7" s="302">
        <f t="array" aca="1" ref="BE7" ca="1">IF($BA7="","",IF(ActiveSrc="In-season",SUMPRODUCT((ATWR="WR")*(ATDates&gt;WinEnd-WinDays)*(ATDates&lt;=WinEnd)*(IF(ISNUMBER(Attendance!$F6:$CO6),Attendance!$F6:$CO6,0)&gt;0)),SUMPRODUCT((PSWR="WR")*(PSDates&gt;WinEnd-WinDays)*(PSDates&lt;=WinEnd)*(IF(ISNUMBER('Pre season'!$F6:$AC6),'Pre season'!$F6:$AC6,0)&gt;0))))</f>
        <v>1</v>
      </c>
      <c r="BF7" s="303">
        <f t="shared" ca="1" si="12"/>
        <v>3</v>
      </c>
      <c r="BG7" s="304">
        <f ca="1">IF($BA7="","",IF(N($BB7)=0,"",'Pre season'!$AM$2*($BC7/$BB7)+'Pre season'!$AM$3*(IF($BF7="",0,$BF7)/5)))</f>
        <v>0.76</v>
      </c>
      <c r="BH7" s="302">
        <f t="array" aca="1" ref="BH7" ca="1">IF($BA7="","",IF($BG7="","",SUMPRODUCT(($BG$6:$BG$25&lt;&gt;"")*($BG$6:$BG$25&gt;$BG7))+COUNTIF($BG$6:$BG7,$BG7)))</f>
        <v>2</v>
      </c>
      <c r="BJ7" t="str">
        <f t="shared" si="13"/>
        <v>Stella McEvoy</v>
      </c>
      <c r="BK7" s="304">
        <f>IF($BJ7="","",IF(OR(N(Attendance!$GB6)&gt;0,N(Attendance!$GF6)&gt;0),IFERROR(Attendance!$GN6,""),IFERROR($AT7,"")))</f>
        <v>0.76666666666666661</v>
      </c>
      <c r="BL7" s="305" t="str">
        <f>IF($BJ7="","",IF(OR(N(Attendance!$GB6)&gt;0,N(Attendance!$GF6)&gt;0),"In-season","Pre-season"))</f>
        <v>In-season</v>
      </c>
      <c r="BM7" s="302">
        <f t="array" ref="BM7">IF($BJ7="","",IF($BK7="","",SUMPRODUCT(($BK$6:$BK$25&lt;&gt;"")*($BK$6:$BK$25&gt;$BK7))+COUNTIF($BK$6:$BK7,$BK7)))</f>
        <v>3</v>
      </c>
      <c r="BO7" t="str">
        <f>$S10</f>
        <v>Not Ready for 90 min</v>
      </c>
      <c r="BP7" s="301">
        <f t="shared" si="14"/>
        <v>6</v>
      </c>
      <c r="BQ7" t="str">
        <f t="array" ref="BQ7">_xlfn.TEXTJOIN(", ",TRUE(),IF($I$6:$I$25=$BO7,$C$6:$C$25,""))</f>
        <v>Naomi Adewoyin, Tara Brannigan, Semilore Adesanya, Emma Kelly, Elsie Morrison, Zara Freeman</v>
      </c>
      <c r="BS7" s="359" t="str">
        <f t="shared" ref="BS7:BS25" si="15">IF($C7="","",$C7)</f>
        <v>Stella McEvoy</v>
      </c>
      <c r="BT7" s="360"/>
      <c r="BU7" s="361"/>
    </row>
    <row r="8" spans="2:73" x14ac:dyDescent="0.45">
      <c r="B8" s="294">
        <f>IF($C8="","",Attendance!$C7)</f>
        <v>3</v>
      </c>
      <c r="C8" s="295" t="str">
        <f>IF(Attendance!$D7="","",Attendance!$D7)</f>
        <v>Zara Power</v>
      </c>
      <c r="D8" s="296">
        <f>IF($C8="","",IFERROR(Attendance!$GC7,""))</f>
        <v>0</v>
      </c>
      <c r="E8" s="297" t="str">
        <f>IF($C8="","",IFERROR(Attendance!$GD7,""))</f>
        <v/>
      </c>
      <c r="F8" s="296" t="str">
        <f>IF($C8="","",IFERROR(Attendance!$GH7,""))</f>
        <v/>
      </c>
      <c r="G8" s="297" t="str">
        <f>IF($C8="","",IFERROR(Attendance!$GK7,""))</f>
        <v/>
      </c>
      <c r="H8" s="296">
        <f>IF($C8="","",IFERROR(Attendance!$GN7,""))</f>
        <v>0</v>
      </c>
      <c r="I8" s="295" t="str">
        <f>IF($C8="","",IF($BT8&lt;&gt;"",$BT8,IF($AW8="","Not graded",IF(AND($AV8="Pre-season",N($AP8)&lt;'Pre season'!$AM$5),"Insufficient data",IF($AW8&gt;=3.5,"Match Ready",IF($AW8&gt;3,"Not Ready for 90 min",IF($AW8&gt;2.5,"Nearly Ready",IF($AW8&gt;2,"Improving",IF($AW8&gt;1.5,"Not Ready","Critical")))))))))</f>
        <v>Insufficient data</v>
      </c>
      <c r="J8" s="295">
        <f t="shared" si="0"/>
        <v>1.8000000000000001E-4</v>
      </c>
      <c r="K8" s="295">
        <f>ROWS($K$6:$K8)</f>
        <v>3</v>
      </c>
      <c r="L8" s="295" t="str">
        <f>IFERROR(INDEX($C$6:$C$25,MATCH(LARGE($J$6:$J$25,ROWS($L$6:$L8)),$J$6:$J$25,0)),"")</f>
        <v>Stella McEvoy</v>
      </c>
      <c r="M8" s="296">
        <f>IFERROR(INDEX($H$6:$H$25,MATCH(LARGE($J$6:$J$25,ROWS($M$6:$M8)),$J$6:$J$25,0)),"")</f>
        <v>0.76666666666666661</v>
      </c>
      <c r="N8" s="295"/>
      <c r="O8" s="295" t="str">
        <f t="shared" si="1"/>
        <v>Zara Power</v>
      </c>
      <c r="P8" s="297" t="str">
        <f t="shared" si="2"/>
        <v/>
      </c>
      <c r="Q8" s="297" t="str">
        <f t="shared" si="3"/>
        <v/>
      </c>
      <c r="R8" s="295"/>
      <c r="S8" s="295" t="s">
        <v>402</v>
      </c>
      <c r="T8" s="295">
        <v>2.0099999999999998</v>
      </c>
      <c r="U8" s="295">
        <v>2.5</v>
      </c>
      <c r="V8" s="295">
        <f t="shared" si="4"/>
        <v>0</v>
      </c>
      <c r="W8" s="295"/>
      <c r="X8" s="295">
        <v>3</v>
      </c>
      <c r="Y8" s="297" t="str">
        <f ca="1">IFERROR(IF($Y$2="","",AVERAGE(OFFSET(Attendance!$A$1,$Y$2-1,5+($X8-1)*4),OFFSET(Attendance!$A$1,$Y$2-1,7+($X8-1)*4))),"")</f>
        <v/>
      </c>
      <c r="Z8" s="297" t="str">
        <f ca="1">IFERROR(IF($Y$2="","",IF(LEN(OFFSET(Attendance!$A$1,$Y$2-1,95+($X8-1)*4))=0,"",OFFSET(Attendance!$A$1,$Y$2-1,95+($X8-1)*4))),"")</f>
        <v/>
      </c>
      <c r="AA8" s="295">
        <f t="shared" si="5"/>
        <v>18</v>
      </c>
      <c r="AB8" s="295" t="str">
        <f>IFERROR(INDEX($C$6:$C$25,MATCH(ROWS($AB$6:$AB8),$AA$6:$AA$25,0)),"")</f>
        <v>Elsie Morrison</v>
      </c>
      <c r="AC8" s="295"/>
      <c r="AD8" s="295">
        <v>3</v>
      </c>
      <c r="AE8" s="298" t="str">
        <f t="array" ref="AE8">IF(LEN(INDEX(Attendance!$CP$2:$FY$2,1,($AD8-1)*4+1))=0,"",INDEX(Attendance!$CP$2:$FY$2,1,($AD8-1)*4+1))</f>
        <v/>
      </c>
      <c r="AF8" s="295" t="str">
        <f t="array" ref="AF8">IF(LEN(INDEX(Attendance!$CP$3:$FY$3,1,($AD8-1)*4+1))=0,"",INDEX(Attendance!$CP$3:$FY$3,1,($AD8-1)*4+1))</f>
        <v/>
      </c>
      <c r="AG8" s="295" t="str">
        <f t="array" ref="AG8">IF(LEN(INDEX(Attendance!$CP$3:$FY$3,1,($AD8-1)*4+4))=0,"",INDEX(Attendance!$CP$3:$FY$3,1,($AD8-1)*4+4))</f>
        <v/>
      </c>
      <c r="AH8" s="295" t="str">
        <f t="array" ref="AH8">IF(LEN(INDEX(Attendance!$CP$26:$FY$26,1,($AD8-1)*4+1))=0,"",INDEX(Attendance!$CP$26:$FY$26,1,($AD8-1)*4+1))</f>
        <v/>
      </c>
      <c r="AI8" s="295" t="str">
        <f t="array" ref="AI8">IF(LEN(INDEX(Attendance!$CP$27:$FY$27,1,($AD8-1)*4+1))=0,"",INDEX(Attendance!$CP$27:$FY$27,1,($AD8-1)*4+1))</f>
        <v/>
      </c>
      <c r="AJ8" s="295" t="str">
        <f t="array" ref="AJ8">IF(LEN(INDEX(Attendance!$CP$28:$FY$28,1,($AD8-1)*4+1))=0,"",INDEX(Attendance!$CP$28:$FY$28,1,($AD8-1)*4+1))</f>
        <v/>
      </c>
      <c r="AL8" t="str">
        <f t="shared" si="6"/>
        <v>Improving</v>
      </c>
      <c r="AM8">
        <f t="shared" si="7"/>
        <v>0</v>
      </c>
      <c r="AO8" t="str">
        <f t="shared" si="8"/>
        <v>Zara Power</v>
      </c>
      <c r="AP8" s="299">
        <f>IF($AO8="","",IFERROR(INDEX('Pre season'!$AE$5:$AE$24,MATCH($AO8,'Pre season'!$AD$5:$AD$24,0)),""))</f>
        <v>3</v>
      </c>
      <c r="AQ8" s="299">
        <f>IF($AO8="","",IFERROR(INDEX('Pre season'!$AF$5:$AF$24,MATCH($AO8,'Pre season'!$AD$5:$AD$24,0)),""))</f>
        <v>11</v>
      </c>
      <c r="AR8" s="300">
        <f>IF($AO8="","",IFERROR(INDEX('Pre season'!$AG$5:$AG$24,MATCH($AO8,'Pre season'!$AD$5:$AD$24,0)),""))</f>
        <v>0.27272727272727271</v>
      </c>
      <c r="AS8" s="64">
        <f>IF($AO8="","",IFERROR(INDEX('Pre season'!$AK$5:$AK$24,MATCH($AO8,'Pre season'!$AD$5:$AD$24,0)),""))</f>
        <v>2.6666666666666665</v>
      </c>
      <c r="AT8" s="300">
        <f>IF($AO8="","",IFERROR(INDEX('Pre season'!$AJ$5:$AJ$24,MATCH($AO8,'Pre season'!$AD$5:$AD$24,0)),""))</f>
        <v>0.22545454545454541</v>
      </c>
      <c r="AU8" t="str">
        <f>IF($AO8="","",IF($AS8="","No pre-season data",IF(N($AP8)&lt;'Pre season'!$AM$5,"Insufficient data",IF($AS8&gt;=3.5,"Match Ready",IF($AS8&gt;3,"Not Ready for 90 min",IF($AS8&gt;2.5,"Nearly Ready",IF($AS8&gt;2,"Improving",IF($AS8&gt;1.5,"Not Ready","Critical"))))))))</f>
        <v>Insufficient data</v>
      </c>
      <c r="AV8" t="str">
        <f t="shared" si="9"/>
        <v>Pre-season</v>
      </c>
      <c r="AW8" s="64">
        <f t="shared" si="10"/>
        <v>2.6666666666666665</v>
      </c>
      <c r="AX8" s="301">
        <f t="array" ref="AX8">IF($AO8="","",IF($AT8="","",SUMPRODUCT(($AT$6:$AT$25&lt;&gt;"")*($AT$6:$AT$25&gt;$AT8))+COUNTIF($AT$6:$AT8,$AT8)))</f>
        <v>16</v>
      </c>
      <c r="BA8" t="str">
        <f t="shared" si="11"/>
        <v>Zara Power</v>
      </c>
      <c r="BB8" s="302">
        <f t="array" aca="1" ref="BB8" ca="1">IF($BA8="","",IF(ActiveSrc="In-season",SUMPRODUCT((ATAtt="Att")*(ATDates&gt;WinEnd-WinDays)*(ATDates&lt;=WinEnd)*((Attendance!$E7:$CN7="Yes")+(Attendance!$E7:$CN7="No"))),SUMPRODUCT((PSAtt="Att")*(PSDates&gt;WinEnd-WinDays)*(PSDates&lt;=WinEnd)*(('Pre season'!$E7:$AB7="Yes")+('Pre season'!$E7:$AB7="No")))))</f>
        <v>1</v>
      </c>
      <c r="BC8" s="302">
        <f t="array" aca="1" ref="BC8" ca="1">IF($BA8="","",IF(ActiveSrc="In-season",SUMPRODUCT((ATAtt="Att")*(ATDates&gt;WinEnd-WinDays)*(ATDates&lt;=WinEnd)*(Attendance!$E7:$CN7="Yes")),SUMPRODUCT((PSAtt="Att")*(PSDates&gt;WinEnd-WinDays)*(PSDates&lt;=WinEnd)*('Pre season'!$E7:$AB7="Yes"))))</f>
        <v>0</v>
      </c>
      <c r="BD8" s="302">
        <f t="array" aca="1" ref="BD8" ca="1">IF($BA8="","",IF(ActiveSrc="In-season",SUMPRODUCT((ATWR="WR")*(ATDates&gt;WinEnd-WinDays)*(ATDates&lt;=WinEnd)*IF(ISNUMBER(Attendance!$F7:$CO7),Attendance!$F7:$CO7,0)),SUMPRODUCT((PSWR="WR")*(PSDates&gt;WinEnd-WinDays)*(PSDates&lt;=WinEnd)*IF(ISNUMBER('Pre season'!$F7:$AC7),'Pre season'!$F7:$AC7,0))))</f>
        <v>0</v>
      </c>
      <c r="BE8" s="302">
        <f t="array" aca="1" ref="BE8" ca="1">IF($BA8="","",IF(ActiveSrc="In-season",SUMPRODUCT((ATWR="WR")*(ATDates&gt;WinEnd-WinDays)*(ATDates&lt;=WinEnd)*(IF(ISNUMBER(Attendance!$F7:$CO7),Attendance!$F7:$CO7,0)&gt;0)),SUMPRODUCT((PSWR="WR")*(PSDates&gt;WinEnd-WinDays)*(PSDates&lt;=WinEnd)*(IF(ISNUMBER('Pre season'!$F7:$AC7),'Pre season'!$F7:$AC7,0)&gt;0))))</f>
        <v>0</v>
      </c>
      <c r="BF8" s="303" t="str">
        <f t="shared" ca="1" si="12"/>
        <v/>
      </c>
      <c r="BG8" s="304">
        <f ca="1">IF($BA8="","",IF(N($BB8)=0,"",'Pre season'!$AM$2*($BC8/$BB8)+'Pre season'!$AM$3*(IF($BF8="",0,$BF8)/5)))</f>
        <v>0</v>
      </c>
      <c r="BH8" s="302">
        <f t="array" aca="1" ref="BH8" ca="1">IF($BA8="","",IF($BG8="","",SUMPRODUCT(($BG$6:$BG$25&lt;&gt;"")*($BG$6:$BG$25&gt;$BG8))+COUNTIF($BG$6:$BG8,$BG8)))</f>
        <v>15</v>
      </c>
      <c r="BJ8" t="str">
        <f t="shared" si="13"/>
        <v>Zara Power</v>
      </c>
      <c r="BK8" s="304">
        <f>IF($BJ8="","",IF(OR(N(Attendance!$GB7)&gt;0,N(Attendance!$GF7)&gt;0),IFERROR(Attendance!$GN7,""),IFERROR($AT8,"")))</f>
        <v>0</v>
      </c>
      <c r="BL8" s="305" t="str">
        <f>IF($BJ8="","",IF(OR(N(Attendance!$GB7)&gt;0,N(Attendance!$GF7)&gt;0),"In-season","Pre-season"))</f>
        <v>In-season</v>
      </c>
      <c r="BM8" s="302">
        <f t="array" ref="BM8">IF($BJ8="","",IF($BK8="","",SUMPRODUCT(($BK$6:$BK$25&lt;&gt;"")*($BK$6:$BK$25&gt;$BK8))+COUNTIF($BK$6:$BK8,$BK8)))</f>
        <v>17</v>
      </c>
      <c r="BO8" t="str">
        <f>$S9</f>
        <v>Nearly Ready</v>
      </c>
      <c r="BP8" s="301">
        <f t="shared" si="14"/>
        <v>9</v>
      </c>
      <c r="BQ8" t="str">
        <f t="array" ref="BQ8">_xlfn.TEXTJOIN(", ",TRUE(),IF($I$6:$I$25=$BO8,$C$6:$C$25,""))</f>
        <v>Aoife Kennan, Stella McEvoy, Amber Kilalee, Shauna Kavanagh, Hannah Fleming, Roma Memon, Emma Dromgoole, Mariana Soares, Rama Abuowda</v>
      </c>
      <c r="BS8" s="359" t="str">
        <f t="shared" si="15"/>
        <v>Zara Power</v>
      </c>
      <c r="BT8" s="360"/>
      <c r="BU8" s="361"/>
    </row>
    <row r="9" spans="2:73" x14ac:dyDescent="0.45">
      <c r="B9" s="294">
        <f>IF($C9="","",Attendance!$C8)</f>
        <v>4</v>
      </c>
      <c r="C9" s="295" t="str">
        <f>IF(Attendance!$D8="","",Attendance!$D8)</f>
        <v>Heidi Cerubini Dunne</v>
      </c>
      <c r="D9" s="296">
        <f>IF($C9="","",IFERROR(Attendance!$GC8,""))</f>
        <v>0</v>
      </c>
      <c r="E9" s="297" t="str">
        <f>IF($C9="","",IFERROR(Attendance!$GD8,""))</f>
        <v/>
      </c>
      <c r="F9" s="296" t="str">
        <f>IF($C9="","",IFERROR(Attendance!$GH8,""))</f>
        <v/>
      </c>
      <c r="G9" s="297" t="str">
        <f>IF($C9="","",IFERROR(Attendance!$GK8,""))</f>
        <v/>
      </c>
      <c r="H9" s="296">
        <f>IF($C9="","",IFERROR(Attendance!$GN8,""))</f>
        <v>0</v>
      </c>
      <c r="I9" s="295" t="str">
        <f>IF($C9="","",IF($BT9&lt;&gt;"",$BT9,IF($AW9="","Not graded",IF(AND($AV9="Pre-season",N($AP9)&lt;'Pre season'!$AM$5),"Insufficient data",IF($AW9&gt;=3.5,"Match Ready",IF($AW9&gt;3,"Not Ready for 90 min",IF($AW9&gt;2.5,"Nearly Ready",IF($AW9&gt;2,"Improving",IF($AW9&gt;1.5,"Not Ready","Critical")))))))))</f>
        <v>Insufficient data</v>
      </c>
      <c r="J9" s="295">
        <f t="shared" si="0"/>
        <v>1.7000000000000001E-4</v>
      </c>
      <c r="K9" s="295">
        <f>ROWS($K$6:$K9)</f>
        <v>4</v>
      </c>
      <c r="L9" s="295" t="str">
        <f>IFERROR(INDEX($C$6:$C$25,MATCH(LARGE($J$6:$J$25,ROWS($L$6:$L9)),$J$6:$J$25,0)),"")</f>
        <v>Naomi Adewoyin</v>
      </c>
      <c r="M9" s="296">
        <f>IFERROR(INDEX($H$6:$H$25,MATCH(LARGE($J$6:$J$25,ROWS($M$6:$M9)),$J$6:$J$25,0)),"")</f>
        <v>0.76666666666666661</v>
      </c>
      <c r="N9" s="295"/>
      <c r="O9" s="295" t="str">
        <f t="shared" si="1"/>
        <v>Heidi Cerubini Dunne</v>
      </c>
      <c r="P9" s="297" t="str">
        <f t="shared" si="2"/>
        <v/>
      </c>
      <c r="Q9" s="297" t="str">
        <f t="shared" si="3"/>
        <v/>
      </c>
      <c r="R9" s="295"/>
      <c r="S9" s="295" t="s">
        <v>403</v>
      </c>
      <c r="T9" s="295">
        <v>2.5099999999999998</v>
      </c>
      <c r="U9" s="295">
        <v>3</v>
      </c>
      <c r="V9" s="295">
        <f t="shared" si="4"/>
        <v>9</v>
      </c>
      <c r="W9" s="295"/>
      <c r="X9" s="295">
        <v>4</v>
      </c>
      <c r="Y9" s="297" t="str">
        <f ca="1">IFERROR(IF($Y$2="","",AVERAGE(OFFSET(Attendance!$A$1,$Y$2-1,5+($X9-1)*4),OFFSET(Attendance!$A$1,$Y$2-1,7+($X9-1)*4))),"")</f>
        <v/>
      </c>
      <c r="Z9" s="297" t="str">
        <f ca="1">IFERROR(IF($Y$2="","",IF(LEN(OFFSET(Attendance!$A$1,$Y$2-1,95+($X9-1)*4))=0,"",OFFSET(Attendance!$A$1,$Y$2-1,95+($X9-1)*4))),"")</f>
        <v/>
      </c>
      <c r="AA9" s="295">
        <f t="shared" si="5"/>
        <v>7</v>
      </c>
      <c r="AB9" s="295" t="str">
        <f>IFERROR(INDEX($C$6:$C$25,MATCH(ROWS($AB$6:$AB9),$AA$6:$AA$25,0)),"")</f>
        <v>Emma Dromgoole</v>
      </c>
      <c r="AC9" s="295"/>
      <c r="AD9" s="295">
        <v>4</v>
      </c>
      <c r="AE9" s="298" t="str">
        <f t="array" ref="AE9">IF(LEN(INDEX(Attendance!$CP$2:$FY$2,1,($AD9-1)*4+1))=0,"",INDEX(Attendance!$CP$2:$FY$2,1,($AD9-1)*4+1))</f>
        <v/>
      </c>
      <c r="AF9" s="295" t="str">
        <f t="array" ref="AF9">IF(LEN(INDEX(Attendance!$CP$3:$FY$3,1,($AD9-1)*4+1))=0,"",INDEX(Attendance!$CP$3:$FY$3,1,($AD9-1)*4+1))</f>
        <v/>
      </c>
      <c r="AG9" s="295" t="str">
        <f t="array" ref="AG9">IF(LEN(INDEX(Attendance!$CP$3:$FY$3,1,($AD9-1)*4+4))=0,"",INDEX(Attendance!$CP$3:$FY$3,1,($AD9-1)*4+4))</f>
        <v/>
      </c>
      <c r="AH9" s="295" t="str">
        <f t="array" ref="AH9">IF(LEN(INDEX(Attendance!$CP$26:$FY$26,1,($AD9-1)*4+1))=0,"",INDEX(Attendance!$CP$26:$FY$26,1,($AD9-1)*4+1))</f>
        <v/>
      </c>
      <c r="AI9" s="295" t="str">
        <f t="array" ref="AI9">IF(LEN(INDEX(Attendance!$CP$27:$FY$27,1,($AD9-1)*4+1))=0,"",INDEX(Attendance!$CP$27:$FY$27,1,($AD9-1)*4+1))</f>
        <v/>
      </c>
      <c r="AJ9" s="295" t="str">
        <f t="array" ref="AJ9">IF(LEN(INDEX(Attendance!$CP$28:$FY$28,1,($AD9-1)*4+1))=0,"",INDEX(Attendance!$CP$28:$FY$28,1,($AD9-1)*4+1))</f>
        <v/>
      </c>
      <c r="AL9" t="str">
        <f t="shared" si="6"/>
        <v>Nearly Ready</v>
      </c>
      <c r="AM9">
        <f t="shared" si="7"/>
        <v>9</v>
      </c>
      <c r="AO9" t="str">
        <f t="shared" si="8"/>
        <v>Heidi Cerubini Dunne</v>
      </c>
      <c r="AP9" s="299">
        <f>IF($AO9="","",IFERROR(INDEX('Pre season'!$AE$5:$AE$24,MATCH($AO9,'Pre season'!$AD$5:$AD$24,0)),""))</f>
        <v>3</v>
      </c>
      <c r="AQ9" s="299">
        <f>IF($AO9="","",IFERROR(INDEX('Pre season'!$AF$5:$AF$24,MATCH($AO9,'Pre season'!$AD$5:$AD$24,0)),""))</f>
        <v>11</v>
      </c>
      <c r="AR9" s="300">
        <f>IF($AO9="","",IFERROR(INDEX('Pre season'!$AG$5:$AG$24,MATCH($AO9,'Pre season'!$AD$5:$AD$24,0)),""))</f>
        <v>0.27272727272727271</v>
      </c>
      <c r="AS9" s="64">
        <f>IF($AO9="","",IFERROR(INDEX('Pre season'!$AK$5:$AK$24,MATCH($AO9,'Pre season'!$AD$5:$AD$24,0)),""))</f>
        <v>2</v>
      </c>
      <c r="AT9" s="300">
        <f>IF($AO9="","",IFERROR(INDEX('Pre season'!$AJ$5:$AJ$24,MATCH($AO9,'Pre season'!$AD$5:$AD$24,0)),""))</f>
        <v>0.19636363636363635</v>
      </c>
      <c r="AU9" t="str">
        <f>IF($AO9="","",IF($AS9="","No pre-season data",IF(N($AP9)&lt;'Pre season'!$AM$5,"Insufficient data",IF($AS9&gt;=3.5,"Match Ready",IF($AS9&gt;3,"Not Ready for 90 min",IF($AS9&gt;2.5,"Nearly Ready",IF($AS9&gt;2,"Improving",IF($AS9&gt;1.5,"Not Ready","Critical"))))))))</f>
        <v>Insufficient data</v>
      </c>
      <c r="AV9" t="str">
        <f t="shared" si="9"/>
        <v>Pre-season</v>
      </c>
      <c r="AW9" s="64">
        <f t="shared" si="10"/>
        <v>2</v>
      </c>
      <c r="AX9" s="301">
        <f t="array" ref="AX9">IF($AO9="","",IF($AT9="","",SUMPRODUCT(($AT$6:$AT$25&lt;&gt;"")*($AT$6:$AT$25&gt;$AT9))+COUNTIF($AT$6:$AT9,$AT9)))</f>
        <v>17</v>
      </c>
      <c r="BA9" t="str">
        <f t="shared" si="11"/>
        <v>Heidi Cerubini Dunne</v>
      </c>
      <c r="BB9" s="302">
        <f t="array" aca="1" ref="BB9" ca="1">IF($BA9="","",IF(ActiveSrc="In-season",SUMPRODUCT((ATAtt="Att")*(ATDates&gt;WinEnd-WinDays)*(ATDates&lt;=WinEnd)*((Attendance!$E8:$CN8="Yes")+(Attendance!$E8:$CN8="No"))),SUMPRODUCT((PSAtt="Att")*(PSDates&gt;WinEnd-WinDays)*(PSDates&lt;=WinEnd)*(('Pre season'!$E8:$AB8="Yes")+('Pre season'!$E8:$AB8="No")))))</f>
        <v>1</v>
      </c>
      <c r="BC9" s="302">
        <f t="array" aca="1" ref="BC9" ca="1">IF($BA9="","",IF(ActiveSrc="In-season",SUMPRODUCT((ATAtt="Att")*(ATDates&gt;WinEnd-WinDays)*(ATDates&lt;=WinEnd)*(Attendance!$E8:$CN8="Yes")),SUMPRODUCT((PSAtt="Att")*(PSDates&gt;WinEnd-WinDays)*(PSDates&lt;=WinEnd)*('Pre season'!$E8:$AB8="Yes"))))</f>
        <v>0</v>
      </c>
      <c r="BD9" s="302">
        <f t="array" aca="1" ref="BD9" ca="1">IF($BA9="","",IF(ActiveSrc="In-season",SUMPRODUCT((ATWR="WR")*(ATDates&gt;WinEnd-WinDays)*(ATDates&lt;=WinEnd)*IF(ISNUMBER(Attendance!$F8:$CO8),Attendance!$F8:$CO8,0)),SUMPRODUCT((PSWR="WR")*(PSDates&gt;WinEnd-WinDays)*(PSDates&lt;=WinEnd)*IF(ISNUMBER('Pre season'!$F8:$AC8),'Pre season'!$F8:$AC8,0))))</f>
        <v>0</v>
      </c>
      <c r="BE9" s="302">
        <f t="array" aca="1" ref="BE9" ca="1">IF($BA9="","",IF(ActiveSrc="In-season",SUMPRODUCT((ATWR="WR")*(ATDates&gt;WinEnd-WinDays)*(ATDates&lt;=WinEnd)*(IF(ISNUMBER(Attendance!$F8:$CO8),Attendance!$F8:$CO8,0)&gt;0)),SUMPRODUCT((PSWR="WR")*(PSDates&gt;WinEnd-WinDays)*(PSDates&lt;=WinEnd)*(IF(ISNUMBER('Pre season'!$F8:$AC8),'Pre season'!$F8:$AC8,0)&gt;0))))</f>
        <v>0</v>
      </c>
      <c r="BF9" s="303" t="str">
        <f t="shared" ca="1" si="12"/>
        <v/>
      </c>
      <c r="BG9" s="304">
        <f ca="1">IF($BA9="","",IF(N($BB9)=0,"",'Pre season'!$AM$2*($BC9/$BB9)+'Pre season'!$AM$3*(IF($BF9="",0,$BF9)/5)))</f>
        <v>0</v>
      </c>
      <c r="BH9" s="302">
        <f t="array" aca="1" ref="BH9" ca="1">IF($BA9="","",IF($BG9="","",SUMPRODUCT(($BG$6:$BG$25&lt;&gt;"")*($BG$6:$BG$25&gt;$BG9))+COUNTIF($BG$6:$BG9,$BG9)))</f>
        <v>16</v>
      </c>
      <c r="BJ9" t="str">
        <f t="shared" si="13"/>
        <v>Heidi Cerubini Dunne</v>
      </c>
      <c r="BK9" s="304">
        <f>IF($BJ9="","",IF(OR(N(Attendance!$GB8)&gt;0,N(Attendance!$GF8)&gt;0),IFERROR(Attendance!$GN8,""),IFERROR($AT9,"")))</f>
        <v>0</v>
      </c>
      <c r="BL9" s="305" t="str">
        <f>IF($BJ9="","",IF(OR(N(Attendance!$GB8)&gt;0,N(Attendance!$GF8)&gt;0),"In-season","Pre-season"))</f>
        <v>In-season</v>
      </c>
      <c r="BM9" s="302">
        <f t="array" ref="BM9">IF($BJ9="","",IF($BK9="","",SUMPRODUCT(($BK$6:$BK$25&lt;&gt;"")*($BK$6:$BK$25&gt;$BK9))+COUNTIF($BK$6:$BK9,$BK9)))</f>
        <v>18</v>
      </c>
      <c r="BO9" t="str">
        <f>$S8</f>
        <v>Improving</v>
      </c>
      <c r="BP9" s="301">
        <f t="shared" si="14"/>
        <v>0</v>
      </c>
      <c r="BQ9" t="str">
        <f t="array" ref="BQ9">_xlfn.TEXTJOIN(", ",TRUE(),IF($I$6:$I$25=$BO9,$C$6:$C$25,""))</f>
        <v/>
      </c>
      <c r="BS9" s="359" t="str">
        <f t="shared" si="15"/>
        <v>Heidi Cerubini Dunne</v>
      </c>
      <c r="BT9" s="360"/>
      <c r="BU9" s="361"/>
    </row>
    <row r="10" spans="2:73" x14ac:dyDescent="0.45">
      <c r="B10" s="294">
        <f>IF($C10="","",Attendance!$C9)</f>
        <v>5</v>
      </c>
      <c r="C10" s="295" t="str">
        <f>IF(Attendance!$D9="","",Attendance!$D9)</f>
        <v>Roisin Offenhausen</v>
      </c>
      <c r="D10" s="296">
        <f>IF($C10="","",IFERROR(Attendance!$GC9,""))</f>
        <v>1</v>
      </c>
      <c r="E10" s="297">
        <f>IF($C10="","",IFERROR(Attendance!$GD9,""))</f>
        <v>3.6666666666666665</v>
      </c>
      <c r="F10" s="296" t="str">
        <f>IF($C10="","",IFERROR(Attendance!$GH9,""))</f>
        <v/>
      </c>
      <c r="G10" s="297">
        <f>IF($C10="","",IFERROR(Attendance!$GK9,""))</f>
        <v>10</v>
      </c>
      <c r="H10" s="296">
        <f>IF($C10="","",IFERROR(Attendance!$GN9,""))</f>
        <v>0.84444444444444433</v>
      </c>
      <c r="I10" s="295" t="str">
        <f>IF($C10="","",IF($BT10&lt;&gt;"",$BT10,IF($AW10="","Not graded",IF(AND($AV10="Pre-season",N($AP10)&lt;'Pre season'!$AM$5),"Insufficient data",IF($AW10&gt;=3.5,"Match Ready",IF($AW10&gt;3,"Not Ready for 90 min",IF($AW10&gt;2.5,"Nearly Ready",IF($AW10&gt;2,"Improving",IF($AW10&gt;1.5,"Not Ready","Critical")))))))))</f>
        <v>Match Ready</v>
      </c>
      <c r="J10" s="295">
        <f t="shared" si="0"/>
        <v>0.84460444444444438</v>
      </c>
      <c r="K10" s="295">
        <f>ROWS($K$6:$K10)</f>
        <v>5</v>
      </c>
      <c r="L10" s="295" t="str">
        <f>IFERROR(INDEX($C$6:$C$25,MATCH(LARGE($J$6:$J$25,ROWS($L$6:$L10)),$J$6:$J$25,0)),"")</f>
        <v>Amber Kilalee</v>
      </c>
      <c r="M10" s="296">
        <f>IFERROR(INDEX($H$6:$H$25,MATCH(LARGE($J$6:$J$25,ROWS($M$6:$M10)),$J$6:$J$25,0)),"")</f>
        <v>0.76666666666666661</v>
      </c>
      <c r="N10" s="295"/>
      <c r="O10" s="295" t="str">
        <f t="shared" si="1"/>
        <v>Roisin Offenhausen</v>
      </c>
      <c r="P10" s="297">
        <f t="shared" si="2"/>
        <v>3.6666666666666665</v>
      </c>
      <c r="Q10" s="297">
        <f t="shared" si="3"/>
        <v>10</v>
      </c>
      <c r="R10" s="295"/>
      <c r="S10" s="295" t="s">
        <v>404</v>
      </c>
      <c r="T10" s="295">
        <v>3.01</v>
      </c>
      <c r="U10" s="295">
        <v>3.49</v>
      </c>
      <c r="V10" s="295">
        <f t="shared" si="4"/>
        <v>6</v>
      </c>
      <c r="W10" s="295"/>
      <c r="X10" s="295">
        <v>5</v>
      </c>
      <c r="Y10" s="297" t="str">
        <f ca="1">IFERROR(IF($Y$2="","",AVERAGE(OFFSET(Attendance!$A$1,$Y$2-1,5+($X10-1)*4),OFFSET(Attendance!$A$1,$Y$2-1,7+($X10-1)*4))),"")</f>
        <v/>
      </c>
      <c r="Z10" s="297" t="str">
        <f ca="1">IFERROR(IF($Y$2="","",IF(LEN(OFFSET(Attendance!$A$1,$Y$2-1,95+($X10-1)*4))=0,"",OFFSET(Attendance!$A$1,$Y$2-1,95+($X10-1)*4))),"")</f>
        <v/>
      </c>
      <c r="AA10" s="295">
        <f t="shared" si="5"/>
        <v>11</v>
      </c>
      <c r="AB10" s="295" t="str">
        <f>IFERROR(INDEX($C$6:$C$25,MATCH(ROWS($AB$6:$AB10),$AA$6:$AA$25,0)),"")</f>
        <v>Emma Kelly</v>
      </c>
      <c r="AC10" s="295"/>
      <c r="AD10" s="295">
        <v>5</v>
      </c>
      <c r="AE10" s="298" t="str">
        <f t="array" ref="AE10">IF(LEN(INDEX(Attendance!$CP$2:$FY$2,1,($AD10-1)*4+1))=0,"",INDEX(Attendance!$CP$2:$FY$2,1,($AD10-1)*4+1))</f>
        <v/>
      </c>
      <c r="AF10" s="295" t="str">
        <f t="array" ref="AF10">IF(LEN(INDEX(Attendance!$CP$3:$FY$3,1,($AD10-1)*4+1))=0,"",INDEX(Attendance!$CP$3:$FY$3,1,($AD10-1)*4+1))</f>
        <v/>
      </c>
      <c r="AG10" s="295" t="str">
        <f t="array" ref="AG10">IF(LEN(INDEX(Attendance!$CP$3:$FY$3,1,($AD10-1)*4+4))=0,"",INDEX(Attendance!$CP$3:$FY$3,1,($AD10-1)*4+4))</f>
        <v/>
      </c>
      <c r="AH10" s="295" t="str">
        <f t="array" ref="AH10">IF(LEN(INDEX(Attendance!$CP$26:$FY$26,1,($AD10-1)*4+1))=0,"",INDEX(Attendance!$CP$26:$FY$26,1,($AD10-1)*4+1))</f>
        <v/>
      </c>
      <c r="AI10" s="295" t="str">
        <f t="array" ref="AI10">IF(LEN(INDEX(Attendance!$CP$27:$FY$27,1,($AD10-1)*4+1))=0,"",INDEX(Attendance!$CP$27:$FY$27,1,($AD10-1)*4+1))</f>
        <v/>
      </c>
      <c r="AJ10" s="295" t="str">
        <f t="array" ref="AJ10">IF(LEN(INDEX(Attendance!$CP$28:$FY$28,1,($AD10-1)*4+1))=0,"",INDEX(Attendance!$CP$28:$FY$28,1,($AD10-1)*4+1))</f>
        <v/>
      </c>
      <c r="AL10" t="str">
        <f t="shared" si="6"/>
        <v>Not Ready for 90 min</v>
      </c>
      <c r="AM10">
        <f t="shared" si="7"/>
        <v>6</v>
      </c>
      <c r="AO10" t="str">
        <f t="shared" si="8"/>
        <v>Roisin Offenhausen</v>
      </c>
      <c r="AP10" s="299">
        <f>IF($AO10="","",IFERROR(INDEX('Pre season'!$AE$5:$AE$24,MATCH($AO10,'Pre season'!$AD$5:$AD$24,0)),""))</f>
        <v>8</v>
      </c>
      <c r="AQ10" s="299">
        <f>IF($AO10="","",IFERROR(INDEX('Pre season'!$AF$5:$AF$24,MATCH($AO10,'Pre season'!$AD$5:$AD$24,0)),""))</f>
        <v>11</v>
      </c>
      <c r="AR10" s="300">
        <f>IF($AO10="","",IFERROR(INDEX('Pre season'!$AG$5:$AG$24,MATCH($AO10,'Pre season'!$AD$5:$AD$24,0)),""))</f>
        <v>0.72727272727272729</v>
      </c>
      <c r="AS10" s="64">
        <f>IF($AO10="","",IFERROR(INDEX('Pre season'!$AK$5:$AK$24,MATCH($AO10,'Pre season'!$AD$5:$AD$24,0)),""))</f>
        <v>3.875</v>
      </c>
      <c r="AT10" s="300">
        <f>IF($AO10="","",IFERROR(INDEX('Pre season'!$AJ$5:$AJ$24,MATCH($AO10,'Pre season'!$AD$5:$AD$24,0)),""))</f>
        <v>0.74181818181818193</v>
      </c>
      <c r="AU10" t="str">
        <f>IF($AO10="","",IF($AS10="","No pre-season data",IF(N($AP10)&lt;'Pre season'!$AM$5,"Insufficient data",IF($AS10&gt;=3.5,"Match Ready",IF($AS10&gt;3,"Not Ready for 90 min",IF($AS10&gt;2.5,"Nearly Ready",IF($AS10&gt;2,"Improving",IF($AS10&gt;1.5,"Not Ready","Critical"))))))))</f>
        <v>Match Ready</v>
      </c>
      <c r="AV10" t="str">
        <f t="shared" si="9"/>
        <v>In-season</v>
      </c>
      <c r="AW10" s="64">
        <f t="shared" si="10"/>
        <v>3.6666666666666665</v>
      </c>
      <c r="AX10" s="301">
        <f t="array" ref="AX10">IF($AO10="","",IF($AT10="","",SUMPRODUCT(($AT$6:$AT$25&lt;&gt;"")*($AT$6:$AT$25&gt;$AT10))+COUNTIF($AT$6:$AT10,$AT10)))</f>
        <v>2</v>
      </c>
      <c r="BA10" t="str">
        <f t="shared" si="11"/>
        <v>Roisin Offenhausen</v>
      </c>
      <c r="BB10" s="302">
        <f t="array" aca="1" ref="BB10" ca="1">IF($BA10="","",IF(ActiveSrc="In-season",SUMPRODUCT((ATAtt="Att")*(ATDates&gt;WinEnd-WinDays)*(ATDates&lt;=WinEnd)*((Attendance!$E9:$CN9="Yes")+(Attendance!$E9:$CN9="No"))),SUMPRODUCT((PSAtt="Att")*(PSDates&gt;WinEnd-WinDays)*(PSDates&lt;=WinEnd)*(('Pre season'!$E9:$AB9="Yes")+('Pre season'!$E9:$AB9="No")))))</f>
        <v>1</v>
      </c>
      <c r="BC10" s="302">
        <f t="array" aca="1" ref="BC10" ca="1">IF($BA10="","",IF(ActiveSrc="In-season",SUMPRODUCT((ATAtt="Att")*(ATDates&gt;WinEnd-WinDays)*(ATDates&lt;=WinEnd)*(Attendance!$E9:$CN9="Yes")),SUMPRODUCT((PSAtt="Att")*(PSDates&gt;WinEnd-WinDays)*(PSDates&lt;=WinEnd)*('Pre season'!$E9:$AB9="Yes"))))</f>
        <v>1</v>
      </c>
      <c r="BD10" s="302">
        <f t="array" aca="1" ref="BD10" ca="1">IF($BA10="","",IF(ActiveSrc="In-season",SUMPRODUCT((ATWR="WR")*(ATDates&gt;WinEnd-WinDays)*(ATDates&lt;=WinEnd)*IF(ISNUMBER(Attendance!$F9:$CO9),Attendance!$F9:$CO9,0)),SUMPRODUCT((PSWR="WR")*(PSDates&gt;WinEnd-WinDays)*(PSDates&lt;=WinEnd)*IF(ISNUMBER('Pre season'!$F9:$AC9),'Pre season'!$F9:$AC9,0))))</f>
        <v>3</v>
      </c>
      <c r="BE10" s="302">
        <f t="array" aca="1" ref="BE10" ca="1">IF($BA10="","",IF(ActiveSrc="In-season",SUMPRODUCT((ATWR="WR")*(ATDates&gt;WinEnd-WinDays)*(ATDates&lt;=WinEnd)*(IF(ISNUMBER(Attendance!$F9:$CO9),Attendance!$F9:$CO9,0)&gt;0)),SUMPRODUCT((PSWR="WR")*(PSDates&gt;WinEnd-WinDays)*(PSDates&lt;=WinEnd)*(IF(ISNUMBER('Pre season'!$F9:$AC9),'Pre season'!$F9:$AC9,0)&gt;0))))</f>
        <v>1</v>
      </c>
      <c r="BF10" s="303">
        <f t="shared" ca="1" si="12"/>
        <v>3</v>
      </c>
      <c r="BG10" s="304">
        <f ca="1">IF($BA10="","",IF(N($BB10)=0,"",'Pre season'!$AM$2*($BC10/$BB10)+'Pre season'!$AM$3*(IF($BF10="",0,$BF10)/5)))</f>
        <v>0.76</v>
      </c>
      <c r="BH10" s="302">
        <f t="array" aca="1" ref="BH10" ca="1">IF($BA10="","",IF($BG10="","",SUMPRODUCT(($BG$6:$BG$25&lt;&gt;"")*($BG$6:$BG$25&gt;$BG10))+COUNTIF($BG$6:$BG10,$BG10)))</f>
        <v>3</v>
      </c>
      <c r="BJ10" t="str">
        <f t="shared" si="13"/>
        <v>Roisin Offenhausen</v>
      </c>
      <c r="BK10" s="304">
        <f>IF($BJ10="","",IF(OR(N(Attendance!$GB9)&gt;0,N(Attendance!$GF9)&gt;0),IFERROR(Attendance!$GN9,""),IFERROR($AT10,"")))</f>
        <v>0.84444444444444433</v>
      </c>
      <c r="BL10" s="305" t="str">
        <f>IF($BJ10="","",IF(OR(N(Attendance!$GB9)&gt;0,N(Attendance!$GF9)&gt;0),"In-season","Pre-season"))</f>
        <v>In-season</v>
      </c>
      <c r="BM10" s="302">
        <f t="array" ref="BM10">IF($BJ10="","",IF($BK10="","",SUMPRODUCT(($BK$6:$BK$25&lt;&gt;"")*($BK$6:$BK$25&gt;$BK10))+COUNTIF($BK$6:$BK10,$BK10)))</f>
        <v>1</v>
      </c>
      <c r="BO10" t="str">
        <f>$S7</f>
        <v>Not Ready</v>
      </c>
      <c r="BP10" s="301">
        <f t="shared" si="14"/>
        <v>0</v>
      </c>
      <c r="BQ10" t="str">
        <f t="array" ref="BQ10">_xlfn.TEXTJOIN(", ",TRUE(),IF($I$6:$I$25=$BO10,$C$6:$C$25,""))</f>
        <v/>
      </c>
      <c r="BS10" s="359" t="str">
        <f t="shared" si="15"/>
        <v>Roisin Offenhausen</v>
      </c>
      <c r="BT10" s="360"/>
      <c r="BU10" s="361"/>
    </row>
    <row r="11" spans="2:73" x14ac:dyDescent="0.45">
      <c r="B11" s="294">
        <f>IF($C11="","",Attendance!$C10)</f>
        <v>6</v>
      </c>
      <c r="C11" s="295" t="str">
        <f>IF(Attendance!$D10="","",Attendance!$D10)</f>
        <v>Naomi Adewoyin</v>
      </c>
      <c r="D11" s="296">
        <f>IF($C11="","",IFERROR(Attendance!$GC10,""))</f>
        <v>1</v>
      </c>
      <c r="E11" s="297">
        <f>IF($C11="","",IFERROR(Attendance!$GD10,""))</f>
        <v>3</v>
      </c>
      <c r="F11" s="296" t="str">
        <f>IF($C11="","",IFERROR(Attendance!$GH10,""))</f>
        <v/>
      </c>
      <c r="G11" s="297">
        <f>IF($C11="","",IFERROR(Attendance!$GK10,""))</f>
        <v>7.5</v>
      </c>
      <c r="H11" s="296">
        <f>IF($C11="","",IFERROR(Attendance!$GN10,""))</f>
        <v>0.76666666666666661</v>
      </c>
      <c r="I11" s="295" t="str">
        <f>IF($C11="","",IF($BT11&lt;&gt;"",$BT11,IF($AW11="","Not graded",IF(AND($AV11="Pre-season",N($AP11)&lt;'Pre season'!$AM$5),"Insufficient data",IF($AW11&gt;=3.5,"Match Ready",IF($AW11&gt;3,"Not Ready for 90 min",IF($AW11&gt;2.5,"Nearly Ready",IF($AW11&gt;2,"Improving",IF($AW11&gt;1.5,"Not Ready","Critical")))))))))</f>
        <v>Not Ready for 90 min</v>
      </c>
      <c r="J11" s="295">
        <f t="shared" si="0"/>
        <v>0.76681666666666659</v>
      </c>
      <c r="K11" s="295">
        <f>ROWS($K$6:$K11)</f>
        <v>6</v>
      </c>
      <c r="L11" s="295" t="str">
        <f>IFERROR(INDEX($C$6:$C$25,MATCH(LARGE($J$6:$J$25,ROWS($L$6:$L11)),$J$6:$J$25,0)),"")</f>
        <v>Tara Brannigan</v>
      </c>
      <c r="M11" s="296">
        <f>IFERROR(INDEX($H$6:$H$25,MATCH(LARGE($J$6:$J$25,ROWS($M$6:$M11)),$J$6:$J$25,0)),"")</f>
        <v>0.76666666666666661</v>
      </c>
      <c r="N11" s="295"/>
      <c r="O11" s="295" t="str">
        <f t="shared" si="1"/>
        <v>Naomi Adewoyin</v>
      </c>
      <c r="P11" s="297">
        <f t="shared" si="2"/>
        <v>3</v>
      </c>
      <c r="Q11" s="297">
        <f t="shared" si="3"/>
        <v>7.5</v>
      </c>
      <c r="R11" s="295"/>
      <c r="S11" s="295" t="s">
        <v>15</v>
      </c>
      <c r="T11" s="295">
        <v>3.5</v>
      </c>
      <c r="U11" s="295">
        <v>5</v>
      </c>
      <c r="V11" s="295">
        <f t="shared" si="4"/>
        <v>1</v>
      </c>
      <c r="W11" s="295"/>
      <c r="X11" s="295">
        <v>6</v>
      </c>
      <c r="Y11" s="297" t="str">
        <f ca="1">IFERROR(IF($Y$2="","",AVERAGE(OFFSET(Attendance!$A$1,$Y$2-1,5+($X11-1)*4),OFFSET(Attendance!$A$1,$Y$2-1,7+($X11-1)*4))),"")</f>
        <v/>
      </c>
      <c r="Z11" s="297" t="str">
        <f ca="1">IFERROR(IF($Y$2="","",IF(LEN(OFFSET(Attendance!$A$1,$Y$2-1,95+($X11-1)*4))=0,"",OFFSET(Attendance!$A$1,$Y$2-1,95+($X11-1)*4))),"")</f>
        <v/>
      </c>
      <c r="AA11" s="295">
        <f t="shared" si="5"/>
        <v>9</v>
      </c>
      <c r="AB11" s="295" t="str">
        <f>IFERROR(INDEX($C$6:$C$25,MATCH(ROWS($AB$6:$AB11),$AA$6:$AA$25,0)),"")</f>
        <v>Hannah Fleming</v>
      </c>
      <c r="AC11" s="295"/>
      <c r="AD11" s="295">
        <v>6</v>
      </c>
      <c r="AE11" s="298" t="str">
        <f t="array" ref="AE11">IF(LEN(INDEX(Attendance!$CP$2:$FY$2,1,($AD11-1)*4+1))=0,"",INDEX(Attendance!$CP$2:$FY$2,1,($AD11-1)*4+1))</f>
        <v/>
      </c>
      <c r="AF11" s="295" t="str">
        <f t="array" ref="AF11">IF(LEN(INDEX(Attendance!$CP$3:$FY$3,1,($AD11-1)*4+1))=0,"",INDEX(Attendance!$CP$3:$FY$3,1,($AD11-1)*4+1))</f>
        <v/>
      </c>
      <c r="AG11" s="295" t="str">
        <f t="array" ref="AG11">IF(LEN(INDEX(Attendance!$CP$3:$FY$3,1,($AD11-1)*4+4))=0,"",INDEX(Attendance!$CP$3:$FY$3,1,($AD11-1)*4+4))</f>
        <v/>
      </c>
      <c r="AH11" s="295" t="str">
        <f t="array" ref="AH11">IF(LEN(INDEX(Attendance!$CP$26:$FY$26,1,($AD11-1)*4+1))=0,"",INDEX(Attendance!$CP$26:$FY$26,1,($AD11-1)*4+1))</f>
        <v/>
      </c>
      <c r="AI11" s="295" t="str">
        <f t="array" ref="AI11">IF(LEN(INDEX(Attendance!$CP$27:$FY$27,1,($AD11-1)*4+1))=0,"",INDEX(Attendance!$CP$27:$FY$27,1,($AD11-1)*4+1))</f>
        <v/>
      </c>
      <c r="AJ11" s="295" t="str">
        <f t="array" ref="AJ11">IF(LEN(INDEX(Attendance!$CP$28:$FY$28,1,($AD11-1)*4+1))=0,"",INDEX(Attendance!$CP$28:$FY$28,1,($AD11-1)*4+1))</f>
        <v/>
      </c>
      <c r="AL11" t="str">
        <f t="shared" si="6"/>
        <v>Match Ready</v>
      </c>
      <c r="AM11">
        <f t="shared" si="7"/>
        <v>1</v>
      </c>
      <c r="AO11" t="str">
        <f t="shared" si="8"/>
        <v>Naomi Adewoyin</v>
      </c>
      <c r="AP11" s="299">
        <f>IF($AO11="","",IFERROR(INDEX('Pre season'!$AE$5:$AE$24,MATCH($AO11,'Pre season'!$AD$5:$AD$24,0)),""))</f>
        <v>7</v>
      </c>
      <c r="AQ11" s="299">
        <f>IF($AO11="","",IFERROR(INDEX('Pre season'!$AF$5:$AF$24,MATCH($AO11,'Pre season'!$AD$5:$AD$24,0)),""))</f>
        <v>11</v>
      </c>
      <c r="AR11" s="300">
        <f>IF($AO11="","",IFERROR(INDEX('Pre season'!$AG$5:$AG$24,MATCH($AO11,'Pre season'!$AD$5:$AD$24,0)),""))</f>
        <v>0.63636363636363635</v>
      </c>
      <c r="AS11" s="64">
        <f>IF($AO11="","",IFERROR(INDEX('Pre season'!$AK$5:$AK$24,MATCH($AO11,'Pre season'!$AD$5:$AD$24,0)),""))</f>
        <v>3.4285714285714284</v>
      </c>
      <c r="AT11" s="300">
        <f>IF($AO11="","",IFERROR(INDEX('Pre season'!$AJ$5:$AJ$24,MATCH($AO11,'Pre season'!$AD$5:$AD$24,0)),""))</f>
        <v>0.60363636363636364</v>
      </c>
      <c r="AU11" t="str">
        <f>IF($AO11="","",IF($AS11="","No pre-season data",IF(N($AP11)&lt;'Pre season'!$AM$5,"Insufficient data",IF($AS11&gt;=3.5,"Match Ready",IF($AS11&gt;3,"Not Ready for 90 min",IF($AS11&gt;2.5,"Nearly Ready",IF($AS11&gt;2,"Improving",IF($AS11&gt;1.5,"Not Ready","Critical"))))))))</f>
        <v>Not Ready for 90 min</v>
      </c>
      <c r="AV11" t="str">
        <f t="shared" si="9"/>
        <v>In-season</v>
      </c>
      <c r="AW11" s="64">
        <f t="shared" si="10"/>
        <v>3</v>
      </c>
      <c r="AX11" s="301">
        <f t="array" ref="AX11">IF($AO11="","",IF($AT11="","",SUMPRODUCT(($AT$6:$AT$25&lt;&gt;"")*($AT$6:$AT$25&gt;$AT11))+COUNTIF($AT$6:$AT11,$AT11)))</f>
        <v>7</v>
      </c>
      <c r="BA11" t="str">
        <f t="shared" si="11"/>
        <v>Naomi Adewoyin</v>
      </c>
      <c r="BB11" s="302">
        <f t="array" aca="1" ref="BB11" ca="1">IF($BA11="","",IF(ActiveSrc="In-season",SUMPRODUCT((ATAtt="Att")*(ATDates&gt;WinEnd-WinDays)*(ATDates&lt;=WinEnd)*((Attendance!$E10:$CN10="Yes")+(Attendance!$E10:$CN10="No"))),SUMPRODUCT((PSAtt="Att")*(PSDates&gt;WinEnd-WinDays)*(PSDates&lt;=WinEnd)*(('Pre season'!$E10:$AB10="Yes")+('Pre season'!$E10:$AB10="No")))))</f>
        <v>1</v>
      </c>
      <c r="BC11" s="302">
        <f t="array" aca="1" ref="BC11" ca="1">IF($BA11="","",IF(ActiveSrc="In-season",SUMPRODUCT((ATAtt="Att")*(ATDates&gt;WinEnd-WinDays)*(ATDates&lt;=WinEnd)*(Attendance!$E10:$CN10="Yes")),SUMPRODUCT((PSAtt="Att")*(PSDates&gt;WinEnd-WinDays)*(PSDates&lt;=WinEnd)*('Pre season'!$E10:$AB10="Yes"))))</f>
        <v>1</v>
      </c>
      <c r="BD11" s="302">
        <f t="array" aca="1" ref="BD11" ca="1">IF($BA11="","",IF(ActiveSrc="In-season",SUMPRODUCT((ATWR="WR")*(ATDates&gt;WinEnd-WinDays)*(ATDates&lt;=WinEnd)*IF(ISNUMBER(Attendance!$F10:$CO10),Attendance!$F10:$CO10,0)),SUMPRODUCT((PSWR="WR")*(PSDates&gt;WinEnd-WinDays)*(PSDates&lt;=WinEnd)*IF(ISNUMBER('Pre season'!$F10:$AC10),'Pre season'!$F10:$AC10,0))))</f>
        <v>3</v>
      </c>
      <c r="BE11" s="302">
        <f t="array" aca="1" ref="BE11" ca="1">IF($BA11="","",IF(ActiveSrc="In-season",SUMPRODUCT((ATWR="WR")*(ATDates&gt;WinEnd-WinDays)*(ATDates&lt;=WinEnd)*(IF(ISNUMBER(Attendance!$F10:$CO10),Attendance!$F10:$CO10,0)&gt;0)),SUMPRODUCT((PSWR="WR")*(PSDates&gt;WinEnd-WinDays)*(PSDates&lt;=WinEnd)*(IF(ISNUMBER('Pre season'!$F10:$AC10),'Pre season'!$F10:$AC10,0)&gt;0))))</f>
        <v>1</v>
      </c>
      <c r="BF11" s="303">
        <f t="shared" ca="1" si="12"/>
        <v>3</v>
      </c>
      <c r="BG11" s="304">
        <f ca="1">IF($BA11="","",IF(N($BB11)=0,"",'Pre season'!$AM$2*($BC11/$BB11)+'Pre season'!$AM$3*(IF($BF11="",0,$BF11)/5)))</f>
        <v>0.76</v>
      </c>
      <c r="BH11" s="302">
        <f t="array" aca="1" ref="BH11" ca="1">IF($BA11="","",IF($BG11="","",SUMPRODUCT(($BG$6:$BG$25&lt;&gt;"")*($BG$6:$BG$25&gt;$BG11))+COUNTIF($BG$6:$BG11,$BG11)))</f>
        <v>4</v>
      </c>
      <c r="BJ11" t="str">
        <f t="shared" si="13"/>
        <v>Naomi Adewoyin</v>
      </c>
      <c r="BK11" s="304">
        <f>IF($BJ11="","",IF(OR(N(Attendance!$GB10)&gt;0,N(Attendance!$GF10)&gt;0),IFERROR(Attendance!$GN10,""),IFERROR($AT11,"")))</f>
        <v>0.76666666666666661</v>
      </c>
      <c r="BL11" s="305" t="str">
        <f>IF($BJ11="","",IF(OR(N(Attendance!$GB10)&gt;0,N(Attendance!$GF10)&gt;0),"In-season","Pre-season"))</f>
        <v>In-season</v>
      </c>
      <c r="BM11" s="302">
        <f t="array" ref="BM11">IF($BJ11="","",IF($BK11="","",SUMPRODUCT(($BK$6:$BK$25&lt;&gt;"")*($BK$6:$BK$25&gt;$BK11))+COUNTIF($BK$6:$BK11,$BK11)))</f>
        <v>4</v>
      </c>
      <c r="BO11" t="str">
        <f>$S6</f>
        <v>Critical</v>
      </c>
      <c r="BP11" s="301">
        <f t="shared" si="14"/>
        <v>0</v>
      </c>
      <c r="BQ11" t="str">
        <f t="array" ref="BQ11">_xlfn.TEXTJOIN(", ",TRUE(),IF($I$6:$I$25=$BO11,$C$6:$C$25,""))</f>
        <v/>
      </c>
      <c r="BS11" s="359" t="str">
        <f t="shared" si="15"/>
        <v>Naomi Adewoyin</v>
      </c>
      <c r="BT11" s="360" t="s">
        <v>404</v>
      </c>
      <c r="BU11" s="361" t="s">
        <v>507</v>
      </c>
    </row>
    <row r="12" spans="2:73" x14ac:dyDescent="0.45">
      <c r="B12" s="294">
        <f>IF($C12="","",Attendance!$C11)</f>
        <v>7</v>
      </c>
      <c r="C12" s="295" t="str">
        <f>IF(Attendance!$D11="","",Attendance!$D11)</f>
        <v>Amber Kilalee</v>
      </c>
      <c r="D12" s="296">
        <f>IF($C12="","",IFERROR(Attendance!$GC11,""))</f>
        <v>1</v>
      </c>
      <c r="E12" s="297">
        <f>IF($C12="","",IFERROR(Attendance!$GD11,""))</f>
        <v>3</v>
      </c>
      <c r="F12" s="296" t="str">
        <f>IF($C12="","",IFERROR(Attendance!$GH11,""))</f>
        <v/>
      </c>
      <c r="G12" s="297">
        <f>IF($C12="","",IFERROR(Attendance!$GK11,""))</f>
        <v>7.5</v>
      </c>
      <c r="H12" s="296">
        <f>IF($C12="","",IFERROR(Attendance!$GN11,""))</f>
        <v>0.76666666666666661</v>
      </c>
      <c r="I12" s="295" t="str">
        <f>IF($C12="","",IF($BT12&lt;&gt;"",$BT12,IF($AW12="","Not graded",IF(AND($AV12="Pre-season",N($AP12)&lt;'Pre season'!$AM$5),"Insufficient data",IF($AW12&gt;=3.5,"Match Ready",IF($AW12&gt;3,"Not Ready for 90 min",IF($AW12&gt;2.5,"Nearly Ready",IF($AW12&gt;2,"Improving",IF($AW12&gt;1.5,"Not Ready","Critical")))))))))</f>
        <v>Nearly Ready</v>
      </c>
      <c r="J12" s="295">
        <f t="shared" si="0"/>
        <v>0.76680666666666664</v>
      </c>
      <c r="K12" s="295">
        <f>ROWS($K$6:$K12)</f>
        <v>7</v>
      </c>
      <c r="L12" s="295" t="str">
        <f>IFERROR(INDEX($C$6:$C$25,MATCH(LARGE($J$6:$J$25,ROWS($L$6:$L12)),$J$6:$J$25,0)),"")</f>
        <v>Hannah Fleming</v>
      </c>
      <c r="M12" s="296">
        <f>IFERROR(INDEX($H$6:$H$25,MATCH(LARGE($J$6:$J$25,ROWS($M$6:$M12)),$J$6:$J$25,0)),"")</f>
        <v>0.76666666666666661</v>
      </c>
      <c r="N12" s="295"/>
      <c r="O12" s="295" t="str">
        <f t="shared" si="1"/>
        <v>Amber Kilalee</v>
      </c>
      <c r="P12" s="297">
        <f t="shared" si="2"/>
        <v>3</v>
      </c>
      <c r="Q12" s="297">
        <f t="shared" si="3"/>
        <v>7.5</v>
      </c>
      <c r="R12" s="295"/>
      <c r="S12" s="295"/>
      <c r="T12" s="295"/>
      <c r="U12" s="295"/>
      <c r="V12" s="295"/>
      <c r="W12" s="295"/>
      <c r="X12" s="295">
        <v>7</v>
      </c>
      <c r="Y12" s="297" t="str">
        <f ca="1">IFERROR(IF($Y$2="","",AVERAGE(OFFSET(Attendance!$A$1,$Y$2-1,5+($X12-1)*4),OFFSET(Attendance!$A$1,$Y$2-1,7+($X12-1)*4))),"")</f>
        <v/>
      </c>
      <c r="Z12" s="297" t="str">
        <f ca="1">IFERROR(IF($Y$2="","",IF(LEN(OFFSET(Attendance!$A$1,$Y$2-1,95+($X12-1)*4))=0,"",OFFSET(Attendance!$A$1,$Y$2-1,95+($X12-1)*4))),"")</f>
        <v/>
      </c>
      <c r="AA12" s="295">
        <f t="shared" si="5"/>
        <v>1</v>
      </c>
      <c r="AB12" s="295" t="str">
        <f>IFERROR(INDEX($C$6:$C$25,MATCH(ROWS($AB$6:$AB12),$AA$6:$AA$25,0)),"")</f>
        <v>Heidi Cerubini Dunne</v>
      </c>
      <c r="AC12" s="295"/>
      <c r="AD12" s="295">
        <v>7</v>
      </c>
      <c r="AE12" s="298" t="str">
        <f t="array" ref="AE12">IF(LEN(INDEX(Attendance!$CP$2:$FY$2,1,($AD12-1)*4+1))=0,"",INDEX(Attendance!$CP$2:$FY$2,1,($AD12-1)*4+1))</f>
        <v/>
      </c>
      <c r="AF12" s="295" t="str">
        <f t="array" ref="AF12">IF(LEN(INDEX(Attendance!$CP$3:$FY$3,1,($AD12-1)*4+1))=0,"",INDEX(Attendance!$CP$3:$FY$3,1,($AD12-1)*4+1))</f>
        <v/>
      </c>
      <c r="AG12" s="295" t="str">
        <f t="array" ref="AG12">IF(LEN(INDEX(Attendance!$CP$3:$FY$3,1,($AD12-1)*4+4))=0,"",INDEX(Attendance!$CP$3:$FY$3,1,($AD12-1)*4+4))</f>
        <v/>
      </c>
      <c r="AH12" s="295" t="str">
        <f t="array" ref="AH12">IF(LEN(INDEX(Attendance!$CP$26:$FY$26,1,($AD12-1)*4+1))=0,"",INDEX(Attendance!$CP$26:$FY$26,1,($AD12-1)*4+1))</f>
        <v/>
      </c>
      <c r="AI12" s="295" t="str">
        <f t="array" ref="AI12">IF(LEN(INDEX(Attendance!$CP$27:$FY$27,1,($AD12-1)*4+1))=0,"",INDEX(Attendance!$CP$27:$FY$27,1,($AD12-1)*4+1))</f>
        <v/>
      </c>
      <c r="AJ12" s="295" t="str">
        <f t="array" ref="AJ12">IF(LEN(INDEX(Attendance!$CP$28:$FY$28,1,($AD12-1)*4+1))=0,"",INDEX(Attendance!$CP$28:$FY$28,1,($AD12-1)*4+1))</f>
        <v/>
      </c>
      <c r="AO12" t="str">
        <f t="shared" si="8"/>
        <v>Amber Kilalee</v>
      </c>
      <c r="AP12" s="299">
        <f>IF($AO12="","",IFERROR(INDEX('Pre season'!$AE$5:$AE$24,MATCH($AO12,'Pre season'!$AD$5:$AD$24,0)),""))</f>
        <v>7</v>
      </c>
      <c r="AQ12" s="299">
        <f>IF($AO12="","",IFERROR(INDEX('Pre season'!$AF$5:$AF$24,MATCH($AO12,'Pre season'!$AD$5:$AD$24,0)),""))</f>
        <v>11</v>
      </c>
      <c r="AR12" s="300">
        <f>IF($AO12="","",IFERROR(INDEX('Pre season'!$AG$5:$AG$24,MATCH($AO12,'Pre season'!$AD$5:$AD$24,0)),""))</f>
        <v>0.63636363636363635</v>
      </c>
      <c r="AS12" s="64">
        <f>IF($AO12="","",IFERROR(INDEX('Pre season'!$AK$5:$AK$24,MATCH($AO12,'Pre season'!$AD$5:$AD$24,0)),""))</f>
        <v>3</v>
      </c>
      <c r="AT12" s="300">
        <f>IF($AO12="","",IFERROR(INDEX('Pre season'!$AJ$5:$AJ$24,MATCH($AO12,'Pre season'!$AD$5:$AD$24,0)),""))</f>
        <v>0.56000000000000005</v>
      </c>
      <c r="AU12" t="str">
        <f>IF($AO12="","",IF($AS12="","No pre-season data",IF(N($AP12)&lt;'Pre season'!$AM$5,"Insufficient data",IF($AS12&gt;=3.5,"Match Ready",IF($AS12&gt;3,"Not Ready for 90 min",IF($AS12&gt;2.5,"Nearly Ready",IF($AS12&gt;2,"Improving",IF($AS12&gt;1.5,"Not Ready","Critical"))))))))</f>
        <v>Nearly Ready</v>
      </c>
      <c r="AV12" t="str">
        <f t="shared" si="9"/>
        <v>In-season</v>
      </c>
      <c r="AW12" s="64">
        <f t="shared" si="10"/>
        <v>3</v>
      </c>
      <c r="AX12" s="301">
        <f t="array" ref="AX12">IF($AO12="","",IF($AT12="","",SUMPRODUCT(($AT$6:$AT$25&lt;&gt;"")*($AT$6:$AT$25&gt;$AT12))+COUNTIF($AT$6:$AT12,$AT12)))</f>
        <v>11</v>
      </c>
      <c r="BA12" t="str">
        <f t="shared" si="11"/>
        <v>Amber Kilalee</v>
      </c>
      <c r="BB12" s="302">
        <f t="array" aca="1" ref="BB12" ca="1">IF($BA12="","",IF(ActiveSrc="In-season",SUMPRODUCT((ATAtt="Att")*(ATDates&gt;WinEnd-WinDays)*(ATDates&lt;=WinEnd)*((Attendance!$E11:$CN11="Yes")+(Attendance!$E11:$CN11="No"))),SUMPRODUCT((PSAtt="Att")*(PSDates&gt;WinEnd-WinDays)*(PSDates&lt;=WinEnd)*(('Pre season'!$E11:$AB11="Yes")+('Pre season'!$E11:$AB11="No")))))</f>
        <v>1</v>
      </c>
      <c r="BC12" s="302">
        <f t="array" aca="1" ref="BC12" ca="1">IF($BA12="","",IF(ActiveSrc="In-season",SUMPRODUCT((ATAtt="Att")*(ATDates&gt;WinEnd-WinDays)*(ATDates&lt;=WinEnd)*(Attendance!$E11:$CN11="Yes")),SUMPRODUCT((PSAtt="Att")*(PSDates&gt;WinEnd-WinDays)*(PSDates&lt;=WinEnd)*('Pre season'!$E11:$AB11="Yes"))))</f>
        <v>1</v>
      </c>
      <c r="BD12" s="302">
        <f t="array" aca="1" ref="BD12" ca="1">IF($BA12="","",IF(ActiveSrc="In-season",SUMPRODUCT((ATWR="WR")*(ATDates&gt;WinEnd-WinDays)*(ATDates&lt;=WinEnd)*IF(ISNUMBER(Attendance!$F11:$CO11),Attendance!$F11:$CO11,0)),SUMPRODUCT((PSWR="WR")*(PSDates&gt;WinEnd-WinDays)*(PSDates&lt;=WinEnd)*IF(ISNUMBER('Pre season'!$F11:$AC11),'Pre season'!$F11:$AC11,0))))</f>
        <v>3</v>
      </c>
      <c r="BE12" s="302">
        <f t="array" aca="1" ref="BE12" ca="1">IF($BA12="","",IF(ActiveSrc="In-season",SUMPRODUCT((ATWR="WR")*(ATDates&gt;WinEnd-WinDays)*(ATDates&lt;=WinEnd)*(IF(ISNUMBER(Attendance!$F11:$CO11),Attendance!$F11:$CO11,0)&gt;0)),SUMPRODUCT((PSWR="WR")*(PSDates&gt;WinEnd-WinDays)*(PSDates&lt;=WinEnd)*(IF(ISNUMBER('Pre season'!$F11:$AC11),'Pre season'!$F11:$AC11,0)&gt;0))))</f>
        <v>1</v>
      </c>
      <c r="BF12" s="303">
        <f t="shared" ca="1" si="12"/>
        <v>3</v>
      </c>
      <c r="BG12" s="304">
        <f ca="1">IF($BA12="","",IF(N($BB12)=0,"",'Pre season'!$AM$2*($BC12/$BB12)+'Pre season'!$AM$3*(IF($BF12="",0,$BF12)/5)))</f>
        <v>0.76</v>
      </c>
      <c r="BH12" s="302">
        <f t="array" aca="1" ref="BH12" ca="1">IF($BA12="","",IF($BG12="","",SUMPRODUCT(($BG$6:$BG$25&lt;&gt;"")*($BG$6:$BG$25&gt;$BG12))+COUNTIF($BG$6:$BG12,$BG12)))</f>
        <v>5</v>
      </c>
      <c r="BJ12" t="str">
        <f t="shared" si="13"/>
        <v>Amber Kilalee</v>
      </c>
      <c r="BK12" s="304">
        <f>IF($BJ12="","",IF(OR(N(Attendance!$GB11)&gt;0,N(Attendance!$GF11)&gt;0),IFERROR(Attendance!$GN11,""),IFERROR($AT12,"")))</f>
        <v>0.76666666666666661</v>
      </c>
      <c r="BL12" s="305" t="str">
        <f>IF($BJ12="","",IF(OR(N(Attendance!$GB11)&gt;0,N(Attendance!$GF11)&gt;0),"In-season","Pre-season"))</f>
        <v>In-season</v>
      </c>
      <c r="BM12" s="302">
        <f t="array" ref="BM12">IF($BJ12="","",IF($BK12="","",SUMPRODUCT(($BK$6:$BK$25&lt;&gt;"")*($BK$6:$BK$25&gt;$BK12))+COUNTIF($BK$6:$BK12,$BK12)))</f>
        <v>5</v>
      </c>
      <c r="BO12" t="s">
        <v>405</v>
      </c>
      <c r="BP12" s="301">
        <f t="shared" si="14"/>
        <v>2</v>
      </c>
      <c r="BQ12" t="str">
        <f t="array" ref="BQ12">_xlfn.TEXTJOIN(", ",TRUE(),IF($I$6:$I$25=$BO12,$C$6:$C$25,""))</f>
        <v>Zara Power, Heidi Cerubini Dunne</v>
      </c>
      <c r="BS12" s="359" t="str">
        <f t="shared" si="15"/>
        <v>Amber Kilalee</v>
      </c>
      <c r="BT12" s="360"/>
      <c r="BU12" s="361"/>
    </row>
    <row r="13" spans="2:73" x14ac:dyDescent="0.45">
      <c r="B13" s="294">
        <f>IF($C13="","",Attendance!$C12)</f>
        <v>8</v>
      </c>
      <c r="C13" s="295" t="str">
        <f>IF(Attendance!$D12="","",Attendance!$D12)</f>
        <v>Shauna Kavanagh</v>
      </c>
      <c r="D13" s="296">
        <f>IF($C13="","",IFERROR(Attendance!$GC12,""))</f>
        <v>1</v>
      </c>
      <c r="E13" s="297">
        <f>IF($C13="","",IFERROR(Attendance!$GD12,""))</f>
        <v>2.6666666666666665</v>
      </c>
      <c r="F13" s="296" t="str">
        <f>IF($C13="","",IFERROR(Attendance!$GH12,""))</f>
        <v/>
      </c>
      <c r="G13" s="297">
        <f>IF($C13="","",IFERROR(Attendance!$GK12,""))</f>
        <v>7.5</v>
      </c>
      <c r="H13" s="296">
        <f>IF($C13="","",IFERROR(Attendance!$GN12,""))</f>
        <v>0.72777777777777775</v>
      </c>
      <c r="I13" s="295" t="str">
        <f>IF($C13="","",IF($BT13&lt;&gt;"",$BT13,IF($AW13="","Not graded",IF(AND($AV13="Pre-season",N($AP13)&lt;'Pre season'!$AM$5),"Insufficient data",IF($AW13&gt;=3.5,"Match Ready",IF($AW13&gt;3,"Not Ready for 90 min",IF($AW13&gt;2.5,"Nearly Ready",IF($AW13&gt;2,"Improving",IF($AW13&gt;1.5,"Not Ready","Critical")))))))))</f>
        <v>Nearly Ready</v>
      </c>
      <c r="J13" s="295">
        <f t="shared" si="0"/>
        <v>0.72790777777777771</v>
      </c>
      <c r="K13" s="295">
        <f>ROWS($K$6:$K13)</f>
        <v>8</v>
      </c>
      <c r="L13" s="295" t="str">
        <f>IFERROR(INDEX($C$6:$C$25,MATCH(LARGE($J$6:$J$25,ROWS($L$6:$L13)),$J$6:$J$25,0)),"")</f>
        <v>Emma Dromgoole</v>
      </c>
      <c r="M13" s="296">
        <f>IFERROR(INDEX($H$6:$H$25,MATCH(LARGE($J$6:$J$25,ROWS($M$6:$M13)),$J$6:$J$25,0)),"")</f>
        <v>0.76666666666666661</v>
      </c>
      <c r="N13" s="295"/>
      <c r="O13" s="295" t="str">
        <f t="shared" si="1"/>
        <v>Shauna Kavanagh</v>
      </c>
      <c r="P13" s="297">
        <f t="shared" si="2"/>
        <v>2.6666666666666665</v>
      </c>
      <c r="Q13" s="297">
        <f t="shared" si="3"/>
        <v>7.5</v>
      </c>
      <c r="R13" s="295"/>
      <c r="S13" s="295"/>
      <c r="T13" s="295"/>
      <c r="U13" s="295"/>
      <c r="V13" s="295"/>
      <c r="W13" s="295"/>
      <c r="X13" s="295">
        <v>8</v>
      </c>
      <c r="Y13" s="297" t="str">
        <f ca="1">IFERROR(IF($Y$2="","",AVERAGE(OFFSET(Attendance!$A$1,$Y$2-1,5+($X13-1)*4),OFFSET(Attendance!$A$1,$Y$2-1,7+($X13-1)*4))),"")</f>
        <v/>
      </c>
      <c r="Z13" s="297" t="str">
        <f ca="1">IFERROR(IF($Y$2="","",IF(LEN(OFFSET(Attendance!$A$1,$Y$2-1,95+($X13-1)*4))=0,"",OFFSET(Attendance!$A$1,$Y$2-1,95+($X13-1)*4))),"")</f>
        <v/>
      </c>
      <c r="AA13" s="295">
        <f t="shared" si="5"/>
        <v>14</v>
      </c>
      <c r="AB13" s="295" t="str">
        <f>IFERROR(INDEX($C$6:$C$25,MATCH(ROWS($AB$6:$AB13),$AA$6:$AA$25,0)),"")</f>
        <v>Mariana Soares</v>
      </c>
      <c r="AC13" s="295"/>
      <c r="AD13" s="295">
        <v>8</v>
      </c>
      <c r="AE13" s="298" t="str">
        <f t="array" ref="AE13">IF(LEN(INDEX(Attendance!$CP$2:$FY$2,1,($AD13-1)*4+1))=0,"",INDEX(Attendance!$CP$2:$FY$2,1,($AD13-1)*4+1))</f>
        <v/>
      </c>
      <c r="AF13" s="295" t="str">
        <f t="array" ref="AF13">IF(LEN(INDEX(Attendance!$CP$3:$FY$3,1,($AD13-1)*4+1))=0,"",INDEX(Attendance!$CP$3:$FY$3,1,($AD13-1)*4+1))</f>
        <v/>
      </c>
      <c r="AG13" s="295" t="str">
        <f t="array" ref="AG13">IF(LEN(INDEX(Attendance!$CP$3:$FY$3,1,($AD13-1)*4+4))=0,"",INDEX(Attendance!$CP$3:$FY$3,1,($AD13-1)*4+4))</f>
        <v/>
      </c>
      <c r="AH13" s="295" t="str">
        <f t="array" ref="AH13">IF(LEN(INDEX(Attendance!$CP$26:$FY$26,1,($AD13-1)*4+1))=0,"",INDEX(Attendance!$CP$26:$FY$26,1,($AD13-1)*4+1))</f>
        <v/>
      </c>
      <c r="AI13" s="295" t="str">
        <f t="array" ref="AI13">IF(LEN(INDEX(Attendance!$CP$27:$FY$27,1,($AD13-1)*4+1))=0,"",INDEX(Attendance!$CP$27:$FY$27,1,($AD13-1)*4+1))</f>
        <v/>
      </c>
      <c r="AJ13" s="295" t="str">
        <f t="array" ref="AJ13">IF(LEN(INDEX(Attendance!$CP$28:$FY$28,1,($AD13-1)*4+1))=0,"",INDEX(Attendance!$CP$28:$FY$28,1,($AD13-1)*4+1))</f>
        <v/>
      </c>
      <c r="AO13" t="str">
        <f t="shared" si="8"/>
        <v>Shauna Kavanagh</v>
      </c>
      <c r="AP13" s="299">
        <f>IF($AO13="","",IFERROR(INDEX('Pre season'!$AE$5:$AE$24,MATCH($AO13,'Pre season'!$AD$5:$AD$24,0)),""))</f>
        <v>9</v>
      </c>
      <c r="AQ13" s="299">
        <f>IF($AO13="","",IFERROR(INDEX('Pre season'!$AF$5:$AF$24,MATCH($AO13,'Pre season'!$AD$5:$AD$24,0)),""))</f>
        <v>11</v>
      </c>
      <c r="AR13" s="300">
        <f>IF($AO13="","",IFERROR(INDEX('Pre season'!$AG$5:$AG$24,MATCH($AO13,'Pre season'!$AD$5:$AD$24,0)),""))</f>
        <v>0.81818181818181823</v>
      </c>
      <c r="AS13" s="64">
        <f>IF($AO13="","",IFERROR(INDEX('Pre season'!$AK$5:$AK$24,MATCH($AO13,'Pre season'!$AD$5:$AD$24,0)),""))</f>
        <v>2.2222222222222223</v>
      </c>
      <c r="AT13" s="300">
        <f>IF($AO13="","",IFERROR(INDEX('Pre season'!$AJ$5:$AJ$24,MATCH($AO13,'Pre season'!$AD$5:$AD$24,0)),""))</f>
        <v>0.59393939393939399</v>
      </c>
      <c r="AU13" t="str">
        <f>IF($AO13="","",IF($AS13="","No pre-season data",IF(N($AP13)&lt;'Pre season'!$AM$5,"Insufficient data",IF($AS13&gt;=3.5,"Match Ready",IF($AS13&gt;3,"Not Ready for 90 min",IF($AS13&gt;2.5,"Nearly Ready",IF($AS13&gt;2,"Improving",IF($AS13&gt;1.5,"Not Ready","Critical"))))))))</f>
        <v>Improving</v>
      </c>
      <c r="AV13" t="str">
        <f t="shared" si="9"/>
        <v>In-season</v>
      </c>
      <c r="AW13" s="64">
        <f t="shared" si="10"/>
        <v>2.6666666666666665</v>
      </c>
      <c r="AX13" s="301">
        <f t="array" ref="AX13">IF($AO13="","",IF($AT13="","",SUMPRODUCT(($AT$6:$AT$25&lt;&gt;"")*($AT$6:$AT$25&gt;$AT13))+COUNTIF($AT$6:$AT13,$AT13)))</f>
        <v>8</v>
      </c>
      <c r="BA13" t="str">
        <f t="shared" si="11"/>
        <v>Shauna Kavanagh</v>
      </c>
      <c r="BB13" s="302">
        <f t="array" aca="1" ref="BB13" ca="1">IF($BA13="","",IF(ActiveSrc="In-season",SUMPRODUCT((ATAtt="Att")*(ATDates&gt;WinEnd-WinDays)*(ATDates&lt;=WinEnd)*((Attendance!$E12:$CN12="Yes")+(Attendance!$E12:$CN12="No"))),SUMPRODUCT((PSAtt="Att")*(PSDates&gt;WinEnd-WinDays)*(PSDates&lt;=WinEnd)*(('Pre season'!$E12:$AB12="Yes")+('Pre season'!$E12:$AB12="No")))))</f>
        <v>1</v>
      </c>
      <c r="BC13" s="302">
        <f t="array" aca="1" ref="BC13" ca="1">IF($BA13="","",IF(ActiveSrc="In-season",SUMPRODUCT((ATAtt="Att")*(ATDates&gt;WinEnd-WinDays)*(ATDates&lt;=WinEnd)*(Attendance!$E12:$CN12="Yes")),SUMPRODUCT((PSAtt="Att")*(PSDates&gt;WinEnd-WinDays)*(PSDates&lt;=WinEnd)*('Pre season'!$E12:$AB12="Yes"))))</f>
        <v>1</v>
      </c>
      <c r="BD13" s="302">
        <f t="array" aca="1" ref="BD13" ca="1">IF($BA13="","",IF(ActiveSrc="In-season",SUMPRODUCT((ATWR="WR")*(ATDates&gt;WinEnd-WinDays)*(ATDates&lt;=WinEnd)*IF(ISNUMBER(Attendance!$F12:$CO12),Attendance!$F12:$CO12,0)),SUMPRODUCT((PSWR="WR")*(PSDates&gt;WinEnd-WinDays)*(PSDates&lt;=WinEnd)*IF(ISNUMBER('Pre season'!$F12:$AC12),'Pre season'!$F12:$AC12,0))))</f>
        <v>2</v>
      </c>
      <c r="BE13" s="302">
        <f t="array" aca="1" ref="BE13" ca="1">IF($BA13="","",IF(ActiveSrc="In-season",SUMPRODUCT((ATWR="WR")*(ATDates&gt;WinEnd-WinDays)*(ATDates&lt;=WinEnd)*(IF(ISNUMBER(Attendance!$F12:$CO12),Attendance!$F12:$CO12,0)&gt;0)),SUMPRODUCT((PSWR="WR")*(PSDates&gt;WinEnd-WinDays)*(PSDates&lt;=WinEnd)*(IF(ISNUMBER('Pre season'!$F12:$AC12),'Pre season'!$F12:$AC12,0)&gt;0))))</f>
        <v>1</v>
      </c>
      <c r="BF13" s="303">
        <f t="shared" ca="1" si="12"/>
        <v>2</v>
      </c>
      <c r="BG13" s="304">
        <f ca="1">IF($BA13="","",IF(N($BB13)=0,"",'Pre season'!$AM$2*($BC13/$BB13)+'Pre season'!$AM$3*(IF($BF13="",0,$BF13)/5)))</f>
        <v>0.64</v>
      </c>
      <c r="BH13" s="302">
        <f t="array" aca="1" ref="BH13" ca="1">IF($BA13="","",IF($BG13="","",SUMPRODUCT(($BG$6:$BG$25&lt;&gt;"")*($BG$6:$BG$25&gt;$BG13))+COUNTIF($BG$6:$BG13,$BG13)))</f>
        <v>13</v>
      </c>
      <c r="BJ13" t="str">
        <f t="shared" si="13"/>
        <v>Shauna Kavanagh</v>
      </c>
      <c r="BK13" s="304">
        <f>IF($BJ13="","",IF(OR(N(Attendance!$GB12)&gt;0,N(Attendance!$GF12)&gt;0),IFERROR(Attendance!$GN12,""),IFERROR($AT13,"")))</f>
        <v>0.72777777777777775</v>
      </c>
      <c r="BL13" s="305" t="str">
        <f>IF($BJ13="","",IF(OR(N(Attendance!$GB12)&gt;0,N(Attendance!$GF12)&gt;0),"In-season","Pre-season"))</f>
        <v>In-season</v>
      </c>
      <c r="BM13" s="302">
        <f t="array" ref="BM13">IF($BJ13="","",IF($BK13="","",SUMPRODUCT(($BK$6:$BK$25&lt;&gt;"")*($BK$6:$BK$25&gt;$BK13))+COUNTIF($BK$6:$BK13,$BK13)))</f>
        <v>12</v>
      </c>
      <c r="BS13" s="359" t="str">
        <f t="shared" si="15"/>
        <v>Shauna Kavanagh</v>
      </c>
      <c r="BT13" s="360"/>
      <c r="BU13" s="361"/>
    </row>
    <row r="14" spans="2:73" x14ac:dyDescent="0.45">
      <c r="B14" s="294">
        <f>IF($C14="","",Attendance!$C13)</f>
        <v>9</v>
      </c>
      <c r="C14" s="295" t="str">
        <f>IF(Attendance!$D13="","",Attendance!$D13)</f>
        <v>Tara Brannigan</v>
      </c>
      <c r="D14" s="296">
        <f>IF($C14="","",IFERROR(Attendance!$GC13,""))</f>
        <v>1</v>
      </c>
      <c r="E14" s="297">
        <f>IF($C14="","",IFERROR(Attendance!$GD13,""))</f>
        <v>3</v>
      </c>
      <c r="F14" s="296" t="str">
        <f>IF($C14="","",IFERROR(Attendance!$GH13,""))</f>
        <v/>
      </c>
      <c r="G14" s="297">
        <f>IF($C14="","",IFERROR(Attendance!$GK13,""))</f>
        <v>8</v>
      </c>
      <c r="H14" s="296">
        <f>IF($C14="","",IFERROR(Attendance!$GN13,""))</f>
        <v>0.76666666666666661</v>
      </c>
      <c r="I14" s="295" t="str">
        <f>IF($C14="","",IF($BT14&lt;&gt;"",$BT14,IF($AW14="","Not graded",IF(AND($AV14="Pre-season",N($AP14)&lt;'Pre season'!$AM$5),"Insufficient data",IF($AW14&gt;=3.5,"Match Ready",IF($AW14&gt;3,"Not Ready for 90 min",IF($AW14&gt;2.5,"Nearly Ready",IF($AW14&gt;2,"Improving",IF($AW14&gt;1.5,"Not Ready","Critical")))))))))</f>
        <v>Not Ready for 90 min</v>
      </c>
      <c r="J14" s="295">
        <f t="shared" si="0"/>
        <v>0.76678666666666662</v>
      </c>
      <c r="K14" s="295">
        <f>ROWS($K$6:$K14)</f>
        <v>9</v>
      </c>
      <c r="L14" s="295" t="str">
        <f>IFERROR(INDEX($C$6:$C$25,MATCH(LARGE($J$6:$J$25,ROWS($L$6:$L14)),$J$6:$J$25,0)),"")</f>
        <v>Elsie Morrison</v>
      </c>
      <c r="M14" s="296">
        <f>IFERROR(INDEX($H$6:$H$25,MATCH(LARGE($J$6:$J$25,ROWS($M$6:$M14)),$J$6:$J$25,0)),"")</f>
        <v>0.76666666666666661</v>
      </c>
      <c r="N14" s="295"/>
      <c r="O14" s="295" t="str">
        <f t="shared" si="1"/>
        <v>Tara Brannigan</v>
      </c>
      <c r="P14" s="297">
        <f t="shared" si="2"/>
        <v>3</v>
      </c>
      <c r="Q14" s="297">
        <f t="shared" si="3"/>
        <v>8</v>
      </c>
      <c r="R14" s="295"/>
      <c r="S14" s="295"/>
      <c r="T14" s="295"/>
      <c r="U14" s="295"/>
      <c r="V14" s="295"/>
      <c r="W14" s="295"/>
      <c r="X14" s="295">
        <v>9</v>
      </c>
      <c r="Y14" s="297" t="str">
        <f ca="1">IFERROR(IF($Y$2="","",AVERAGE(OFFSET(Attendance!$A$1,$Y$2-1,5+($X14-1)*4),OFFSET(Attendance!$A$1,$Y$2-1,7+($X14-1)*4))),"")</f>
        <v/>
      </c>
      <c r="Z14" s="297" t="str">
        <f ca="1">IFERROR(IF($Y$2="","",IF(LEN(OFFSET(Attendance!$A$1,$Y$2-1,95+($X14-1)*4))=0,"",OFFSET(Attendance!$A$1,$Y$2-1,95+($X14-1)*4))),"")</f>
        <v/>
      </c>
      <c r="AA14" s="295">
        <f t="shared" si="5"/>
        <v>16</v>
      </c>
      <c r="AB14" s="295" t="str">
        <f>IFERROR(INDEX($C$6:$C$25,MATCH(ROWS($AB$6:$AB14),$AA$6:$AA$25,0)),"")</f>
        <v>Naomi Adewoyin</v>
      </c>
      <c r="AC14" s="295"/>
      <c r="AD14" s="295">
        <v>9</v>
      </c>
      <c r="AE14" s="298" t="str">
        <f t="array" ref="AE14">IF(LEN(INDEX(Attendance!$CP$2:$FY$2,1,($AD14-1)*4+1))=0,"",INDEX(Attendance!$CP$2:$FY$2,1,($AD14-1)*4+1))</f>
        <v/>
      </c>
      <c r="AF14" s="295" t="str">
        <f t="array" ref="AF14">IF(LEN(INDEX(Attendance!$CP$3:$FY$3,1,($AD14-1)*4+1))=0,"",INDEX(Attendance!$CP$3:$FY$3,1,($AD14-1)*4+1))</f>
        <v/>
      </c>
      <c r="AG14" s="295" t="str">
        <f t="array" ref="AG14">IF(LEN(INDEX(Attendance!$CP$3:$FY$3,1,($AD14-1)*4+4))=0,"",INDEX(Attendance!$CP$3:$FY$3,1,($AD14-1)*4+4))</f>
        <v/>
      </c>
      <c r="AH14" s="295" t="str">
        <f t="array" ref="AH14">IF(LEN(INDEX(Attendance!$CP$26:$FY$26,1,($AD14-1)*4+1))=0,"",INDEX(Attendance!$CP$26:$FY$26,1,($AD14-1)*4+1))</f>
        <v/>
      </c>
      <c r="AI14" s="295" t="str">
        <f t="array" ref="AI14">IF(LEN(INDEX(Attendance!$CP$27:$FY$27,1,($AD14-1)*4+1))=0,"",INDEX(Attendance!$CP$27:$FY$27,1,($AD14-1)*4+1))</f>
        <v/>
      </c>
      <c r="AJ14" s="295" t="str">
        <f t="array" ref="AJ14">IF(LEN(INDEX(Attendance!$CP$28:$FY$28,1,($AD14-1)*4+1))=0,"",INDEX(Attendance!$CP$28:$FY$28,1,($AD14-1)*4+1))</f>
        <v/>
      </c>
      <c r="AO14" t="str">
        <f t="shared" si="8"/>
        <v>Tara Brannigan</v>
      </c>
      <c r="AP14" s="299">
        <f>IF($AO14="","",IFERROR(INDEX('Pre season'!$AE$5:$AE$24,MATCH($AO14,'Pre season'!$AD$5:$AD$24,0)),""))</f>
        <v>4</v>
      </c>
      <c r="AQ14" s="299">
        <f>IF($AO14="","",IFERROR(INDEX('Pre season'!$AF$5:$AF$24,MATCH($AO14,'Pre season'!$AD$5:$AD$24,0)),""))</f>
        <v>11</v>
      </c>
      <c r="AR14" s="300">
        <f>IF($AO14="","",IFERROR(INDEX('Pre season'!$AG$5:$AG$24,MATCH($AO14,'Pre season'!$AD$5:$AD$24,0)),""))</f>
        <v>0.36363636363636365</v>
      </c>
      <c r="AS14" s="64">
        <f>IF($AO14="","",IFERROR(INDEX('Pre season'!$AK$5:$AK$24,MATCH($AO14,'Pre season'!$AD$5:$AD$24,0)),""))</f>
        <v>3.25</v>
      </c>
      <c r="AT14" s="300">
        <f>IF($AO14="","",IFERROR(INDEX('Pre season'!$AJ$5:$AJ$24,MATCH($AO14,'Pre season'!$AD$5:$AD$24,0)),""))</f>
        <v>0.33454545454545459</v>
      </c>
      <c r="AU14" t="str">
        <f>IF($AO14="","",IF($AS14="","No pre-season data",IF(N($AP14)&lt;'Pre season'!$AM$5,"Insufficient data",IF($AS14&gt;=3.5,"Match Ready",IF($AS14&gt;3,"Not Ready for 90 min",IF($AS14&gt;2.5,"Nearly Ready",IF($AS14&gt;2,"Improving",IF($AS14&gt;1.5,"Not Ready","Critical"))))))))</f>
        <v>Insufficient data</v>
      </c>
      <c r="AV14" t="str">
        <f t="shared" si="9"/>
        <v>In-season</v>
      </c>
      <c r="AW14" s="64">
        <f t="shared" si="10"/>
        <v>3</v>
      </c>
      <c r="AX14" s="301">
        <f t="array" ref="AX14">IF($AO14="","",IF($AT14="","",SUMPRODUCT(($AT$6:$AT$25&lt;&gt;"")*($AT$6:$AT$25&gt;$AT14))+COUNTIF($AT$6:$AT14,$AT14)))</f>
        <v>13</v>
      </c>
      <c r="BA14" t="str">
        <f t="shared" si="11"/>
        <v>Tara Brannigan</v>
      </c>
      <c r="BB14" s="302">
        <f t="array" aca="1" ref="BB14" ca="1">IF($BA14="","",IF(ActiveSrc="In-season",SUMPRODUCT((ATAtt="Att")*(ATDates&gt;WinEnd-WinDays)*(ATDates&lt;=WinEnd)*((Attendance!$E13:$CN13="Yes")+(Attendance!$E13:$CN13="No"))),SUMPRODUCT((PSAtt="Att")*(PSDates&gt;WinEnd-WinDays)*(PSDates&lt;=WinEnd)*(('Pre season'!$E13:$AB13="Yes")+('Pre season'!$E13:$AB13="No")))))</f>
        <v>1</v>
      </c>
      <c r="BC14" s="302">
        <f t="array" aca="1" ref="BC14" ca="1">IF($BA14="","",IF(ActiveSrc="In-season",SUMPRODUCT((ATAtt="Att")*(ATDates&gt;WinEnd-WinDays)*(ATDates&lt;=WinEnd)*(Attendance!$E13:$CN13="Yes")),SUMPRODUCT((PSAtt="Att")*(PSDates&gt;WinEnd-WinDays)*(PSDates&lt;=WinEnd)*('Pre season'!$E13:$AB13="Yes"))))</f>
        <v>1</v>
      </c>
      <c r="BD14" s="302">
        <f t="array" aca="1" ref="BD14" ca="1">IF($BA14="","",IF(ActiveSrc="In-season",SUMPRODUCT((ATWR="WR")*(ATDates&gt;WinEnd-WinDays)*(ATDates&lt;=WinEnd)*IF(ISNUMBER(Attendance!$F13:$CO13),Attendance!$F13:$CO13,0)),SUMPRODUCT((PSWR="WR")*(PSDates&gt;WinEnd-WinDays)*(PSDates&lt;=WinEnd)*IF(ISNUMBER('Pre season'!$F13:$AC13),'Pre season'!$F13:$AC13,0))))</f>
        <v>3</v>
      </c>
      <c r="BE14" s="302">
        <f t="array" aca="1" ref="BE14" ca="1">IF($BA14="","",IF(ActiveSrc="In-season",SUMPRODUCT((ATWR="WR")*(ATDates&gt;WinEnd-WinDays)*(ATDates&lt;=WinEnd)*(IF(ISNUMBER(Attendance!$F13:$CO13),Attendance!$F13:$CO13,0)&gt;0)),SUMPRODUCT((PSWR="WR")*(PSDates&gt;WinEnd-WinDays)*(PSDates&lt;=WinEnd)*(IF(ISNUMBER('Pre season'!$F13:$AC13),'Pre season'!$F13:$AC13,0)&gt;0))))</f>
        <v>1</v>
      </c>
      <c r="BF14" s="303">
        <f t="shared" ca="1" si="12"/>
        <v>3</v>
      </c>
      <c r="BG14" s="304">
        <f ca="1">IF($BA14="","",IF(N($BB14)=0,"",'Pre season'!$AM$2*($BC14/$BB14)+'Pre season'!$AM$3*(IF($BF14="",0,$BF14)/5)))</f>
        <v>0.76</v>
      </c>
      <c r="BH14" s="302">
        <f t="array" aca="1" ref="BH14" ca="1">IF($BA14="","",IF($BG14="","",SUMPRODUCT(($BG$6:$BG$25&lt;&gt;"")*($BG$6:$BG$25&gt;$BG14))+COUNTIF($BG$6:$BG14,$BG14)))</f>
        <v>6</v>
      </c>
      <c r="BJ14" t="str">
        <f t="shared" si="13"/>
        <v>Tara Brannigan</v>
      </c>
      <c r="BK14" s="304">
        <f>IF($BJ14="","",IF(OR(N(Attendance!$GB13)&gt;0,N(Attendance!$GF13)&gt;0),IFERROR(Attendance!$GN13,""),IFERROR($AT14,"")))</f>
        <v>0.76666666666666661</v>
      </c>
      <c r="BL14" s="305" t="str">
        <f>IF($BJ14="","",IF(OR(N(Attendance!$GB13)&gt;0,N(Attendance!$GF13)&gt;0),"In-season","Pre-season"))</f>
        <v>In-season</v>
      </c>
      <c r="BM14" s="302">
        <f t="array" ref="BM14">IF($BJ14="","",IF($BK14="","",SUMPRODUCT(($BK$6:$BK$25&lt;&gt;"")*($BK$6:$BK$25&gt;$BK14))+COUNTIF($BK$6:$BK14,$BK14)))</f>
        <v>6</v>
      </c>
      <c r="BS14" s="359" t="str">
        <f t="shared" si="15"/>
        <v>Tara Brannigan</v>
      </c>
      <c r="BT14" s="360" t="s">
        <v>404</v>
      </c>
      <c r="BU14" s="361" t="s">
        <v>507</v>
      </c>
    </row>
    <row r="15" spans="2:73" x14ac:dyDescent="0.45">
      <c r="B15" s="294">
        <f>IF($C15="","",Attendance!$C14)</f>
        <v>10</v>
      </c>
      <c r="C15" s="295" t="str">
        <f>IF(Attendance!$D14="","",Attendance!$D14)</f>
        <v>Semilore Adesanya</v>
      </c>
      <c r="D15" s="296">
        <f>IF($C15="","",IFERROR(Attendance!$GC14,""))</f>
        <v>0.66666666666666663</v>
      </c>
      <c r="E15" s="297">
        <f>IF($C15="","",IFERROR(Attendance!$GD14,""))</f>
        <v>3.5</v>
      </c>
      <c r="F15" s="296" t="str">
        <f>IF($C15="","",IFERROR(Attendance!$GH14,""))</f>
        <v/>
      </c>
      <c r="G15" s="297">
        <f>IF($C15="","",IFERROR(Attendance!$GK14,""))</f>
        <v>8.5</v>
      </c>
      <c r="H15" s="296">
        <f>IF($C15="","",IFERROR(Attendance!$GN14,""))</f>
        <v>0.68611111111111112</v>
      </c>
      <c r="I15" s="295" t="str">
        <f>IF($C15="","",IF($BT15&lt;&gt;"",$BT15,IF($AW15="","Not graded",IF(AND($AV15="Pre-season",N($AP15)&lt;'Pre season'!$AM$5),"Insufficient data",IF($AW15&gt;=3.5,"Match Ready",IF($AW15&gt;3,"Not Ready for 90 min",IF($AW15&gt;2.5,"Nearly Ready",IF($AW15&gt;2,"Improving",IF($AW15&gt;1.5,"Not Ready","Critical")))))))))</f>
        <v>Not Ready for 90 min</v>
      </c>
      <c r="J15" s="295">
        <f t="shared" si="0"/>
        <v>0.68622111111111117</v>
      </c>
      <c r="K15" s="295">
        <f>ROWS($K$6:$K15)</f>
        <v>10</v>
      </c>
      <c r="L15" s="295" t="str">
        <f>IFERROR(INDEX($C$6:$C$25,MATCH(LARGE($J$6:$J$25,ROWS($L$6:$L15)),$J$6:$J$25,0)),"")</f>
        <v>Mariana Soares</v>
      </c>
      <c r="M15" s="296">
        <f>IFERROR(INDEX($H$6:$H$25,MATCH(LARGE($J$6:$J$25,ROWS($M$6:$M15)),$J$6:$J$25,0)),"")</f>
        <v>0.76666666666666661</v>
      </c>
      <c r="N15" s="295"/>
      <c r="O15" s="295" t="str">
        <f t="shared" si="1"/>
        <v>Semilore Adesanya</v>
      </c>
      <c r="P15" s="297">
        <f t="shared" si="2"/>
        <v>3.5</v>
      </c>
      <c r="Q15" s="297">
        <f t="shared" si="3"/>
        <v>8.5</v>
      </c>
      <c r="R15" s="295"/>
      <c r="S15" s="295"/>
      <c r="T15" s="295"/>
      <c r="U15" s="295"/>
      <c r="V15" s="295"/>
      <c r="W15" s="295"/>
      <c r="X15" s="295">
        <v>10</v>
      </c>
      <c r="Y15" s="297" t="str">
        <f ca="1">IFERROR(IF($Y$2="","",AVERAGE(OFFSET(Attendance!$A$1,$Y$2-1,5+($X15-1)*4),OFFSET(Attendance!$A$1,$Y$2-1,7+($X15-1)*4))),"")</f>
        <v/>
      </c>
      <c r="Z15" s="297" t="str">
        <f ca="1">IFERROR(IF($Y$2="","",IF(LEN(OFFSET(Attendance!$A$1,$Y$2-1,95+($X15-1)*4))=0,"",OFFSET(Attendance!$A$1,$Y$2-1,95+($X15-1)*4))),"")</f>
        <v/>
      </c>
      <c r="AA15" s="295">
        <f t="shared" si="5"/>
        <v>13</v>
      </c>
      <c r="AB15" s="295" t="str">
        <f>IFERROR(INDEX($C$6:$C$25,MATCH(ROWS($AB$6:$AB15),$AA$6:$AA$25,0)),"")</f>
        <v>Rama Abuowda</v>
      </c>
      <c r="AC15" s="295"/>
      <c r="AD15" s="295">
        <v>10</v>
      </c>
      <c r="AE15" s="298" t="str">
        <f t="array" ref="AE15">IF(LEN(INDEX(Attendance!$CP$2:$FY$2,1,($AD15-1)*4+1))=0,"",INDEX(Attendance!$CP$2:$FY$2,1,($AD15-1)*4+1))</f>
        <v/>
      </c>
      <c r="AF15" s="295" t="str">
        <f t="array" ref="AF15">IF(LEN(INDEX(Attendance!$CP$3:$FY$3,1,($AD15-1)*4+1))=0,"",INDEX(Attendance!$CP$3:$FY$3,1,($AD15-1)*4+1))</f>
        <v/>
      </c>
      <c r="AG15" s="295" t="str">
        <f t="array" ref="AG15">IF(LEN(INDEX(Attendance!$CP$3:$FY$3,1,($AD15-1)*4+4))=0,"",INDEX(Attendance!$CP$3:$FY$3,1,($AD15-1)*4+4))</f>
        <v/>
      </c>
      <c r="AH15" s="295" t="str">
        <f t="array" ref="AH15">IF(LEN(INDEX(Attendance!$CP$26:$FY$26,1,($AD15-1)*4+1))=0,"",INDEX(Attendance!$CP$26:$FY$26,1,($AD15-1)*4+1))</f>
        <v/>
      </c>
      <c r="AI15" s="295" t="str">
        <f t="array" ref="AI15">IF(LEN(INDEX(Attendance!$CP$27:$FY$27,1,($AD15-1)*4+1))=0,"",INDEX(Attendance!$CP$27:$FY$27,1,($AD15-1)*4+1))</f>
        <v/>
      </c>
      <c r="AJ15" s="295" t="str">
        <f t="array" ref="AJ15">IF(LEN(INDEX(Attendance!$CP$28:$FY$28,1,($AD15-1)*4+1))=0,"",INDEX(Attendance!$CP$28:$FY$28,1,($AD15-1)*4+1))</f>
        <v/>
      </c>
      <c r="AO15" t="str">
        <f t="shared" si="8"/>
        <v>Semilore Adesanya</v>
      </c>
      <c r="AP15" s="299">
        <f>IF($AO15="","",IFERROR(INDEX('Pre season'!$AE$5:$AE$24,MATCH($AO15,'Pre season'!$AD$5:$AD$24,0)),""))</f>
        <v>7</v>
      </c>
      <c r="AQ15" s="299">
        <f>IF($AO15="","",IFERROR(INDEX('Pre season'!$AF$5:$AF$24,MATCH($AO15,'Pre season'!$AD$5:$AD$24,0)),""))</f>
        <v>11</v>
      </c>
      <c r="AR15" s="300">
        <f>IF($AO15="","",IFERROR(INDEX('Pre season'!$AG$5:$AG$24,MATCH($AO15,'Pre season'!$AD$5:$AD$24,0)),""))</f>
        <v>0.63636363636363635</v>
      </c>
      <c r="AS15" s="64">
        <f>IF($AO15="","",IFERROR(INDEX('Pre season'!$AK$5:$AK$24,MATCH($AO15,'Pre season'!$AD$5:$AD$24,0)),""))</f>
        <v>3.5714285714285716</v>
      </c>
      <c r="AT15" s="300">
        <f>IF($AO15="","",IFERROR(INDEX('Pre season'!$AJ$5:$AJ$24,MATCH($AO15,'Pre season'!$AD$5:$AD$24,0)),""))</f>
        <v>0.61818181818181817</v>
      </c>
      <c r="AU15" t="str">
        <f>IF($AO15="","",IF($AS15="","No pre-season data",IF(N($AP15)&lt;'Pre season'!$AM$5,"Insufficient data",IF($AS15&gt;=3.5,"Match Ready",IF($AS15&gt;3,"Not Ready for 90 min",IF($AS15&gt;2.5,"Nearly Ready",IF($AS15&gt;2,"Improving",IF($AS15&gt;1.5,"Not Ready","Critical"))))))))</f>
        <v>Match Ready</v>
      </c>
      <c r="AV15" t="str">
        <f t="shared" si="9"/>
        <v>In-season</v>
      </c>
      <c r="AW15" s="64">
        <f t="shared" si="10"/>
        <v>3.5</v>
      </c>
      <c r="AX15" s="301">
        <f t="array" ref="AX15">IF($AO15="","",IF($AT15="","",SUMPRODUCT(($AT$6:$AT$25&lt;&gt;"")*($AT$6:$AT$25&gt;$AT15))+COUNTIF($AT$6:$AT15,$AT15)))</f>
        <v>6</v>
      </c>
      <c r="BA15" t="str">
        <f t="shared" si="11"/>
        <v>Semilore Adesanya</v>
      </c>
      <c r="BB15" s="302">
        <f t="array" aca="1" ref="BB15" ca="1">IF($BA15="","",IF(ActiveSrc="In-season",SUMPRODUCT((ATAtt="Att")*(ATDates&gt;WinEnd-WinDays)*(ATDates&lt;=WinEnd)*((Attendance!$E14:$CN14="Yes")+(Attendance!$E14:$CN14="No"))),SUMPRODUCT((PSAtt="Att")*(PSDates&gt;WinEnd-WinDays)*(PSDates&lt;=WinEnd)*(('Pre season'!$E14:$AB14="Yes")+('Pre season'!$E14:$AB14="No")))))</f>
        <v>1</v>
      </c>
      <c r="BC15" s="302">
        <f t="array" aca="1" ref="BC15" ca="1">IF($BA15="","",IF(ActiveSrc="In-season",SUMPRODUCT((ATAtt="Att")*(ATDates&gt;WinEnd-WinDays)*(ATDates&lt;=WinEnd)*(Attendance!$E14:$CN14="Yes")),SUMPRODUCT((PSAtt="Att")*(PSDates&gt;WinEnd-WinDays)*(PSDates&lt;=WinEnd)*('Pre season'!$E14:$AB14="Yes"))))</f>
        <v>1</v>
      </c>
      <c r="BD15" s="302">
        <f t="array" aca="1" ref="BD15" ca="1">IF($BA15="","",IF(ActiveSrc="In-season",SUMPRODUCT((ATWR="WR")*(ATDates&gt;WinEnd-WinDays)*(ATDates&lt;=WinEnd)*IF(ISNUMBER(Attendance!$F14:$CO14),Attendance!$F14:$CO14,0)),SUMPRODUCT((PSWR="WR")*(PSDates&gt;WinEnd-WinDays)*(PSDates&lt;=WinEnd)*IF(ISNUMBER('Pre season'!$F14:$AC14),'Pre season'!$F14:$AC14,0))))</f>
        <v>3</v>
      </c>
      <c r="BE15" s="302">
        <f t="array" aca="1" ref="BE15" ca="1">IF($BA15="","",IF(ActiveSrc="In-season",SUMPRODUCT((ATWR="WR")*(ATDates&gt;WinEnd-WinDays)*(ATDates&lt;=WinEnd)*(IF(ISNUMBER(Attendance!$F14:$CO14),Attendance!$F14:$CO14,0)&gt;0)),SUMPRODUCT((PSWR="WR")*(PSDates&gt;WinEnd-WinDays)*(PSDates&lt;=WinEnd)*(IF(ISNUMBER('Pre season'!$F14:$AC14),'Pre season'!$F14:$AC14,0)&gt;0))))</f>
        <v>1</v>
      </c>
      <c r="BF15" s="303">
        <f t="shared" ca="1" si="12"/>
        <v>3</v>
      </c>
      <c r="BG15" s="304">
        <f ca="1">IF($BA15="","",IF(N($BB15)=0,"",'Pre season'!$AM$2*($BC15/$BB15)+'Pre season'!$AM$3*(IF($BF15="",0,$BF15)/5)))</f>
        <v>0.76</v>
      </c>
      <c r="BH15" s="302">
        <f t="array" aca="1" ref="BH15" ca="1">IF($BA15="","",IF($BG15="","",SUMPRODUCT(($BG$6:$BG$25&lt;&gt;"")*($BG$6:$BG$25&gt;$BG15))+COUNTIF($BG$6:$BG15,$BG15)))</f>
        <v>7</v>
      </c>
      <c r="BJ15" t="str">
        <f t="shared" si="13"/>
        <v>Semilore Adesanya</v>
      </c>
      <c r="BK15" s="304">
        <f>IF($BJ15="","",IF(OR(N(Attendance!$GB14)&gt;0,N(Attendance!$GF14)&gt;0),IFERROR(Attendance!$GN14,""),IFERROR($AT15,"")))</f>
        <v>0.68611111111111112</v>
      </c>
      <c r="BL15" s="305" t="str">
        <f>IF($BJ15="","",IF(OR(N(Attendance!$GB14)&gt;0,N(Attendance!$GF14)&gt;0),"In-season","Pre-season"))</f>
        <v>In-season</v>
      </c>
      <c r="BM15" s="302">
        <f t="array" ref="BM15">IF($BJ15="","",IF($BK15="","",SUMPRODUCT(($BK$6:$BK$25&lt;&gt;"")*($BK$6:$BK$25&gt;$BK15))+COUNTIF($BK$6:$BK15,$BK15)))</f>
        <v>13</v>
      </c>
      <c r="BS15" s="359" t="str">
        <f t="shared" si="15"/>
        <v>Semilore Adesanya</v>
      </c>
      <c r="BT15" s="360" t="s">
        <v>404</v>
      </c>
      <c r="BU15" s="361" t="s">
        <v>507</v>
      </c>
    </row>
    <row r="16" spans="2:73" x14ac:dyDescent="0.45">
      <c r="B16" s="294">
        <f>IF($C16="","",Attendance!$C15)</f>
        <v>11</v>
      </c>
      <c r="C16" s="295" t="str">
        <f>IF(Attendance!$D15="","",Attendance!$D15)</f>
        <v>Hannah Fleming</v>
      </c>
      <c r="D16" s="296">
        <f>IF($C16="","",IFERROR(Attendance!$GC15,""))</f>
        <v>1</v>
      </c>
      <c r="E16" s="297">
        <f>IF($C16="","",IFERROR(Attendance!$GD15,""))</f>
        <v>3</v>
      </c>
      <c r="F16" s="296" t="str">
        <f>IF($C16="","",IFERROR(Attendance!$GH15,""))</f>
        <v/>
      </c>
      <c r="G16" s="297">
        <f>IF($C16="","",IFERROR(Attendance!$GK15,""))</f>
        <v>8</v>
      </c>
      <c r="H16" s="296">
        <f>IF($C16="","",IFERROR(Attendance!$GN15,""))</f>
        <v>0.76666666666666661</v>
      </c>
      <c r="I16" s="295" t="str">
        <f>IF($C16="","",IF($BT16&lt;&gt;"",$BT16,IF($AW16="","Not graded",IF(AND($AV16="Pre-season",N($AP16)&lt;'Pre season'!$AM$5),"Insufficient data",IF($AW16&gt;=3.5,"Match Ready",IF($AW16&gt;3,"Not Ready for 90 min",IF($AW16&gt;2.5,"Nearly Ready",IF($AW16&gt;2,"Improving",IF($AW16&gt;1.5,"Not Ready","Critical")))))))))</f>
        <v>Nearly Ready</v>
      </c>
      <c r="J16" s="295">
        <f t="shared" si="0"/>
        <v>0.7667666666666666</v>
      </c>
      <c r="K16" s="295">
        <f>ROWS($K$6:$K16)</f>
        <v>11</v>
      </c>
      <c r="L16" s="295" t="str">
        <f>IFERROR(INDEX($C$6:$C$25,MATCH(LARGE($J$6:$J$25,ROWS($L$6:$L16)),$J$6:$J$25,0)),"")</f>
        <v>Rama Abuowda</v>
      </c>
      <c r="M16" s="296">
        <f>IFERROR(INDEX($H$6:$H$25,MATCH(LARGE($J$6:$J$25,ROWS($M$6:$M16)),$J$6:$J$25,0)),"")</f>
        <v>0.76666666666666661</v>
      </c>
      <c r="N16" s="295"/>
      <c r="O16" s="295" t="str">
        <f t="shared" si="1"/>
        <v>Hannah Fleming</v>
      </c>
      <c r="P16" s="297">
        <f t="shared" si="2"/>
        <v>3</v>
      </c>
      <c r="Q16" s="297">
        <f t="shared" si="3"/>
        <v>8</v>
      </c>
      <c r="R16" s="295"/>
      <c r="S16" s="295"/>
      <c r="T16" s="295"/>
      <c r="U16" s="295"/>
      <c r="V16" s="295"/>
      <c r="W16" s="295"/>
      <c r="X16" s="295">
        <v>11</v>
      </c>
      <c r="Y16" s="297" t="str">
        <f ca="1">IFERROR(IF($Y$2="","",AVERAGE(OFFSET(Attendance!$A$1,$Y$2-1,5+($X16-1)*4),OFFSET(Attendance!$A$1,$Y$2-1,7+($X16-1)*4))),"")</f>
        <v/>
      </c>
      <c r="Z16" s="297" t="str">
        <f ca="1">IFERROR(IF($Y$2="","",IF(LEN(OFFSET(Attendance!$A$1,$Y$2-1,95+($X16-1)*4))=0,"",OFFSET(Attendance!$A$1,$Y$2-1,95+($X16-1)*4))),"")</f>
        <v/>
      </c>
      <c r="AA16" s="295">
        <f t="shared" si="5"/>
        <v>6</v>
      </c>
      <c r="AB16" s="295" t="str">
        <f>IFERROR(INDEX($C$6:$C$25,MATCH(ROWS($AB$6:$AB16),$AA$6:$AA$25,0)),"")</f>
        <v>Roisin Offenhausen</v>
      </c>
      <c r="AC16" s="295"/>
      <c r="AD16" s="295">
        <v>11</v>
      </c>
      <c r="AE16" s="298" t="str">
        <f t="array" ref="AE16">IF(LEN(INDEX(Attendance!$CP$2:$FY$2,1,($AD16-1)*4+1))=0,"",INDEX(Attendance!$CP$2:$FY$2,1,($AD16-1)*4+1))</f>
        <v/>
      </c>
      <c r="AF16" s="295" t="str">
        <f t="array" ref="AF16">IF(LEN(INDEX(Attendance!$CP$3:$FY$3,1,($AD16-1)*4+1))=0,"",INDEX(Attendance!$CP$3:$FY$3,1,($AD16-1)*4+1))</f>
        <v/>
      </c>
      <c r="AG16" s="295" t="str">
        <f t="array" ref="AG16">IF(LEN(INDEX(Attendance!$CP$3:$FY$3,1,($AD16-1)*4+4))=0,"",INDEX(Attendance!$CP$3:$FY$3,1,($AD16-1)*4+4))</f>
        <v/>
      </c>
      <c r="AH16" s="295" t="str">
        <f t="array" ref="AH16">IF(LEN(INDEX(Attendance!$CP$26:$FY$26,1,($AD16-1)*4+1))=0,"",INDEX(Attendance!$CP$26:$FY$26,1,($AD16-1)*4+1))</f>
        <v/>
      </c>
      <c r="AI16" s="295" t="str">
        <f t="array" ref="AI16">IF(LEN(INDEX(Attendance!$CP$27:$FY$27,1,($AD16-1)*4+1))=0,"",INDEX(Attendance!$CP$27:$FY$27,1,($AD16-1)*4+1))</f>
        <v/>
      </c>
      <c r="AJ16" s="295" t="str">
        <f t="array" ref="AJ16">IF(LEN(INDEX(Attendance!$CP$28:$FY$28,1,($AD16-1)*4+1))=0,"",INDEX(Attendance!$CP$28:$FY$28,1,($AD16-1)*4+1))</f>
        <v/>
      </c>
      <c r="AO16" t="str">
        <f t="shared" si="8"/>
        <v>Hannah Fleming</v>
      </c>
      <c r="AP16" s="299">
        <f>IF($AO16="","",IFERROR(INDEX('Pre season'!$AE$5:$AE$24,MATCH($AO16,'Pre season'!$AD$5:$AD$24,0)),""))</f>
        <v>8</v>
      </c>
      <c r="AQ16" s="299">
        <f>IF($AO16="","",IFERROR(INDEX('Pre season'!$AF$5:$AF$24,MATCH($AO16,'Pre season'!$AD$5:$AD$24,0)),""))</f>
        <v>11</v>
      </c>
      <c r="AR16" s="300">
        <f>IF($AO16="","",IFERROR(INDEX('Pre season'!$AG$5:$AG$24,MATCH($AO16,'Pre season'!$AD$5:$AD$24,0)),""))</f>
        <v>0.72727272727272729</v>
      </c>
      <c r="AS16" s="64">
        <f>IF($AO16="","",IFERROR(INDEX('Pre season'!$AK$5:$AK$24,MATCH($AO16,'Pre season'!$AD$5:$AD$24,0)),""))</f>
        <v>3.25</v>
      </c>
      <c r="AT16" s="300">
        <f>IF($AO16="","",IFERROR(INDEX('Pre season'!$AJ$5:$AJ$24,MATCH($AO16,'Pre season'!$AD$5:$AD$24,0)),""))</f>
        <v>0.66909090909090918</v>
      </c>
      <c r="AU16" t="str">
        <f>IF($AO16="","",IF($AS16="","No pre-season data",IF(N($AP16)&lt;'Pre season'!$AM$5,"Insufficient data",IF($AS16&gt;=3.5,"Match Ready",IF($AS16&gt;3,"Not Ready for 90 min",IF($AS16&gt;2.5,"Nearly Ready",IF($AS16&gt;2,"Improving",IF($AS16&gt;1.5,"Not Ready","Critical"))))))))</f>
        <v>Not Ready for 90 min</v>
      </c>
      <c r="AV16" t="str">
        <f t="shared" si="9"/>
        <v>In-season</v>
      </c>
      <c r="AW16" s="64">
        <f t="shared" si="10"/>
        <v>3</v>
      </c>
      <c r="AX16" s="301">
        <f t="array" ref="AX16">IF($AO16="","",IF($AT16="","",SUMPRODUCT(($AT$6:$AT$25&lt;&gt;"")*($AT$6:$AT$25&gt;$AT16))+COUNTIF($AT$6:$AT16,$AT16)))</f>
        <v>4</v>
      </c>
      <c r="BA16" t="str">
        <f t="shared" si="11"/>
        <v>Hannah Fleming</v>
      </c>
      <c r="BB16" s="302">
        <f t="array" aca="1" ref="BB16" ca="1">IF($BA16="","",IF(ActiveSrc="In-season",SUMPRODUCT((ATAtt="Att")*(ATDates&gt;WinEnd-WinDays)*(ATDates&lt;=WinEnd)*((Attendance!$E15:$CN15="Yes")+(Attendance!$E15:$CN15="No"))),SUMPRODUCT((PSAtt="Att")*(PSDates&gt;WinEnd-WinDays)*(PSDates&lt;=WinEnd)*(('Pre season'!$E15:$AB15="Yes")+('Pre season'!$E15:$AB15="No")))))</f>
        <v>1</v>
      </c>
      <c r="BC16" s="302">
        <f t="array" aca="1" ref="BC16" ca="1">IF($BA16="","",IF(ActiveSrc="In-season",SUMPRODUCT((ATAtt="Att")*(ATDates&gt;WinEnd-WinDays)*(ATDates&lt;=WinEnd)*(Attendance!$E15:$CN15="Yes")),SUMPRODUCT((PSAtt="Att")*(PSDates&gt;WinEnd-WinDays)*(PSDates&lt;=WinEnd)*('Pre season'!$E15:$AB15="Yes"))))</f>
        <v>1</v>
      </c>
      <c r="BD16" s="302">
        <f t="array" aca="1" ref="BD16" ca="1">IF($BA16="","",IF(ActiveSrc="In-season",SUMPRODUCT((ATWR="WR")*(ATDates&gt;WinEnd-WinDays)*(ATDates&lt;=WinEnd)*IF(ISNUMBER(Attendance!$F15:$CO15),Attendance!$F15:$CO15,0)),SUMPRODUCT((PSWR="WR")*(PSDates&gt;WinEnd-WinDays)*(PSDates&lt;=WinEnd)*IF(ISNUMBER('Pre season'!$F15:$AC15),'Pre season'!$F15:$AC15,0))))</f>
        <v>3</v>
      </c>
      <c r="BE16" s="302">
        <f t="array" aca="1" ref="BE16" ca="1">IF($BA16="","",IF(ActiveSrc="In-season",SUMPRODUCT((ATWR="WR")*(ATDates&gt;WinEnd-WinDays)*(ATDates&lt;=WinEnd)*(IF(ISNUMBER(Attendance!$F15:$CO15),Attendance!$F15:$CO15,0)&gt;0)),SUMPRODUCT((PSWR="WR")*(PSDates&gt;WinEnd-WinDays)*(PSDates&lt;=WinEnd)*(IF(ISNUMBER('Pre season'!$F15:$AC15),'Pre season'!$F15:$AC15,0)&gt;0))))</f>
        <v>1</v>
      </c>
      <c r="BF16" s="303">
        <f t="shared" ca="1" si="12"/>
        <v>3</v>
      </c>
      <c r="BG16" s="304">
        <f ca="1">IF($BA16="","",IF(N($BB16)=0,"",'Pre season'!$AM$2*($BC16/$BB16)+'Pre season'!$AM$3*(IF($BF16="",0,$BF16)/5)))</f>
        <v>0.76</v>
      </c>
      <c r="BH16" s="302">
        <f t="array" aca="1" ref="BH16" ca="1">IF($BA16="","",IF($BG16="","",SUMPRODUCT(($BG$6:$BG$25&lt;&gt;"")*($BG$6:$BG$25&gt;$BG16))+COUNTIF($BG$6:$BG16,$BG16)))</f>
        <v>8</v>
      </c>
      <c r="BJ16" t="str">
        <f t="shared" si="13"/>
        <v>Hannah Fleming</v>
      </c>
      <c r="BK16" s="304">
        <f>IF($BJ16="","",IF(OR(N(Attendance!$GB15)&gt;0,N(Attendance!$GF15)&gt;0),IFERROR(Attendance!$GN15,""),IFERROR($AT16,"")))</f>
        <v>0.76666666666666661</v>
      </c>
      <c r="BL16" s="305" t="str">
        <f>IF($BJ16="","",IF(OR(N(Attendance!$GB15)&gt;0,N(Attendance!$GF15)&gt;0),"In-season","Pre-season"))</f>
        <v>In-season</v>
      </c>
      <c r="BM16" s="302">
        <f t="array" ref="BM16">IF($BJ16="","",IF($BK16="","",SUMPRODUCT(($BK$6:$BK$25&lt;&gt;"")*($BK$6:$BK$25&gt;$BK16))+COUNTIF($BK$6:$BK16,$BK16)))</f>
        <v>7</v>
      </c>
      <c r="BS16" s="359" t="str">
        <f t="shared" si="15"/>
        <v>Hannah Fleming</v>
      </c>
      <c r="BT16" s="360"/>
      <c r="BU16" s="361"/>
    </row>
    <row r="17" spans="2:73" x14ac:dyDescent="0.45">
      <c r="B17" s="294">
        <f>IF($C17="","",Attendance!$C16)</f>
        <v>12</v>
      </c>
      <c r="C17" s="295" t="str">
        <f>IF(Attendance!$D16="","",Attendance!$D16)</f>
        <v>Emma Kelly</v>
      </c>
      <c r="D17" s="296">
        <f>IF($C17="","",IFERROR(Attendance!$GC16,""))</f>
        <v>0.33333333333333331</v>
      </c>
      <c r="E17" s="297">
        <f>IF($C17="","",IFERROR(Attendance!$GD16,""))</f>
        <v>4</v>
      </c>
      <c r="F17" s="296" t="str">
        <f>IF($C17="","",IFERROR(Attendance!$GH16,""))</f>
        <v/>
      </c>
      <c r="G17" s="297">
        <f>IF($C17="","",IFERROR(Attendance!$GK16,""))</f>
        <v>8</v>
      </c>
      <c r="H17" s="296">
        <f>IF($C17="","",IFERROR(Attendance!$GN16,""))</f>
        <v>0.60555555555555551</v>
      </c>
      <c r="I17" s="295" t="str">
        <f>IF($C17="","",IF($BT17&lt;&gt;"",$BT17,IF($AW17="","Not graded",IF(AND($AV17="Pre-season",N($AP17)&lt;'Pre season'!$AM$5),"Insufficient data",IF($AW17&gt;=3.5,"Match Ready",IF($AW17&gt;3,"Not Ready for 90 min",IF($AW17&gt;2.5,"Nearly Ready",IF($AW17&gt;2,"Improving",IF($AW17&gt;1.5,"Not Ready","Critical")))))))))</f>
        <v>Not Ready for 90 min</v>
      </c>
      <c r="J17" s="295">
        <f t="shared" si="0"/>
        <v>0.60564555555555555</v>
      </c>
      <c r="K17" s="295">
        <f>ROWS($K$6:$K17)</f>
        <v>12</v>
      </c>
      <c r="L17" s="295" t="str">
        <f>IFERROR(INDEX($C$6:$C$25,MATCH(LARGE($J$6:$J$25,ROWS($L$6:$L17)),$J$6:$J$25,0)),"")</f>
        <v>Shauna Kavanagh</v>
      </c>
      <c r="M17" s="296">
        <f>IFERROR(INDEX($H$6:$H$25,MATCH(LARGE($J$6:$J$25,ROWS($M$6:$M17)),$J$6:$J$25,0)),"")</f>
        <v>0.72777777777777775</v>
      </c>
      <c r="N17" s="295"/>
      <c r="O17" s="295" t="str">
        <f t="shared" si="1"/>
        <v>Emma Kelly</v>
      </c>
      <c r="P17" s="297">
        <f t="shared" si="2"/>
        <v>4</v>
      </c>
      <c r="Q17" s="297">
        <f t="shared" si="3"/>
        <v>8</v>
      </c>
      <c r="R17" s="295"/>
      <c r="S17" s="295"/>
      <c r="T17" s="295"/>
      <c r="U17" s="295"/>
      <c r="V17" s="295"/>
      <c r="W17" s="295"/>
      <c r="X17" s="295">
        <v>12</v>
      </c>
      <c r="Y17" s="297" t="str">
        <f ca="1">IFERROR(IF($Y$2="","",AVERAGE(OFFSET(Attendance!$A$1,$Y$2-1,5+($X17-1)*4),OFFSET(Attendance!$A$1,$Y$2-1,7+($X17-1)*4))),"")</f>
        <v/>
      </c>
      <c r="Z17" s="297" t="str">
        <f ca="1">IFERROR(IF($Y$2="","",IF(LEN(OFFSET(Attendance!$A$1,$Y$2-1,95+($X17-1)*4))=0,"",OFFSET(Attendance!$A$1,$Y$2-1,95+($X17-1)*4))),"")</f>
        <v/>
      </c>
      <c r="AA17" s="295">
        <f t="shared" si="5"/>
        <v>5</v>
      </c>
      <c r="AB17" s="295" t="str">
        <f>IFERROR(INDEX($C$6:$C$25,MATCH(ROWS($AB$6:$AB17),$AA$6:$AA$25,0)),"")</f>
        <v>Roma Memon</v>
      </c>
      <c r="AC17" s="295"/>
      <c r="AD17" s="295">
        <v>12</v>
      </c>
      <c r="AE17" s="298" t="str">
        <f t="array" ref="AE17">IF(LEN(INDEX(Attendance!$CP$2:$FY$2,1,($AD17-1)*4+1))=0,"",INDEX(Attendance!$CP$2:$FY$2,1,($AD17-1)*4+1))</f>
        <v/>
      </c>
      <c r="AF17" s="295" t="str">
        <f t="array" ref="AF17">IF(LEN(INDEX(Attendance!$CP$3:$FY$3,1,($AD17-1)*4+1))=0,"",INDEX(Attendance!$CP$3:$FY$3,1,($AD17-1)*4+1))</f>
        <v/>
      </c>
      <c r="AG17" s="295" t="str">
        <f t="array" ref="AG17">IF(LEN(INDEX(Attendance!$CP$3:$FY$3,1,($AD17-1)*4+4))=0,"",INDEX(Attendance!$CP$3:$FY$3,1,($AD17-1)*4+4))</f>
        <v/>
      </c>
      <c r="AH17" s="295" t="str">
        <f t="array" ref="AH17">IF(LEN(INDEX(Attendance!$CP$26:$FY$26,1,($AD17-1)*4+1))=0,"",INDEX(Attendance!$CP$26:$FY$26,1,($AD17-1)*4+1))</f>
        <v/>
      </c>
      <c r="AI17" s="295" t="str">
        <f t="array" ref="AI17">IF(LEN(INDEX(Attendance!$CP$27:$FY$27,1,($AD17-1)*4+1))=0,"",INDEX(Attendance!$CP$27:$FY$27,1,($AD17-1)*4+1))</f>
        <v/>
      </c>
      <c r="AJ17" s="295" t="str">
        <f t="array" ref="AJ17">IF(LEN(INDEX(Attendance!$CP$28:$FY$28,1,($AD17-1)*4+1))=0,"",INDEX(Attendance!$CP$28:$FY$28,1,($AD17-1)*4+1))</f>
        <v/>
      </c>
      <c r="AO17" t="str">
        <f t="shared" si="8"/>
        <v>Emma Kelly</v>
      </c>
      <c r="AP17" s="299">
        <f>IF($AO17="","",IFERROR(INDEX('Pre season'!$AE$5:$AE$24,MATCH($AO17,'Pre season'!$AD$5:$AD$24,0)),""))</f>
        <v>7</v>
      </c>
      <c r="AQ17" s="299">
        <f>IF($AO17="","",IFERROR(INDEX('Pre season'!$AF$5:$AF$24,MATCH($AO17,'Pre season'!$AD$5:$AD$24,0)),""))</f>
        <v>11</v>
      </c>
      <c r="AR17" s="300">
        <f>IF($AO17="","",IFERROR(INDEX('Pre season'!$AG$5:$AG$24,MATCH($AO17,'Pre season'!$AD$5:$AD$24,0)),""))</f>
        <v>0.63636363636363635</v>
      </c>
      <c r="AS17" s="64">
        <f>IF($AO17="","",IFERROR(INDEX('Pre season'!$AK$5:$AK$24,MATCH($AO17,'Pre season'!$AD$5:$AD$24,0)),""))</f>
        <v>3.2857142857142856</v>
      </c>
      <c r="AT17" s="300">
        <f>IF($AO17="","",IFERROR(INDEX('Pre season'!$AJ$5:$AJ$24,MATCH($AO17,'Pre season'!$AD$5:$AD$24,0)),""))</f>
        <v>0.58909090909090911</v>
      </c>
      <c r="AU17" t="str">
        <f>IF($AO17="","",IF($AS17="","No pre-season data",IF(N($AP17)&lt;'Pre season'!$AM$5,"Insufficient data",IF($AS17&gt;=3.5,"Match Ready",IF($AS17&gt;3,"Not Ready for 90 min",IF($AS17&gt;2.5,"Nearly Ready",IF($AS17&gt;2,"Improving",IF($AS17&gt;1.5,"Not Ready","Critical"))))))))</f>
        <v>Not Ready for 90 min</v>
      </c>
      <c r="AV17" t="str">
        <f t="shared" si="9"/>
        <v>In-season</v>
      </c>
      <c r="AW17" s="64">
        <f t="shared" si="10"/>
        <v>4</v>
      </c>
      <c r="AX17" s="301">
        <f t="array" ref="AX17">IF($AO17="","",IF($AT17="","",SUMPRODUCT(($AT$6:$AT$25&lt;&gt;"")*($AT$6:$AT$25&gt;$AT17))+COUNTIF($AT$6:$AT17,$AT17)))</f>
        <v>9</v>
      </c>
      <c r="BA17" t="str">
        <f t="shared" si="11"/>
        <v>Emma Kelly</v>
      </c>
      <c r="BB17" s="302">
        <f t="array" aca="1" ref="BB17" ca="1">IF($BA17="","",IF(ActiveSrc="In-season",SUMPRODUCT((ATAtt="Att")*(ATDates&gt;WinEnd-WinDays)*(ATDates&lt;=WinEnd)*((Attendance!$E16:$CN16="Yes")+(Attendance!$E16:$CN16="No"))),SUMPRODUCT((PSAtt="Att")*(PSDates&gt;WinEnd-WinDays)*(PSDates&lt;=WinEnd)*(('Pre season'!$E16:$AB16="Yes")+('Pre season'!$E16:$AB16="No")))))</f>
        <v>1</v>
      </c>
      <c r="BC17" s="302">
        <f t="array" aca="1" ref="BC17" ca="1">IF($BA17="","",IF(ActiveSrc="In-season",SUMPRODUCT((ATAtt="Att")*(ATDates&gt;WinEnd-WinDays)*(ATDates&lt;=WinEnd)*(Attendance!$E16:$CN16="Yes")),SUMPRODUCT((PSAtt="Att")*(PSDates&gt;WinEnd-WinDays)*(PSDates&lt;=WinEnd)*('Pre season'!$E16:$AB16="Yes"))))</f>
        <v>0</v>
      </c>
      <c r="BD17" s="302">
        <f t="array" aca="1" ref="BD17" ca="1">IF($BA17="","",IF(ActiveSrc="In-season",SUMPRODUCT((ATWR="WR")*(ATDates&gt;WinEnd-WinDays)*(ATDates&lt;=WinEnd)*IF(ISNUMBER(Attendance!$F16:$CO16),Attendance!$F16:$CO16,0)),SUMPRODUCT((PSWR="WR")*(PSDates&gt;WinEnd-WinDays)*(PSDates&lt;=WinEnd)*IF(ISNUMBER('Pre season'!$F16:$AC16),'Pre season'!$F16:$AC16,0))))</f>
        <v>0</v>
      </c>
      <c r="BE17" s="302">
        <f t="array" aca="1" ref="BE17" ca="1">IF($BA17="","",IF(ActiveSrc="In-season",SUMPRODUCT((ATWR="WR")*(ATDates&gt;WinEnd-WinDays)*(ATDates&lt;=WinEnd)*(IF(ISNUMBER(Attendance!$F16:$CO16),Attendance!$F16:$CO16,0)&gt;0)),SUMPRODUCT((PSWR="WR")*(PSDates&gt;WinEnd-WinDays)*(PSDates&lt;=WinEnd)*(IF(ISNUMBER('Pre season'!$F16:$AC16),'Pre season'!$F16:$AC16,0)&gt;0))))</f>
        <v>0</v>
      </c>
      <c r="BF17" s="303" t="str">
        <f t="shared" ca="1" si="12"/>
        <v/>
      </c>
      <c r="BG17" s="304">
        <f ca="1">IF($BA17="","",IF(N($BB17)=0,"",'Pre season'!$AM$2*($BC17/$BB17)+'Pre season'!$AM$3*(IF($BF17="",0,$BF17)/5)))</f>
        <v>0</v>
      </c>
      <c r="BH17" s="302">
        <f t="array" aca="1" ref="BH17" ca="1">IF($BA17="","",IF($BG17="","",SUMPRODUCT(($BG$6:$BG$25&lt;&gt;"")*($BG$6:$BG$25&gt;$BG17))+COUNTIF($BG$6:$BG17,$BG17)))</f>
        <v>17</v>
      </c>
      <c r="BJ17" t="str">
        <f t="shared" si="13"/>
        <v>Emma Kelly</v>
      </c>
      <c r="BK17" s="304">
        <f>IF($BJ17="","",IF(OR(N(Attendance!$GB16)&gt;0,N(Attendance!$GF16)&gt;0),IFERROR(Attendance!$GN16,""),IFERROR($AT17,"")))</f>
        <v>0.60555555555555551</v>
      </c>
      <c r="BL17" s="305" t="str">
        <f>IF($BJ17="","",IF(OR(N(Attendance!$GB16)&gt;0,N(Attendance!$GF16)&gt;0),"In-season","Pre-season"))</f>
        <v>In-season</v>
      </c>
      <c r="BM17" s="302">
        <f t="array" ref="BM17">IF($BJ17="","",IF($BK17="","",SUMPRODUCT(($BK$6:$BK$25&lt;&gt;"")*($BK$6:$BK$25&gt;$BK17))+COUNTIF($BK$6:$BK17,$BK17)))</f>
        <v>16</v>
      </c>
      <c r="BS17" s="359" t="str">
        <f t="shared" si="15"/>
        <v>Emma Kelly</v>
      </c>
      <c r="BT17" s="360" t="s">
        <v>404</v>
      </c>
      <c r="BU17" s="361" t="s">
        <v>507</v>
      </c>
    </row>
    <row r="18" spans="2:73" x14ac:dyDescent="0.45">
      <c r="B18" s="294">
        <f>IF($C18="","",Attendance!$C17)</f>
        <v>13</v>
      </c>
      <c r="C18" s="295" t="str">
        <f>IF(Attendance!$D17="","",Attendance!$D17)</f>
        <v>Roma Memon</v>
      </c>
      <c r="D18" s="296">
        <f>IF($C18="","",IFERROR(Attendance!$GC17,""))</f>
        <v>0.66666666666666663</v>
      </c>
      <c r="E18" s="297">
        <f>IF($C18="","",IFERROR(Attendance!$GD17,""))</f>
        <v>3</v>
      </c>
      <c r="F18" s="296" t="str">
        <f>IF($C18="","",IFERROR(Attendance!$GH17,""))</f>
        <v/>
      </c>
      <c r="G18" s="297">
        <f>IF($C18="","",IFERROR(Attendance!$GK17,""))</f>
        <v>6.5</v>
      </c>
      <c r="H18" s="296">
        <f>IF($C18="","",IFERROR(Attendance!$GN17,""))</f>
        <v>0.62777777777777777</v>
      </c>
      <c r="I18" s="295" t="str">
        <f>IF($C18="","",IF($BT18&lt;&gt;"",$BT18,IF($AW18="","Not graded",IF(AND($AV18="Pre-season",N($AP18)&lt;'Pre season'!$AM$5),"Insufficient data",IF($AW18&gt;=3.5,"Match Ready",IF($AW18&gt;3,"Not Ready for 90 min",IF($AW18&gt;2.5,"Nearly Ready",IF($AW18&gt;2,"Improving",IF($AW18&gt;1.5,"Not Ready","Critical")))))))))</f>
        <v>Nearly Ready</v>
      </c>
      <c r="J18" s="295">
        <f t="shared" si="0"/>
        <v>0.62785777777777774</v>
      </c>
      <c r="K18" s="295">
        <f>ROWS($K$6:$K18)</f>
        <v>13</v>
      </c>
      <c r="L18" s="295" t="str">
        <f>IFERROR(INDEX($C$6:$C$25,MATCH(LARGE($J$6:$J$25,ROWS($L$6:$L18)),$J$6:$J$25,0)),"")</f>
        <v>Semilore Adesanya</v>
      </c>
      <c r="M18" s="296">
        <f>IFERROR(INDEX($H$6:$H$25,MATCH(LARGE($J$6:$J$25,ROWS($M$6:$M18)),$J$6:$J$25,0)),"")</f>
        <v>0.68611111111111112</v>
      </c>
      <c r="N18" s="295"/>
      <c r="O18" s="295" t="str">
        <f t="shared" si="1"/>
        <v>Roma Memon</v>
      </c>
      <c r="P18" s="297">
        <f t="shared" si="2"/>
        <v>3</v>
      </c>
      <c r="Q18" s="297">
        <f t="shared" si="3"/>
        <v>6.5</v>
      </c>
      <c r="R18" s="295"/>
      <c r="S18" s="295"/>
      <c r="T18" s="295"/>
      <c r="U18" s="295"/>
      <c r="V18" s="295"/>
      <c r="W18" s="295"/>
      <c r="X18" s="295">
        <v>13</v>
      </c>
      <c r="Y18" s="297" t="str">
        <f ca="1">IFERROR(IF($Y$2="","",AVERAGE(OFFSET(Attendance!$A$1,$Y$2-1,5+($X18-1)*4),OFFSET(Attendance!$A$1,$Y$2-1,7+($X18-1)*4))),"")</f>
        <v/>
      </c>
      <c r="Z18" s="297" t="str">
        <f ca="1">IFERROR(IF($Y$2="","",IF(LEN(OFFSET(Attendance!$A$1,$Y$2-1,95+($X18-1)*4))=0,"",OFFSET(Attendance!$A$1,$Y$2-1,95+($X18-1)*4))),"")</f>
        <v/>
      </c>
      <c r="AA18" s="295">
        <f t="shared" si="5"/>
        <v>12</v>
      </c>
      <c r="AB18" s="295" t="str">
        <f>IFERROR(INDEX($C$6:$C$25,MATCH(ROWS($AB$6:$AB18),$AA$6:$AA$25,0)),"")</f>
        <v>Semilore Adesanya</v>
      </c>
      <c r="AC18" s="295"/>
      <c r="AD18" s="295">
        <v>13</v>
      </c>
      <c r="AE18" s="298" t="str">
        <f t="array" ref="AE18">IF(LEN(INDEX(Attendance!$CP$2:$FY$2,1,($AD18-1)*4+1))=0,"",INDEX(Attendance!$CP$2:$FY$2,1,($AD18-1)*4+1))</f>
        <v/>
      </c>
      <c r="AF18" s="295" t="str">
        <f t="array" ref="AF18">IF(LEN(INDEX(Attendance!$CP$3:$FY$3,1,($AD18-1)*4+1))=0,"",INDEX(Attendance!$CP$3:$FY$3,1,($AD18-1)*4+1))</f>
        <v/>
      </c>
      <c r="AG18" s="295" t="str">
        <f t="array" ref="AG18">IF(LEN(INDEX(Attendance!$CP$3:$FY$3,1,($AD18-1)*4+4))=0,"",INDEX(Attendance!$CP$3:$FY$3,1,($AD18-1)*4+4))</f>
        <v/>
      </c>
      <c r="AH18" s="295" t="str">
        <f t="array" ref="AH18">IF(LEN(INDEX(Attendance!$CP$26:$FY$26,1,($AD18-1)*4+1))=0,"",INDEX(Attendance!$CP$26:$FY$26,1,($AD18-1)*4+1))</f>
        <v/>
      </c>
      <c r="AI18" s="295" t="str">
        <f t="array" ref="AI18">IF(LEN(INDEX(Attendance!$CP$27:$FY$27,1,($AD18-1)*4+1))=0,"",INDEX(Attendance!$CP$27:$FY$27,1,($AD18-1)*4+1))</f>
        <v/>
      </c>
      <c r="AJ18" s="295" t="str">
        <f t="array" ref="AJ18">IF(LEN(INDEX(Attendance!$CP$28:$FY$28,1,($AD18-1)*4+1))=0,"",INDEX(Attendance!$CP$28:$FY$28,1,($AD18-1)*4+1))</f>
        <v/>
      </c>
      <c r="AO18" t="str">
        <f t="shared" si="8"/>
        <v>Roma Memon</v>
      </c>
      <c r="AP18" s="299">
        <f>IF($AO18="","",IFERROR(INDEX('Pre season'!$AE$5:$AE$24,MATCH($AO18,'Pre season'!$AD$5:$AD$24,0)),""))</f>
        <v>7</v>
      </c>
      <c r="AQ18" s="299">
        <f>IF($AO18="","",IFERROR(INDEX('Pre season'!$AF$5:$AF$24,MATCH($AO18,'Pre season'!$AD$5:$AD$24,0)),""))</f>
        <v>11</v>
      </c>
      <c r="AR18" s="300">
        <f>IF($AO18="","",IFERROR(INDEX('Pre season'!$AG$5:$AG$24,MATCH($AO18,'Pre season'!$AD$5:$AD$24,0)),""))</f>
        <v>0.63636363636363635</v>
      </c>
      <c r="AS18" s="64">
        <f>IF($AO18="","",IFERROR(INDEX('Pre season'!$AK$5:$AK$24,MATCH($AO18,'Pre season'!$AD$5:$AD$24,0)),""))</f>
        <v>3.2857142857142856</v>
      </c>
      <c r="AT18" s="300">
        <f>IF($AO18="","",IFERROR(INDEX('Pre season'!$AJ$5:$AJ$24,MATCH($AO18,'Pre season'!$AD$5:$AD$24,0)),""))</f>
        <v>0.58909090909090911</v>
      </c>
      <c r="AU18" t="str">
        <f>IF($AO18="","",IF($AS18="","No pre-season data",IF(N($AP18)&lt;'Pre season'!$AM$5,"Insufficient data",IF($AS18&gt;=3.5,"Match Ready",IF($AS18&gt;3,"Not Ready for 90 min",IF($AS18&gt;2.5,"Nearly Ready",IF($AS18&gt;2,"Improving",IF($AS18&gt;1.5,"Not Ready","Critical"))))))))</f>
        <v>Not Ready for 90 min</v>
      </c>
      <c r="AV18" t="str">
        <f t="shared" si="9"/>
        <v>In-season</v>
      </c>
      <c r="AW18" s="64">
        <f t="shared" si="10"/>
        <v>3</v>
      </c>
      <c r="AX18" s="301">
        <f t="array" ref="AX18">IF($AO18="","",IF($AT18="","",SUMPRODUCT(($AT$6:$AT$25&lt;&gt;"")*($AT$6:$AT$25&gt;$AT18))+COUNTIF($AT$6:$AT18,$AT18)))</f>
        <v>10</v>
      </c>
      <c r="BA18" t="str">
        <f t="shared" si="11"/>
        <v>Roma Memon</v>
      </c>
      <c r="BB18" s="302">
        <f t="array" aca="1" ref="BB18" ca="1">IF($BA18="","",IF(ActiveSrc="In-season",SUMPRODUCT((ATAtt="Att")*(ATDates&gt;WinEnd-WinDays)*(ATDates&lt;=WinEnd)*((Attendance!$E17:$CN17="Yes")+(Attendance!$E17:$CN17="No"))),SUMPRODUCT((PSAtt="Att")*(PSDates&gt;WinEnd-WinDays)*(PSDates&lt;=WinEnd)*(('Pre season'!$E17:$AB17="Yes")+('Pre season'!$E17:$AB17="No")))))</f>
        <v>1</v>
      </c>
      <c r="BC18" s="302">
        <f t="array" aca="1" ref="BC18" ca="1">IF($BA18="","",IF(ActiveSrc="In-season",SUMPRODUCT((ATAtt="Att")*(ATDates&gt;WinEnd-WinDays)*(ATDates&lt;=WinEnd)*(Attendance!$E17:$CN17="Yes")),SUMPRODUCT((PSAtt="Att")*(PSDates&gt;WinEnd-WinDays)*(PSDates&lt;=WinEnd)*('Pre season'!$E17:$AB17="Yes"))))</f>
        <v>1</v>
      </c>
      <c r="BD18" s="302">
        <f t="array" aca="1" ref="BD18" ca="1">IF($BA18="","",IF(ActiveSrc="In-season",SUMPRODUCT((ATWR="WR")*(ATDates&gt;WinEnd-WinDays)*(ATDates&lt;=WinEnd)*IF(ISNUMBER(Attendance!$F17:$CO17),Attendance!$F17:$CO17,0)),SUMPRODUCT((PSWR="WR")*(PSDates&gt;WinEnd-WinDays)*(PSDates&lt;=WinEnd)*IF(ISNUMBER('Pre season'!$F17:$AC17),'Pre season'!$F17:$AC17,0))))</f>
        <v>3</v>
      </c>
      <c r="BE18" s="302">
        <f t="array" aca="1" ref="BE18" ca="1">IF($BA18="","",IF(ActiveSrc="In-season",SUMPRODUCT((ATWR="WR")*(ATDates&gt;WinEnd-WinDays)*(ATDates&lt;=WinEnd)*(IF(ISNUMBER(Attendance!$F17:$CO17),Attendance!$F17:$CO17,0)&gt;0)),SUMPRODUCT((PSWR="WR")*(PSDates&gt;WinEnd-WinDays)*(PSDates&lt;=WinEnd)*(IF(ISNUMBER('Pre season'!$F17:$AC17),'Pre season'!$F17:$AC17,0)&gt;0))))</f>
        <v>1</v>
      </c>
      <c r="BF18" s="303">
        <f t="shared" ca="1" si="12"/>
        <v>3</v>
      </c>
      <c r="BG18" s="304">
        <f ca="1">IF($BA18="","",IF(N($BB18)=0,"",'Pre season'!$AM$2*($BC18/$BB18)+'Pre season'!$AM$3*(IF($BF18="",0,$BF18)/5)))</f>
        <v>0.76</v>
      </c>
      <c r="BH18" s="302">
        <f t="array" aca="1" ref="BH18" ca="1">IF($BA18="","",IF($BG18="","",SUMPRODUCT(($BG$6:$BG$25&lt;&gt;"")*($BG$6:$BG$25&gt;$BG18))+COUNTIF($BG$6:$BG18,$BG18)))</f>
        <v>9</v>
      </c>
      <c r="BJ18" t="str">
        <f t="shared" si="13"/>
        <v>Roma Memon</v>
      </c>
      <c r="BK18" s="304">
        <f>IF($BJ18="","",IF(OR(N(Attendance!$GB17)&gt;0,N(Attendance!$GF17)&gt;0),IFERROR(Attendance!$GN17,""),IFERROR($AT18,"")))</f>
        <v>0.62777777777777777</v>
      </c>
      <c r="BL18" s="305" t="str">
        <f>IF($BJ18="","",IF(OR(N(Attendance!$GB17)&gt;0,N(Attendance!$GF17)&gt;0),"In-season","Pre-season"))</f>
        <v>In-season</v>
      </c>
      <c r="BM18" s="302">
        <f t="array" ref="BM18">IF($BJ18="","",IF($BK18="","",SUMPRODUCT(($BK$6:$BK$25&lt;&gt;"")*($BK$6:$BK$25&gt;$BK18))+COUNTIF($BK$6:$BK18,$BK18)))</f>
        <v>14</v>
      </c>
      <c r="BS18" s="359" t="str">
        <f t="shared" si="15"/>
        <v>Roma Memon</v>
      </c>
      <c r="BT18" s="360"/>
      <c r="BU18" s="361"/>
    </row>
    <row r="19" spans="2:73" x14ac:dyDescent="0.45">
      <c r="B19" s="294">
        <f>IF($C19="","",Attendance!$C18)</f>
        <v>14</v>
      </c>
      <c r="C19" s="295" t="str">
        <f>IF(Attendance!$D18="","",Attendance!$D18)</f>
        <v>Emma Dromgoole</v>
      </c>
      <c r="D19" s="296">
        <f>IF($C19="","",IFERROR(Attendance!$GC18,""))</f>
        <v>1</v>
      </c>
      <c r="E19" s="297">
        <f>IF($C19="","",IFERROR(Attendance!$GD18,""))</f>
        <v>3</v>
      </c>
      <c r="F19" s="296" t="str">
        <f>IF($C19="","",IFERROR(Attendance!$GH18,""))</f>
        <v/>
      </c>
      <c r="G19" s="297">
        <f>IF($C19="","",IFERROR(Attendance!$GK18,""))</f>
        <v>6.5</v>
      </c>
      <c r="H19" s="296">
        <f>IF($C19="","",IFERROR(Attendance!$GN18,""))</f>
        <v>0.76666666666666661</v>
      </c>
      <c r="I19" s="295" t="str">
        <f>IF($C19="","",IF($BT19&lt;&gt;"",$BT19,IF($AW19="","Not graded",IF(AND($AV19="Pre-season",N($AP19)&lt;'Pre season'!$AM$5),"Insufficient data",IF($AW19&gt;=3.5,"Match Ready",IF($AW19&gt;3,"Not Ready for 90 min",IF($AW19&gt;2.5,"Nearly Ready",IF($AW19&gt;2,"Improving",IF($AW19&gt;1.5,"Not Ready","Critical")))))))))</f>
        <v>Nearly Ready</v>
      </c>
      <c r="J19" s="295">
        <f t="shared" si="0"/>
        <v>0.76673666666666662</v>
      </c>
      <c r="K19" s="295">
        <f>ROWS($K$6:$K19)</f>
        <v>14</v>
      </c>
      <c r="L19" s="295" t="str">
        <f>IFERROR(INDEX($C$6:$C$25,MATCH(LARGE($J$6:$J$25,ROWS($L$6:$L19)),$J$6:$J$25,0)),"")</f>
        <v>Roma Memon</v>
      </c>
      <c r="M19" s="296">
        <f>IFERROR(INDEX($H$6:$H$25,MATCH(LARGE($J$6:$J$25,ROWS($M$6:$M19)),$J$6:$J$25,0)),"")</f>
        <v>0.62777777777777777</v>
      </c>
      <c r="N19" s="295"/>
      <c r="O19" s="295" t="str">
        <f t="shared" si="1"/>
        <v>Emma Dromgoole</v>
      </c>
      <c r="P19" s="297">
        <f t="shared" si="2"/>
        <v>3</v>
      </c>
      <c r="Q19" s="297">
        <f t="shared" si="3"/>
        <v>6.5</v>
      </c>
      <c r="R19" s="295"/>
      <c r="S19" s="295"/>
      <c r="T19" s="295"/>
      <c r="U19" s="295"/>
      <c r="V19" s="295"/>
      <c r="W19" s="295"/>
      <c r="X19" s="295">
        <v>14</v>
      </c>
      <c r="Y19" s="297" t="str">
        <f ca="1">IFERROR(IF($Y$2="","",AVERAGE(OFFSET(Attendance!$A$1,$Y$2-1,5+($X19-1)*4),OFFSET(Attendance!$A$1,$Y$2-1,7+($X19-1)*4))),"")</f>
        <v/>
      </c>
      <c r="Z19" s="297" t="str">
        <f ca="1">IFERROR(IF($Y$2="","",IF(LEN(OFFSET(Attendance!$A$1,$Y$2-1,95+($X19-1)*4))=0,"",OFFSET(Attendance!$A$1,$Y$2-1,95+($X19-1)*4))),"")</f>
        <v/>
      </c>
      <c r="AA19" s="295">
        <f t="shared" si="5"/>
        <v>4</v>
      </c>
      <c r="AB19" s="295" t="str">
        <f>IFERROR(INDEX($C$6:$C$25,MATCH(ROWS($AB$6:$AB19),$AA$6:$AA$25,0)),"")</f>
        <v>Shauna Kavanagh</v>
      </c>
      <c r="AC19" s="295"/>
      <c r="AD19" s="295">
        <v>14</v>
      </c>
      <c r="AE19" s="298" t="str">
        <f t="array" ref="AE19">IF(LEN(INDEX(Attendance!$CP$2:$FY$2,1,($AD19-1)*4+1))=0,"",INDEX(Attendance!$CP$2:$FY$2,1,($AD19-1)*4+1))</f>
        <v/>
      </c>
      <c r="AF19" s="295" t="str">
        <f t="array" ref="AF19">IF(LEN(INDEX(Attendance!$CP$3:$FY$3,1,($AD19-1)*4+1))=0,"",INDEX(Attendance!$CP$3:$FY$3,1,($AD19-1)*4+1))</f>
        <v/>
      </c>
      <c r="AG19" s="295" t="str">
        <f t="array" ref="AG19">IF(LEN(INDEX(Attendance!$CP$3:$FY$3,1,($AD19-1)*4+4))=0,"",INDEX(Attendance!$CP$3:$FY$3,1,($AD19-1)*4+4))</f>
        <v/>
      </c>
      <c r="AH19" s="295" t="str">
        <f t="array" ref="AH19">IF(LEN(INDEX(Attendance!$CP$26:$FY$26,1,($AD19-1)*4+1))=0,"",INDEX(Attendance!$CP$26:$FY$26,1,($AD19-1)*4+1))</f>
        <v/>
      </c>
      <c r="AI19" s="295" t="str">
        <f t="array" ref="AI19">IF(LEN(INDEX(Attendance!$CP$27:$FY$27,1,($AD19-1)*4+1))=0,"",INDEX(Attendance!$CP$27:$FY$27,1,($AD19-1)*4+1))</f>
        <v/>
      </c>
      <c r="AJ19" s="295" t="str">
        <f t="array" ref="AJ19">IF(LEN(INDEX(Attendance!$CP$28:$FY$28,1,($AD19-1)*4+1))=0,"",INDEX(Attendance!$CP$28:$FY$28,1,($AD19-1)*4+1))</f>
        <v/>
      </c>
      <c r="AO19" t="str">
        <f t="shared" si="8"/>
        <v>Emma Dromgoole</v>
      </c>
      <c r="AP19" s="299">
        <f>IF($AO19="","",IFERROR(INDEX('Pre season'!$AE$5:$AE$24,MATCH($AO19,'Pre season'!$AD$5:$AD$24,0)),""))</f>
        <v>6</v>
      </c>
      <c r="AQ19" s="299">
        <f>IF($AO19="","",IFERROR(INDEX('Pre season'!$AF$5:$AF$24,MATCH($AO19,'Pre season'!$AD$5:$AD$24,0)),""))</f>
        <v>11</v>
      </c>
      <c r="AR19" s="300">
        <f>IF($AO19="","",IFERROR(INDEX('Pre season'!$AG$5:$AG$24,MATCH($AO19,'Pre season'!$AD$5:$AD$24,0)),""))</f>
        <v>0.54545454545454541</v>
      </c>
      <c r="AS19" s="64">
        <f>IF($AO19="","",IFERROR(INDEX('Pre season'!$AK$5:$AK$24,MATCH($AO19,'Pre season'!$AD$5:$AD$24,0)),""))</f>
        <v>3.5</v>
      </c>
      <c r="AT19" s="300">
        <f>IF($AO19="","",IFERROR(INDEX('Pre season'!$AJ$5:$AJ$24,MATCH($AO19,'Pre season'!$AD$5:$AD$24,0)),""))</f>
        <v>0.52363636363636357</v>
      </c>
      <c r="AU19" t="str">
        <f>IF($AO19="","",IF($AS19="","No pre-season data",IF(N($AP19)&lt;'Pre season'!$AM$5,"Insufficient data",IF($AS19&gt;=3.5,"Match Ready",IF($AS19&gt;3,"Not Ready for 90 min",IF($AS19&gt;2.5,"Nearly Ready",IF($AS19&gt;2,"Improving",IF($AS19&gt;1.5,"Not Ready","Critical"))))))))</f>
        <v>Match Ready</v>
      </c>
      <c r="AV19" t="str">
        <f t="shared" si="9"/>
        <v>In-season</v>
      </c>
      <c r="AW19" s="64">
        <f t="shared" si="10"/>
        <v>3</v>
      </c>
      <c r="AX19" s="301">
        <f t="array" ref="AX19">IF($AO19="","",IF($AT19="","",SUMPRODUCT(($AT$6:$AT$25&lt;&gt;"")*($AT$6:$AT$25&gt;$AT19))+COUNTIF($AT$6:$AT19,$AT19)))</f>
        <v>12</v>
      </c>
      <c r="BA19" t="str">
        <f t="shared" si="11"/>
        <v>Emma Dromgoole</v>
      </c>
      <c r="BB19" s="302">
        <f t="array" aca="1" ref="BB19" ca="1">IF($BA19="","",IF(ActiveSrc="In-season",SUMPRODUCT((ATAtt="Att")*(ATDates&gt;WinEnd-WinDays)*(ATDates&lt;=WinEnd)*((Attendance!$E18:$CN18="Yes")+(Attendance!$E18:$CN18="No"))),SUMPRODUCT((PSAtt="Att")*(PSDates&gt;WinEnd-WinDays)*(PSDates&lt;=WinEnd)*(('Pre season'!$E18:$AB18="Yes")+('Pre season'!$E18:$AB18="No")))))</f>
        <v>1</v>
      </c>
      <c r="BC19" s="302">
        <f t="array" aca="1" ref="BC19" ca="1">IF($BA19="","",IF(ActiveSrc="In-season",SUMPRODUCT((ATAtt="Att")*(ATDates&gt;WinEnd-WinDays)*(ATDates&lt;=WinEnd)*(Attendance!$E18:$CN18="Yes")),SUMPRODUCT((PSAtt="Att")*(PSDates&gt;WinEnd-WinDays)*(PSDates&lt;=WinEnd)*('Pre season'!$E18:$AB18="Yes"))))</f>
        <v>1</v>
      </c>
      <c r="BD19" s="302">
        <f t="array" aca="1" ref="BD19" ca="1">IF($BA19="","",IF(ActiveSrc="In-season",SUMPRODUCT((ATWR="WR")*(ATDates&gt;WinEnd-WinDays)*(ATDates&lt;=WinEnd)*IF(ISNUMBER(Attendance!$F18:$CO18),Attendance!$F18:$CO18,0)),SUMPRODUCT((PSWR="WR")*(PSDates&gt;WinEnd-WinDays)*(PSDates&lt;=WinEnd)*IF(ISNUMBER('Pre season'!$F18:$AC18),'Pre season'!$F18:$AC18,0))))</f>
        <v>3</v>
      </c>
      <c r="BE19" s="302">
        <f t="array" aca="1" ref="BE19" ca="1">IF($BA19="","",IF(ActiveSrc="In-season",SUMPRODUCT((ATWR="WR")*(ATDates&gt;WinEnd-WinDays)*(ATDates&lt;=WinEnd)*(IF(ISNUMBER(Attendance!$F18:$CO18),Attendance!$F18:$CO18,0)&gt;0)),SUMPRODUCT((PSWR="WR")*(PSDates&gt;WinEnd-WinDays)*(PSDates&lt;=WinEnd)*(IF(ISNUMBER('Pre season'!$F18:$AC18),'Pre season'!$F18:$AC18,0)&gt;0))))</f>
        <v>1</v>
      </c>
      <c r="BF19" s="303">
        <f t="shared" ca="1" si="12"/>
        <v>3</v>
      </c>
      <c r="BG19" s="304">
        <f ca="1">IF($BA19="","",IF(N($BB19)=0,"",'Pre season'!$AM$2*($BC19/$BB19)+'Pre season'!$AM$3*(IF($BF19="",0,$BF19)/5)))</f>
        <v>0.76</v>
      </c>
      <c r="BH19" s="302">
        <f t="array" aca="1" ref="BH19" ca="1">IF($BA19="","",IF($BG19="","",SUMPRODUCT(($BG$6:$BG$25&lt;&gt;"")*($BG$6:$BG$25&gt;$BG19))+COUNTIF($BG$6:$BG19,$BG19)))</f>
        <v>10</v>
      </c>
      <c r="BJ19" t="str">
        <f t="shared" si="13"/>
        <v>Emma Dromgoole</v>
      </c>
      <c r="BK19" s="304">
        <f>IF($BJ19="","",IF(OR(N(Attendance!$GB18)&gt;0,N(Attendance!$GF18)&gt;0),IFERROR(Attendance!$GN18,""),IFERROR($AT19,"")))</f>
        <v>0.76666666666666661</v>
      </c>
      <c r="BL19" s="305" t="str">
        <f>IF($BJ19="","",IF(OR(N(Attendance!$GB18)&gt;0,N(Attendance!$GF18)&gt;0),"In-season","Pre-season"))</f>
        <v>In-season</v>
      </c>
      <c r="BM19" s="302">
        <f t="array" ref="BM19">IF($BJ19="","",IF($BK19="","",SUMPRODUCT(($BK$6:$BK$25&lt;&gt;"")*($BK$6:$BK$25&gt;$BK19))+COUNTIF($BK$6:$BK19,$BK19)))</f>
        <v>8</v>
      </c>
      <c r="BS19" s="359" t="str">
        <f t="shared" si="15"/>
        <v>Emma Dromgoole</v>
      </c>
      <c r="BT19" s="360"/>
      <c r="BU19" s="361"/>
    </row>
    <row r="20" spans="2:73" x14ac:dyDescent="0.45">
      <c r="B20" s="294">
        <f>IF($C20="","",Attendance!$C19)</f>
        <v>15</v>
      </c>
      <c r="C20" s="295" t="str">
        <f>IF(Attendance!$D19="","",Attendance!$D19)</f>
        <v>Elsie Morrison</v>
      </c>
      <c r="D20" s="296">
        <f>IF($C20="","",IFERROR(Attendance!$GC19,""))</f>
        <v>1</v>
      </c>
      <c r="E20" s="297">
        <f>IF($C20="","",IFERROR(Attendance!$GD19,""))</f>
        <v>3</v>
      </c>
      <c r="F20" s="296" t="str">
        <f>IF($C20="","",IFERROR(Attendance!$GH19,""))</f>
        <v/>
      </c>
      <c r="G20" s="297">
        <f>IF($C20="","",IFERROR(Attendance!$GK19,""))</f>
        <v>8</v>
      </c>
      <c r="H20" s="296">
        <f>IF($C20="","",IFERROR(Attendance!$GN19,""))</f>
        <v>0.76666666666666661</v>
      </c>
      <c r="I20" s="295" t="str">
        <f>IF($C20="","",IF($BT20&lt;&gt;"",$BT20,IF($AW20="","Not graded",IF(AND($AV20="Pre-season",N($AP20)&lt;'Pre season'!$AM$5),"Insufficient data",IF($AW20&gt;=3.5,"Match Ready",IF($AW20&gt;3,"Not Ready for 90 min",IF($AW20&gt;2.5,"Nearly Ready",IF($AW20&gt;2,"Improving",IF($AW20&gt;1.5,"Not Ready","Critical")))))))))</f>
        <v>Not Ready for 90 min</v>
      </c>
      <c r="J20" s="295">
        <f t="shared" si="0"/>
        <v>0.76672666666666656</v>
      </c>
      <c r="K20" s="295">
        <f>ROWS($K$6:$K20)</f>
        <v>15</v>
      </c>
      <c r="L20" s="295" t="str">
        <f>IFERROR(INDEX($C$6:$C$25,MATCH(LARGE($J$6:$J$25,ROWS($L$6:$L20)),$J$6:$J$25,0)),"")</f>
        <v>Zara Freeman</v>
      </c>
      <c r="M20" s="296">
        <f>IFERROR(INDEX($H$6:$H$25,MATCH(LARGE($J$6:$J$25,ROWS($M$6:$M20)),$J$6:$J$25,0)),"")</f>
        <v>0.62777777777777777</v>
      </c>
      <c r="N20" s="295"/>
      <c r="O20" s="295" t="str">
        <f t="shared" si="1"/>
        <v>Elsie Morrison</v>
      </c>
      <c r="P20" s="297">
        <f t="shared" si="2"/>
        <v>3</v>
      </c>
      <c r="Q20" s="297">
        <f t="shared" si="3"/>
        <v>8</v>
      </c>
      <c r="R20" s="295"/>
      <c r="S20" s="295"/>
      <c r="T20" s="295"/>
      <c r="U20" s="295"/>
      <c r="V20" s="295"/>
      <c r="W20" s="295"/>
      <c r="X20" s="295">
        <v>15</v>
      </c>
      <c r="Y20" s="297" t="str">
        <f ca="1">IFERROR(IF($Y$2="","",AVERAGE(OFFSET(Attendance!$A$1,$Y$2-1,5+($X20-1)*4),OFFSET(Attendance!$A$1,$Y$2-1,7+($X20-1)*4))),"")</f>
        <v/>
      </c>
      <c r="Z20" s="297" t="str">
        <f ca="1">IFERROR(IF($Y$2="","",IF(LEN(OFFSET(Attendance!$A$1,$Y$2-1,95+($X20-1)*4))=0,"",OFFSET(Attendance!$A$1,$Y$2-1,95+($X20-1)*4))),"")</f>
        <v/>
      </c>
      <c r="AA20" s="295">
        <f t="shared" si="5"/>
        <v>3</v>
      </c>
      <c r="AB20" s="295" t="str">
        <f>IFERROR(INDEX($C$6:$C$25,MATCH(ROWS($AB$6:$AB20),$AA$6:$AA$25,0)),"")</f>
        <v>Stella McEvoy</v>
      </c>
      <c r="AC20" s="295"/>
      <c r="AD20" s="295">
        <v>15</v>
      </c>
      <c r="AE20" s="298" t="str">
        <f t="array" ref="AE20">IF(LEN(INDEX(Attendance!$CP$2:$FY$2,1,($AD20-1)*4+1))=0,"",INDEX(Attendance!$CP$2:$FY$2,1,($AD20-1)*4+1))</f>
        <v/>
      </c>
      <c r="AF20" s="295" t="str">
        <f t="array" ref="AF20">IF(LEN(INDEX(Attendance!$CP$3:$FY$3,1,($AD20-1)*4+1))=0,"",INDEX(Attendance!$CP$3:$FY$3,1,($AD20-1)*4+1))</f>
        <v/>
      </c>
      <c r="AG20" s="295" t="str">
        <f t="array" ref="AG20">IF(LEN(INDEX(Attendance!$CP$3:$FY$3,1,($AD20-1)*4+4))=0,"",INDEX(Attendance!$CP$3:$FY$3,1,($AD20-1)*4+4))</f>
        <v/>
      </c>
      <c r="AH20" s="295" t="str">
        <f t="array" ref="AH20">IF(LEN(INDEX(Attendance!$CP$26:$FY$26,1,($AD20-1)*4+1))=0,"",INDEX(Attendance!$CP$26:$FY$26,1,($AD20-1)*4+1))</f>
        <v/>
      </c>
      <c r="AI20" s="295" t="str">
        <f t="array" ref="AI20">IF(LEN(INDEX(Attendance!$CP$27:$FY$27,1,($AD20-1)*4+1))=0,"",INDEX(Attendance!$CP$27:$FY$27,1,($AD20-1)*4+1))</f>
        <v/>
      </c>
      <c r="AJ20" s="295" t="str">
        <f t="array" ref="AJ20">IF(LEN(INDEX(Attendance!$CP$28:$FY$28,1,($AD20-1)*4+1))=0,"",INDEX(Attendance!$CP$28:$FY$28,1,($AD20-1)*4+1))</f>
        <v/>
      </c>
      <c r="AO20" t="str">
        <f t="shared" si="8"/>
        <v>Elsie Morrison</v>
      </c>
      <c r="AP20" s="299">
        <f>IF($AO20="","",IFERROR(INDEX('Pre season'!$AE$5:$AE$24,MATCH($AO20,'Pre season'!$AD$5:$AD$24,0)),""))</f>
        <v>9</v>
      </c>
      <c r="AQ20" s="299">
        <f>IF($AO20="","",IFERROR(INDEX('Pre season'!$AF$5:$AF$24,MATCH($AO20,'Pre season'!$AD$5:$AD$24,0)),""))</f>
        <v>11</v>
      </c>
      <c r="AR20" s="300">
        <f>IF($AO20="","",IFERROR(INDEX('Pre season'!$AG$5:$AG$24,MATCH($AO20,'Pre season'!$AD$5:$AD$24,0)),""))</f>
        <v>0.81818181818181823</v>
      </c>
      <c r="AS20" s="64">
        <f>IF($AO20="","",IFERROR(INDEX('Pre season'!$AK$5:$AK$24,MATCH($AO20,'Pre season'!$AD$5:$AD$24,0)),""))</f>
        <v>3.2222222222222223</v>
      </c>
      <c r="AT20" s="300">
        <f>IF($AO20="","",IFERROR(INDEX('Pre season'!$AJ$5:$AJ$24,MATCH($AO20,'Pre season'!$AD$5:$AD$24,0)),""))</f>
        <v>0.71393939393939398</v>
      </c>
      <c r="AU20" t="str">
        <f>IF($AO20="","",IF($AS20="","No pre-season data",IF(N($AP20)&lt;'Pre season'!$AM$5,"Insufficient data",IF($AS20&gt;=3.5,"Match Ready",IF($AS20&gt;3,"Not Ready for 90 min",IF($AS20&gt;2.5,"Nearly Ready",IF($AS20&gt;2,"Improving",IF($AS20&gt;1.5,"Not Ready","Critical"))))))))</f>
        <v>Not Ready for 90 min</v>
      </c>
      <c r="AV20" t="str">
        <f t="shared" si="9"/>
        <v>In-season</v>
      </c>
      <c r="AW20" s="64">
        <f t="shared" si="10"/>
        <v>3</v>
      </c>
      <c r="AX20" s="301">
        <f t="array" ref="AX20">IF($AO20="","",IF($AT20="","",SUMPRODUCT(($AT$6:$AT$25&lt;&gt;"")*($AT$6:$AT$25&gt;$AT20))+COUNTIF($AT$6:$AT20,$AT20)))</f>
        <v>3</v>
      </c>
      <c r="BA20" t="str">
        <f t="shared" si="11"/>
        <v>Elsie Morrison</v>
      </c>
      <c r="BB20" s="302">
        <f t="array" aca="1" ref="BB20" ca="1">IF($BA20="","",IF(ActiveSrc="In-season",SUMPRODUCT((ATAtt="Att")*(ATDates&gt;WinEnd-WinDays)*(ATDates&lt;=WinEnd)*((Attendance!$E19:$CN19="Yes")+(Attendance!$E19:$CN19="No"))),SUMPRODUCT((PSAtt="Att")*(PSDates&gt;WinEnd-WinDays)*(PSDates&lt;=WinEnd)*(('Pre season'!$E19:$AB19="Yes")+('Pre season'!$E19:$AB19="No")))))</f>
        <v>1</v>
      </c>
      <c r="BC20" s="302">
        <f t="array" aca="1" ref="BC20" ca="1">IF($BA20="","",IF(ActiveSrc="In-season",SUMPRODUCT((ATAtt="Att")*(ATDates&gt;WinEnd-WinDays)*(ATDates&lt;=WinEnd)*(Attendance!$E19:$CN19="Yes")),SUMPRODUCT((PSAtt="Att")*(PSDates&gt;WinEnd-WinDays)*(PSDates&lt;=WinEnd)*('Pre season'!$E19:$AB19="Yes"))))</f>
        <v>1</v>
      </c>
      <c r="BD20" s="302">
        <f t="array" aca="1" ref="BD20" ca="1">IF($BA20="","",IF(ActiveSrc="In-season",SUMPRODUCT((ATWR="WR")*(ATDates&gt;WinEnd-WinDays)*(ATDates&lt;=WinEnd)*IF(ISNUMBER(Attendance!$F19:$CO19),Attendance!$F19:$CO19,0)),SUMPRODUCT((PSWR="WR")*(PSDates&gt;WinEnd-WinDays)*(PSDates&lt;=WinEnd)*IF(ISNUMBER('Pre season'!$F19:$AC19),'Pre season'!$F19:$AC19,0))))</f>
        <v>2</v>
      </c>
      <c r="BE20" s="302">
        <f t="array" aca="1" ref="BE20" ca="1">IF($BA20="","",IF(ActiveSrc="In-season",SUMPRODUCT((ATWR="WR")*(ATDates&gt;WinEnd-WinDays)*(ATDates&lt;=WinEnd)*(IF(ISNUMBER(Attendance!$F19:$CO19),Attendance!$F19:$CO19,0)&gt;0)),SUMPRODUCT((PSWR="WR")*(PSDates&gt;WinEnd-WinDays)*(PSDates&lt;=WinEnd)*(IF(ISNUMBER('Pre season'!$F19:$AC19),'Pre season'!$F19:$AC19,0)&gt;0))))</f>
        <v>1</v>
      </c>
      <c r="BF20" s="303">
        <f t="shared" ca="1" si="12"/>
        <v>2</v>
      </c>
      <c r="BG20" s="304">
        <f ca="1">IF($BA20="","",IF(N($BB20)=0,"",'Pre season'!$AM$2*($BC20/$BB20)+'Pre season'!$AM$3*(IF($BF20="",0,$BF20)/5)))</f>
        <v>0.64</v>
      </c>
      <c r="BH20" s="302">
        <f t="array" aca="1" ref="BH20" ca="1">IF($BA20="","",IF($BG20="","",SUMPRODUCT(($BG$6:$BG$25&lt;&gt;"")*($BG$6:$BG$25&gt;$BG20))+COUNTIF($BG$6:$BG20,$BG20)))</f>
        <v>14</v>
      </c>
      <c r="BJ20" t="str">
        <f t="shared" si="13"/>
        <v>Elsie Morrison</v>
      </c>
      <c r="BK20" s="304">
        <f>IF($BJ20="","",IF(OR(N(Attendance!$GB19)&gt;0,N(Attendance!$GF19)&gt;0),IFERROR(Attendance!$GN19,""),IFERROR($AT20,"")))</f>
        <v>0.76666666666666661</v>
      </c>
      <c r="BL20" s="305" t="str">
        <f>IF($BJ20="","",IF(OR(N(Attendance!$GB19)&gt;0,N(Attendance!$GF19)&gt;0),"In-season","Pre-season"))</f>
        <v>In-season</v>
      </c>
      <c r="BM20" s="302">
        <f t="array" ref="BM20">IF($BJ20="","",IF($BK20="","",SUMPRODUCT(($BK$6:$BK$25&lt;&gt;"")*($BK$6:$BK$25&gt;$BK20))+COUNTIF($BK$6:$BK20,$BK20)))</f>
        <v>9</v>
      </c>
      <c r="BS20" s="359" t="str">
        <f t="shared" si="15"/>
        <v>Elsie Morrison</v>
      </c>
      <c r="BT20" s="360" t="s">
        <v>404</v>
      </c>
      <c r="BU20" s="361" t="s">
        <v>507</v>
      </c>
    </row>
    <row r="21" spans="2:73" x14ac:dyDescent="0.45">
      <c r="B21" s="294">
        <f>IF($C21="","",Attendance!$C20)</f>
        <v>16</v>
      </c>
      <c r="C21" s="295" t="str">
        <f>IF(Attendance!$D20="","",Attendance!$D20)</f>
        <v>Zara Freeman</v>
      </c>
      <c r="D21" s="296">
        <f>IF($C21="","",IFERROR(Attendance!$GC20,""))</f>
        <v>0.66666666666666663</v>
      </c>
      <c r="E21" s="297">
        <f>IF($C21="","",IFERROR(Attendance!$GD20,""))</f>
        <v>3</v>
      </c>
      <c r="F21" s="296" t="str">
        <f>IF($C21="","",IFERROR(Attendance!$GH20,""))</f>
        <v/>
      </c>
      <c r="G21" s="297">
        <f>IF($C21="","",IFERROR(Attendance!$GK20,""))</f>
        <v>8.5</v>
      </c>
      <c r="H21" s="296">
        <f>IF($C21="","",IFERROR(Attendance!$GN20,""))</f>
        <v>0.62777777777777777</v>
      </c>
      <c r="I21" s="295" t="str">
        <f>IF($C21="","",IF($BT21&lt;&gt;"",$BT21,IF($AW21="","Not graded",IF(AND($AV21="Pre-season",N($AP21)&lt;'Pre season'!$AM$5),"Insufficient data",IF($AW21&gt;=3.5,"Match Ready",IF($AW21&gt;3,"Not Ready for 90 min",IF($AW21&gt;2.5,"Nearly Ready",IF($AW21&gt;2,"Improving",IF($AW21&gt;1.5,"Not Ready","Critical")))))))))</f>
        <v>Not Ready for 90 min</v>
      </c>
      <c r="J21" s="295">
        <f t="shared" si="0"/>
        <v>0.62782777777777776</v>
      </c>
      <c r="K21" s="295">
        <f>ROWS($K$6:$K21)</f>
        <v>16</v>
      </c>
      <c r="L21" s="295" t="str">
        <f>IFERROR(INDEX($C$6:$C$25,MATCH(LARGE($J$6:$J$25,ROWS($L$6:$L21)),$J$6:$J$25,0)),"")</f>
        <v>Emma Kelly</v>
      </c>
      <c r="M21" s="296">
        <f>IFERROR(INDEX($H$6:$H$25,MATCH(LARGE($J$6:$J$25,ROWS($M$6:$M21)),$J$6:$J$25,0)),"")</f>
        <v>0.60555555555555551</v>
      </c>
      <c r="N21" s="295"/>
      <c r="O21" s="295" t="str">
        <f t="shared" si="1"/>
        <v>Zara Freeman</v>
      </c>
      <c r="P21" s="297">
        <f t="shared" si="2"/>
        <v>3</v>
      </c>
      <c r="Q21" s="297">
        <f t="shared" si="3"/>
        <v>8.5</v>
      </c>
      <c r="R21" s="295"/>
      <c r="S21" s="295"/>
      <c r="T21" s="295"/>
      <c r="U21" s="295"/>
      <c r="V21" s="295"/>
      <c r="W21" s="295"/>
      <c r="X21" s="295">
        <v>16</v>
      </c>
      <c r="Y21" s="297" t="str">
        <f ca="1">IFERROR(IF($Y$2="","",AVERAGE(OFFSET(Attendance!$A$1,$Y$2-1,5+($X21-1)*4),OFFSET(Attendance!$A$1,$Y$2-1,7+($X21-1)*4))),"")</f>
        <v/>
      </c>
      <c r="Z21" s="297" t="str">
        <f ca="1">IFERROR(IF($Y$2="","",IF(LEN(OFFSET(Attendance!$A$1,$Y$2-1,95+($X21-1)*4))=0,"",OFFSET(Attendance!$A$1,$Y$2-1,95+($X21-1)*4))),"")</f>
        <v/>
      </c>
      <c r="AA21" s="295">
        <f t="shared" si="5"/>
        <v>17</v>
      </c>
      <c r="AB21" s="295" t="str">
        <f>IFERROR(INDEX($C$6:$C$25,MATCH(ROWS($AB$6:$AB21),$AA$6:$AA$25,0)),"")</f>
        <v>Tara Brannigan</v>
      </c>
      <c r="AC21" s="295"/>
      <c r="AD21" s="295">
        <v>16</v>
      </c>
      <c r="AE21" s="298" t="str">
        <f t="array" ref="AE21">IF(LEN(INDEX(Attendance!$CP$2:$FY$2,1,($AD21-1)*4+1))=0,"",INDEX(Attendance!$CP$2:$FY$2,1,($AD21-1)*4+1))</f>
        <v/>
      </c>
      <c r="AF21" s="295" t="str">
        <f t="array" ref="AF21">IF(LEN(INDEX(Attendance!$CP$3:$FY$3,1,($AD21-1)*4+1))=0,"",INDEX(Attendance!$CP$3:$FY$3,1,($AD21-1)*4+1))</f>
        <v/>
      </c>
      <c r="AG21" s="295" t="str">
        <f t="array" ref="AG21">IF(LEN(INDEX(Attendance!$CP$3:$FY$3,1,($AD21-1)*4+4))=0,"",INDEX(Attendance!$CP$3:$FY$3,1,($AD21-1)*4+4))</f>
        <v/>
      </c>
      <c r="AH21" s="295" t="str">
        <f t="array" ref="AH21">IF(LEN(INDEX(Attendance!$CP$26:$FY$26,1,($AD21-1)*4+1))=0,"",INDEX(Attendance!$CP$26:$FY$26,1,($AD21-1)*4+1))</f>
        <v/>
      </c>
      <c r="AI21" s="295" t="str">
        <f t="array" ref="AI21">IF(LEN(INDEX(Attendance!$CP$27:$FY$27,1,($AD21-1)*4+1))=0,"",INDEX(Attendance!$CP$27:$FY$27,1,($AD21-1)*4+1))</f>
        <v/>
      </c>
      <c r="AJ21" s="295" t="str">
        <f t="array" ref="AJ21">IF(LEN(INDEX(Attendance!$CP$28:$FY$28,1,($AD21-1)*4+1))=0,"",INDEX(Attendance!$CP$28:$FY$28,1,($AD21-1)*4+1))</f>
        <v/>
      </c>
      <c r="AO21" t="str">
        <f t="shared" si="8"/>
        <v>Zara Freeman</v>
      </c>
      <c r="AP21" s="299">
        <f>IF($AO21="","",IFERROR(INDEX('Pre season'!$AE$5:$AE$24,MATCH($AO21,'Pre season'!$AD$5:$AD$24,0)),""))</f>
        <v>3</v>
      </c>
      <c r="AQ21" s="299">
        <f>IF($AO21="","",IFERROR(INDEX('Pre season'!$AF$5:$AF$24,MATCH($AO21,'Pre season'!$AD$5:$AD$24,0)),""))</f>
        <v>11</v>
      </c>
      <c r="AR21" s="300">
        <f>IF($AO21="","",IFERROR(INDEX('Pre season'!$AG$5:$AG$24,MATCH($AO21,'Pre season'!$AD$5:$AD$24,0)),""))</f>
        <v>0.27272727272727271</v>
      </c>
      <c r="AS21" s="64">
        <f>IF($AO21="","",IFERROR(INDEX('Pre season'!$AK$5:$AK$24,MATCH($AO21,'Pre season'!$AD$5:$AD$24,0)),""))</f>
        <v>3.3333333333333335</v>
      </c>
      <c r="AT21" s="300">
        <f>IF($AO21="","",IFERROR(INDEX('Pre season'!$AJ$5:$AJ$24,MATCH($AO21,'Pre season'!$AD$5:$AD$24,0)),""))</f>
        <v>0.25454545454545452</v>
      </c>
      <c r="AU21" t="str">
        <f>IF($AO21="","",IF($AS21="","No pre-season data",IF(N($AP21)&lt;'Pre season'!$AM$5,"Insufficient data",IF($AS21&gt;=3.5,"Match Ready",IF($AS21&gt;3,"Not Ready for 90 min",IF($AS21&gt;2.5,"Nearly Ready",IF($AS21&gt;2,"Improving",IF($AS21&gt;1.5,"Not Ready","Critical"))))))))</f>
        <v>Insufficient data</v>
      </c>
      <c r="AV21" t="str">
        <f t="shared" si="9"/>
        <v>In-season</v>
      </c>
      <c r="AW21" s="64">
        <f t="shared" si="10"/>
        <v>3</v>
      </c>
      <c r="AX21" s="301">
        <f t="array" ref="AX21">IF($AO21="","",IF($AT21="","",SUMPRODUCT(($AT$6:$AT$25&lt;&gt;"")*($AT$6:$AT$25&gt;$AT21))+COUNTIF($AT$6:$AT21,$AT21)))</f>
        <v>14</v>
      </c>
      <c r="BA21" t="str">
        <f t="shared" si="11"/>
        <v>Zara Freeman</v>
      </c>
      <c r="BB21" s="302">
        <f t="array" aca="1" ref="BB21" ca="1">IF($BA21="","",IF(ActiveSrc="In-season",SUMPRODUCT((ATAtt="Att")*(ATDates&gt;WinEnd-WinDays)*(ATDates&lt;=WinEnd)*((Attendance!$E20:$CN20="Yes")+(Attendance!$E20:$CN20="No"))),SUMPRODUCT((PSAtt="Att")*(PSDates&gt;WinEnd-WinDays)*(PSDates&lt;=WinEnd)*(('Pre season'!$E20:$AB20="Yes")+('Pre season'!$E20:$AB20="No")))))</f>
        <v>1</v>
      </c>
      <c r="BC21" s="302">
        <f t="array" aca="1" ref="BC21" ca="1">IF($BA21="","",IF(ActiveSrc="In-season",SUMPRODUCT((ATAtt="Att")*(ATDates&gt;WinEnd-WinDays)*(ATDates&lt;=WinEnd)*(Attendance!$E20:$CN20="Yes")),SUMPRODUCT((PSAtt="Att")*(PSDates&gt;WinEnd-WinDays)*(PSDates&lt;=WinEnd)*('Pre season'!$E20:$AB20="Yes"))))</f>
        <v>0</v>
      </c>
      <c r="BD21" s="302">
        <f t="array" aca="1" ref="BD21" ca="1">IF($BA21="","",IF(ActiveSrc="In-season",SUMPRODUCT((ATWR="WR")*(ATDates&gt;WinEnd-WinDays)*(ATDates&lt;=WinEnd)*IF(ISNUMBER(Attendance!$F20:$CO20),Attendance!$F20:$CO20,0)),SUMPRODUCT((PSWR="WR")*(PSDates&gt;WinEnd-WinDays)*(PSDates&lt;=WinEnd)*IF(ISNUMBER('Pre season'!$F20:$AC20),'Pre season'!$F20:$AC20,0))))</f>
        <v>0</v>
      </c>
      <c r="BE21" s="302">
        <f t="array" aca="1" ref="BE21" ca="1">IF($BA21="","",IF(ActiveSrc="In-season",SUMPRODUCT((ATWR="WR")*(ATDates&gt;WinEnd-WinDays)*(ATDates&lt;=WinEnd)*(IF(ISNUMBER(Attendance!$F20:$CO20),Attendance!$F20:$CO20,0)&gt;0)),SUMPRODUCT((PSWR="WR")*(PSDates&gt;WinEnd-WinDays)*(PSDates&lt;=WinEnd)*(IF(ISNUMBER('Pre season'!$F20:$AC20),'Pre season'!$F20:$AC20,0)&gt;0))))</f>
        <v>0</v>
      </c>
      <c r="BF21" s="303" t="str">
        <f t="shared" ca="1" si="12"/>
        <v/>
      </c>
      <c r="BG21" s="304">
        <f ca="1">IF($BA21="","",IF(N($BB21)=0,"",'Pre season'!$AM$2*($BC21/$BB21)+'Pre season'!$AM$3*(IF($BF21="",0,$BF21)/5)))</f>
        <v>0</v>
      </c>
      <c r="BH21" s="302">
        <f t="array" aca="1" ref="BH21" ca="1">IF($BA21="","",IF($BG21="","",SUMPRODUCT(($BG$6:$BG$25&lt;&gt;"")*($BG$6:$BG$25&gt;$BG21))+COUNTIF($BG$6:$BG21,$BG21)))</f>
        <v>18</v>
      </c>
      <c r="BJ21" t="str">
        <f t="shared" si="13"/>
        <v>Zara Freeman</v>
      </c>
      <c r="BK21" s="304">
        <f>IF($BJ21="","",IF(OR(N(Attendance!$GB20)&gt;0,N(Attendance!$GF20)&gt;0),IFERROR(Attendance!$GN20,""),IFERROR($AT21,"")))</f>
        <v>0.62777777777777777</v>
      </c>
      <c r="BL21" s="305" t="str">
        <f>IF($BJ21="","",IF(OR(N(Attendance!$GB20)&gt;0,N(Attendance!$GF20)&gt;0),"In-season","Pre-season"))</f>
        <v>In-season</v>
      </c>
      <c r="BM21" s="302">
        <f t="array" ref="BM21">IF($BJ21="","",IF($BK21="","",SUMPRODUCT(($BK$6:$BK$25&lt;&gt;"")*($BK$6:$BK$25&gt;$BK21))+COUNTIF($BK$6:$BK21,$BK21)))</f>
        <v>15</v>
      </c>
      <c r="BS21" s="359" t="str">
        <f t="shared" si="15"/>
        <v>Zara Freeman</v>
      </c>
      <c r="BT21" s="360" t="s">
        <v>404</v>
      </c>
      <c r="BU21" s="361" t="s">
        <v>506</v>
      </c>
    </row>
    <row r="22" spans="2:73" x14ac:dyDescent="0.45">
      <c r="B22" s="294">
        <f>IF($C22="","",Attendance!$C21)</f>
        <v>17</v>
      </c>
      <c r="C22" s="295" t="str">
        <f>IF(Attendance!$D21="","",Attendance!$D21)</f>
        <v>Mariana Soares</v>
      </c>
      <c r="D22" s="296">
        <f>IF($C22="","",IFERROR(Attendance!$GC21,""))</f>
        <v>1</v>
      </c>
      <c r="E22" s="297">
        <f>IF($C22="","",IFERROR(Attendance!$GD21,""))</f>
        <v>3</v>
      </c>
      <c r="F22" s="296" t="str">
        <f>IF($C22="","",IFERROR(Attendance!$GH21,""))</f>
        <v/>
      </c>
      <c r="G22" s="297">
        <f>IF($C22="","",IFERROR(Attendance!$GK21,""))</f>
        <v>7.5</v>
      </c>
      <c r="H22" s="296">
        <f>IF($C22="","",IFERROR(Attendance!$GN21,""))</f>
        <v>0.76666666666666661</v>
      </c>
      <c r="I22" s="295" t="str">
        <f>IF($C22="","",IF($BT22&lt;&gt;"",$BT22,IF($AW22="","Not graded",IF(AND($AV22="Pre-season",N($AP22)&lt;'Pre season'!$AM$5),"Insufficient data",IF($AW22&gt;=3.5,"Match Ready",IF($AW22&gt;3,"Not Ready for 90 min",IF($AW22&gt;2.5,"Nearly Ready",IF($AW22&gt;2,"Improving",IF($AW22&gt;1.5,"Not Ready","Critical")))))))))</f>
        <v>Nearly Ready</v>
      </c>
      <c r="J22" s="295">
        <f t="shared" si="0"/>
        <v>0.76670666666666665</v>
      </c>
      <c r="K22" s="295">
        <f>ROWS($K$6:$K22)</f>
        <v>17</v>
      </c>
      <c r="L22" s="295" t="str">
        <f>IFERROR(INDEX($C$6:$C$25,MATCH(LARGE($J$6:$J$25,ROWS($L$6:$L22)),$J$6:$J$25,0)),"")</f>
        <v>Zara Power</v>
      </c>
      <c r="M22" s="296">
        <f>IFERROR(INDEX($H$6:$H$25,MATCH(LARGE($J$6:$J$25,ROWS($M$6:$M22)),$J$6:$J$25,0)),"")</f>
        <v>0</v>
      </c>
      <c r="N22" s="295"/>
      <c r="O22" s="295" t="str">
        <f t="shared" si="1"/>
        <v>Mariana Soares</v>
      </c>
      <c r="P22" s="297">
        <f t="shared" si="2"/>
        <v>3</v>
      </c>
      <c r="Q22" s="297">
        <f t="shared" si="3"/>
        <v>7.5</v>
      </c>
      <c r="R22" s="295"/>
      <c r="S22" s="295"/>
      <c r="T22" s="295"/>
      <c r="U22" s="295"/>
      <c r="V22" s="295"/>
      <c r="W22" s="295"/>
      <c r="X22" s="295">
        <v>17</v>
      </c>
      <c r="Y22" s="297" t="str">
        <f ca="1">IFERROR(IF($Y$2="","",AVERAGE(OFFSET(Attendance!$A$1,$Y$2-1,5+($X22-1)*4),OFFSET(Attendance!$A$1,$Y$2-1,7+($X22-1)*4))),"")</f>
        <v/>
      </c>
      <c r="Z22" s="297" t="str">
        <f ca="1">IFERROR(IF($Y$2="","",IF(LEN(OFFSET(Attendance!$A$1,$Y$2-1,95+($X22-1)*4))=0,"",OFFSET(Attendance!$A$1,$Y$2-1,95+($X22-1)*4))),"")</f>
        <v/>
      </c>
      <c r="AA22" s="295">
        <f t="shared" si="5"/>
        <v>8</v>
      </c>
      <c r="AB22" s="295" t="str">
        <f>IFERROR(INDEX($C$6:$C$25,MATCH(ROWS($AB$6:$AB22),$AA$6:$AA$25,0)),"")</f>
        <v>Zara Freeman</v>
      </c>
      <c r="AC22" s="295"/>
      <c r="AD22" s="295">
        <v>17</v>
      </c>
      <c r="AE22" s="298" t="str">
        <f t="array" ref="AE22">IF(LEN(INDEX(Attendance!$CP$2:$FY$2,1,($AD22-1)*4+1))=0,"",INDEX(Attendance!$CP$2:$FY$2,1,($AD22-1)*4+1))</f>
        <v/>
      </c>
      <c r="AF22" s="295" t="str">
        <f t="array" ref="AF22">IF(LEN(INDEX(Attendance!$CP$3:$FY$3,1,($AD22-1)*4+1))=0,"",INDEX(Attendance!$CP$3:$FY$3,1,($AD22-1)*4+1))</f>
        <v/>
      </c>
      <c r="AG22" s="295" t="str">
        <f t="array" ref="AG22">IF(LEN(INDEX(Attendance!$CP$3:$FY$3,1,($AD22-1)*4+4))=0,"",INDEX(Attendance!$CP$3:$FY$3,1,($AD22-1)*4+4))</f>
        <v/>
      </c>
      <c r="AH22" s="295" t="str">
        <f t="array" ref="AH22">IF(LEN(INDEX(Attendance!$CP$26:$FY$26,1,($AD22-1)*4+1))=0,"",INDEX(Attendance!$CP$26:$FY$26,1,($AD22-1)*4+1))</f>
        <v/>
      </c>
      <c r="AI22" s="295" t="str">
        <f t="array" ref="AI22">IF(LEN(INDEX(Attendance!$CP$27:$FY$27,1,($AD22-1)*4+1))=0,"",INDEX(Attendance!$CP$27:$FY$27,1,($AD22-1)*4+1))</f>
        <v/>
      </c>
      <c r="AJ22" s="295" t="str">
        <f t="array" ref="AJ22">IF(LEN(INDEX(Attendance!$CP$28:$FY$28,1,($AD22-1)*4+1))=0,"",INDEX(Attendance!$CP$28:$FY$28,1,($AD22-1)*4+1))</f>
        <v/>
      </c>
      <c r="AO22" t="str">
        <f t="shared" si="8"/>
        <v>Mariana Soares</v>
      </c>
      <c r="AP22" s="299">
        <f>IF($AO22="","",IFERROR(INDEX('Pre season'!$AE$5:$AE$24,MATCH($AO22,'Pre season'!$AD$5:$AD$24,0)),""))</f>
        <v>3</v>
      </c>
      <c r="AQ22" s="299">
        <f>IF($AO22="","",IFERROR(INDEX('Pre season'!$AF$5:$AF$24,MATCH($AO22,'Pre season'!$AD$5:$AD$24,0)),""))</f>
        <v>11</v>
      </c>
      <c r="AR22" s="300">
        <f>IF($AO22="","",IFERROR(INDEX('Pre season'!$AG$5:$AG$24,MATCH($AO22,'Pre season'!$AD$5:$AD$24,0)),""))</f>
        <v>0.27272727272727271</v>
      </c>
      <c r="AS22" s="64">
        <f>IF($AO22="","",IFERROR(INDEX('Pre season'!$AK$5:$AK$24,MATCH($AO22,'Pre season'!$AD$5:$AD$24,0)),""))</f>
        <v>3</v>
      </c>
      <c r="AT22" s="300">
        <f>IF($AO22="","",IFERROR(INDEX('Pre season'!$AJ$5:$AJ$24,MATCH($AO22,'Pre season'!$AD$5:$AD$24,0)),""))</f>
        <v>0.24</v>
      </c>
      <c r="AU22" t="str">
        <f>IF($AO22="","",IF($AS22="","No pre-season data",IF(N($AP22)&lt;'Pre season'!$AM$5,"Insufficient data",IF($AS22&gt;=3.5,"Match Ready",IF($AS22&gt;3,"Not Ready for 90 min",IF($AS22&gt;2.5,"Nearly Ready",IF($AS22&gt;2,"Improving",IF($AS22&gt;1.5,"Not Ready","Critical"))))))))</f>
        <v>Insufficient data</v>
      </c>
      <c r="AV22" t="str">
        <f t="shared" si="9"/>
        <v>In-season</v>
      </c>
      <c r="AW22" s="64">
        <f t="shared" si="10"/>
        <v>3</v>
      </c>
      <c r="AX22" s="301">
        <f t="array" ref="AX22">IF($AO22="","",IF($AT22="","",SUMPRODUCT(($AT$6:$AT$25&lt;&gt;"")*($AT$6:$AT$25&gt;$AT22))+COUNTIF($AT$6:$AT22,$AT22)))</f>
        <v>15</v>
      </c>
      <c r="BA22" t="str">
        <f t="shared" si="11"/>
        <v>Mariana Soares</v>
      </c>
      <c r="BB22" s="302">
        <f t="array" aca="1" ref="BB22" ca="1">IF($BA22="","",IF(ActiveSrc="In-season",SUMPRODUCT((ATAtt="Att")*(ATDates&gt;WinEnd-WinDays)*(ATDates&lt;=WinEnd)*((Attendance!$E21:$CN21="Yes")+(Attendance!$E21:$CN21="No"))),SUMPRODUCT((PSAtt="Att")*(PSDates&gt;WinEnd-WinDays)*(PSDates&lt;=WinEnd)*(('Pre season'!$E21:$AB21="Yes")+('Pre season'!$E21:$AB21="No")))))</f>
        <v>1</v>
      </c>
      <c r="BC22" s="302">
        <f t="array" aca="1" ref="BC22" ca="1">IF($BA22="","",IF(ActiveSrc="In-season",SUMPRODUCT((ATAtt="Att")*(ATDates&gt;WinEnd-WinDays)*(ATDates&lt;=WinEnd)*(Attendance!$E21:$CN21="Yes")),SUMPRODUCT((PSAtt="Att")*(PSDates&gt;WinEnd-WinDays)*(PSDates&lt;=WinEnd)*('Pre season'!$E21:$AB21="Yes"))))</f>
        <v>1</v>
      </c>
      <c r="BD22" s="302">
        <f t="array" aca="1" ref="BD22" ca="1">IF($BA22="","",IF(ActiveSrc="In-season",SUMPRODUCT((ATWR="WR")*(ATDates&gt;WinEnd-WinDays)*(ATDates&lt;=WinEnd)*IF(ISNUMBER(Attendance!$F21:$CO21),Attendance!$F21:$CO21,0)),SUMPRODUCT((PSWR="WR")*(PSDates&gt;WinEnd-WinDays)*(PSDates&lt;=WinEnd)*IF(ISNUMBER('Pre season'!$F21:$AC21),'Pre season'!$F21:$AC21,0))))</f>
        <v>3</v>
      </c>
      <c r="BE22" s="302">
        <f t="array" aca="1" ref="BE22" ca="1">IF($BA22="","",IF(ActiveSrc="In-season",SUMPRODUCT((ATWR="WR")*(ATDates&gt;WinEnd-WinDays)*(ATDates&lt;=WinEnd)*(IF(ISNUMBER(Attendance!$F21:$CO21),Attendance!$F21:$CO21,0)&gt;0)),SUMPRODUCT((PSWR="WR")*(PSDates&gt;WinEnd-WinDays)*(PSDates&lt;=WinEnd)*(IF(ISNUMBER('Pre season'!$F21:$AC21),'Pre season'!$F21:$AC21,0)&gt;0))))</f>
        <v>1</v>
      </c>
      <c r="BF22" s="303">
        <f t="shared" ca="1" si="12"/>
        <v>3</v>
      </c>
      <c r="BG22" s="304">
        <f ca="1">IF($BA22="","",IF(N($BB22)=0,"",'Pre season'!$AM$2*($BC22/$BB22)+'Pre season'!$AM$3*(IF($BF22="",0,$BF22)/5)))</f>
        <v>0.76</v>
      </c>
      <c r="BH22" s="302">
        <f t="array" aca="1" ref="BH22" ca="1">IF($BA22="","",IF($BG22="","",SUMPRODUCT(($BG$6:$BG$25&lt;&gt;"")*($BG$6:$BG$25&gt;$BG22))+COUNTIF($BG$6:$BG22,$BG22)))</f>
        <v>11</v>
      </c>
      <c r="BJ22" t="str">
        <f t="shared" si="13"/>
        <v>Mariana Soares</v>
      </c>
      <c r="BK22" s="304">
        <f>IF($BJ22="","",IF(OR(N(Attendance!$GB21)&gt;0,N(Attendance!$GF21)&gt;0),IFERROR(Attendance!$GN21,""),IFERROR($AT22,"")))</f>
        <v>0.76666666666666661</v>
      </c>
      <c r="BL22" s="305" t="str">
        <f>IF($BJ22="","",IF(OR(N(Attendance!$GB21)&gt;0,N(Attendance!$GF21)&gt;0),"In-season","Pre-season"))</f>
        <v>In-season</v>
      </c>
      <c r="BM22" s="302">
        <f t="array" ref="BM22">IF($BJ22="","",IF($BK22="","",SUMPRODUCT(($BK$6:$BK$25&lt;&gt;"")*($BK$6:$BK$25&gt;$BK22))+COUNTIF($BK$6:$BK22,$BK22)))</f>
        <v>10</v>
      </c>
      <c r="BS22" s="359" t="str">
        <f t="shared" si="15"/>
        <v>Mariana Soares</v>
      </c>
      <c r="BT22" s="360"/>
      <c r="BU22" s="361"/>
    </row>
    <row r="23" spans="2:73" x14ac:dyDescent="0.45">
      <c r="B23" s="295">
        <f>IF($C23="","",Attendance!$C22)</f>
        <v>18</v>
      </c>
      <c r="C23" s="295" t="str">
        <f>IF(Attendance!$D22="","",Attendance!$D22)</f>
        <v>Rama Abuowda</v>
      </c>
      <c r="D23" s="296">
        <f>IF($C23="","",IFERROR(Attendance!$GC22,""))</f>
        <v>1</v>
      </c>
      <c r="E23" s="297">
        <f>IF($C23="","",IFERROR(Attendance!$GD22,""))</f>
        <v>3</v>
      </c>
      <c r="F23" s="296" t="str">
        <f>IF($C23="","",IFERROR(Attendance!$GH22,""))</f>
        <v/>
      </c>
      <c r="G23" s="297">
        <f>IF($C23="","",IFERROR(Attendance!$GK22,""))</f>
        <v>8.5</v>
      </c>
      <c r="H23" s="296">
        <f>IF($C23="","",IFERROR(Attendance!$GN22,""))</f>
        <v>0.76666666666666661</v>
      </c>
      <c r="I23" s="295" t="str">
        <f>IF($C23="","",IF($BT23&lt;&gt;"",$BT23,IF($AW23="","Not graded",IF(AND($AV23="Pre-season",N($AP23)&lt;'Pre season'!$AM$5),"Insufficient data",IF($AW23&gt;=3.5,"Match Ready",IF($AW23&gt;3,"Not Ready for 90 min",IF($AW23&gt;2.5,"Nearly Ready",IF($AW23&gt;2,"Improving",IF($AW23&gt;1.5,"Not Ready","Critical")))))))))</f>
        <v>Nearly Ready</v>
      </c>
      <c r="J23" s="295">
        <f t="shared" si="0"/>
        <v>0.76669666666666658</v>
      </c>
      <c r="K23" s="295">
        <f>ROWS($K$6:$K23)</f>
        <v>18</v>
      </c>
      <c r="L23" s="295" t="str">
        <f>IFERROR(INDEX($C$6:$C$25,MATCH(LARGE($J$6:$J$25,ROWS($L$6:$L23)),$J$6:$J$25,0)),"")</f>
        <v>Heidi Cerubini Dunne</v>
      </c>
      <c r="M23" s="296">
        <f>IFERROR(INDEX($H$6:$H$25,MATCH(LARGE($J$6:$J$25,ROWS($M$6:$M23)),$J$6:$J$25,0)),"")</f>
        <v>0</v>
      </c>
      <c r="N23" s="295"/>
      <c r="O23" s="295" t="str">
        <f t="shared" si="1"/>
        <v>Rama Abuowda</v>
      </c>
      <c r="P23" s="297">
        <f t="shared" si="2"/>
        <v>3</v>
      </c>
      <c r="Q23" s="297">
        <f t="shared" si="3"/>
        <v>8.5</v>
      </c>
      <c r="R23" s="295"/>
      <c r="S23" s="295"/>
      <c r="T23" s="295"/>
      <c r="U23" s="295"/>
      <c r="V23" s="295"/>
      <c r="W23" s="295"/>
      <c r="X23" s="295">
        <v>18</v>
      </c>
      <c r="Y23" s="297" t="str">
        <f ca="1">IFERROR(IF($Y$2="","",AVERAGE(OFFSET(Attendance!$A$1,$Y$2-1,5+($X23-1)*4),OFFSET(Attendance!$A$1,$Y$2-1,7+($X23-1)*4))),"")</f>
        <v/>
      </c>
      <c r="Z23" s="297" t="str">
        <f ca="1">IFERROR(IF($Y$2="","",IF(LEN(OFFSET(Attendance!$A$1,$Y$2-1,95+($X23-1)*4))=0,"",OFFSET(Attendance!$A$1,$Y$2-1,95+($X23-1)*4))),"")</f>
        <v/>
      </c>
      <c r="AA23" s="295">
        <f t="shared" si="5"/>
        <v>10</v>
      </c>
      <c r="AB23" s="295" t="str">
        <f>IFERROR(INDEX($C$6:$C$25,MATCH(ROWS($AB$6:$AB23),$AA$6:$AA$25,0)),"")</f>
        <v>Zara Power</v>
      </c>
      <c r="AC23" s="295"/>
      <c r="AD23" s="295">
        <v>18</v>
      </c>
      <c r="AE23" s="298" t="str">
        <f t="array" ref="AE23">IF(LEN(INDEX(Attendance!$CP$2:$FY$2,1,($AD23-1)*4+1))=0,"",INDEX(Attendance!$CP$2:$FY$2,1,($AD23-1)*4+1))</f>
        <v/>
      </c>
      <c r="AF23" s="295" t="str">
        <f t="array" ref="AF23">IF(LEN(INDEX(Attendance!$CP$3:$FY$3,1,($AD23-1)*4+1))=0,"",INDEX(Attendance!$CP$3:$FY$3,1,($AD23-1)*4+1))</f>
        <v/>
      </c>
      <c r="AG23" s="295" t="str">
        <f t="array" ref="AG23">IF(LEN(INDEX(Attendance!$CP$3:$FY$3,1,($AD23-1)*4+4))=0,"",INDEX(Attendance!$CP$3:$FY$3,1,($AD23-1)*4+4))</f>
        <v/>
      </c>
      <c r="AH23" s="295" t="str">
        <f t="array" ref="AH23">IF(LEN(INDEX(Attendance!$CP$26:$FY$26,1,($AD23-1)*4+1))=0,"",INDEX(Attendance!$CP$26:$FY$26,1,($AD23-1)*4+1))</f>
        <v/>
      </c>
      <c r="AI23" s="295" t="str">
        <f t="array" ref="AI23">IF(LEN(INDEX(Attendance!$CP$27:$FY$27,1,($AD23-1)*4+1))=0,"",INDEX(Attendance!$CP$27:$FY$27,1,($AD23-1)*4+1))</f>
        <v/>
      </c>
      <c r="AJ23" s="295" t="str">
        <f t="array" ref="AJ23">IF(LEN(INDEX(Attendance!$CP$28:$FY$28,1,($AD23-1)*4+1))=0,"",INDEX(Attendance!$CP$28:$FY$28,1,($AD23-1)*4+1))</f>
        <v/>
      </c>
      <c r="AO23" t="str">
        <f t="shared" si="8"/>
        <v>Rama Abuowda</v>
      </c>
      <c r="AP23" s="299">
        <f>IF($AO23="","",IFERROR(INDEX('Pre season'!$AE$5:$AE$24,MATCH($AO23,'Pre season'!$AD$5:$AD$24,0)),""))</f>
        <v>0</v>
      </c>
      <c r="AQ23" s="299">
        <f>IF($AO23="","",IFERROR(INDEX('Pre season'!$AF$5:$AF$24,MATCH($AO23,'Pre season'!$AD$5:$AD$24,0)),""))</f>
        <v>0</v>
      </c>
      <c r="AR23" s="300">
        <f>IF($AO23="","",IFERROR(INDEX('Pre season'!$AG$5:$AG$24,MATCH($AO23,'Pre season'!$AD$5:$AD$24,0)),""))</f>
        <v>0</v>
      </c>
      <c r="AS23" s="64" t="str">
        <f>IF($AO23="","",IFERROR(INDEX('Pre season'!$AK$5:$AK$24,MATCH($AO23,'Pre season'!$AD$5:$AD$24,0)),""))</f>
        <v/>
      </c>
      <c r="AT23" s="300">
        <f>IF($AO23="","",IFERROR(INDEX('Pre season'!$AJ$5:$AJ$24,MATCH($AO23,'Pre season'!$AD$5:$AD$24,0)),""))</f>
        <v>0</v>
      </c>
      <c r="AU23" t="str">
        <f>IF($AO23="","",IF($AS23="","No pre-season data",IF(N($AP23)&lt;'Pre season'!$AM$5,"Insufficient data",IF($AS23&gt;=3.5,"Match Ready",IF($AS23&gt;3,"Not Ready for 90 min",IF($AS23&gt;2.5,"Nearly Ready",IF($AS23&gt;2,"Improving",IF($AS23&gt;1.5,"Not Ready","Critical"))))))))</f>
        <v>No pre-season data</v>
      </c>
      <c r="AV23" t="str">
        <f t="shared" si="9"/>
        <v>In-season</v>
      </c>
      <c r="AW23" s="64">
        <f t="shared" si="10"/>
        <v>3</v>
      </c>
      <c r="AX23" s="301">
        <f t="array" ref="AX23">IF($AO23="","",IF($AT23="","",SUMPRODUCT(($AT$6:$AT$25&lt;&gt;"")*($AT$6:$AT$25&gt;$AT23))+COUNTIF($AT$6:$AT23,$AT23)))</f>
        <v>18</v>
      </c>
      <c r="BA23" t="str">
        <f t="shared" si="11"/>
        <v>Rama Abuowda</v>
      </c>
      <c r="BB23" s="302">
        <f t="array" aca="1" ref="BB23" ca="1">IF($BA23="","",IF(ActiveSrc="In-season",SUMPRODUCT((ATAtt="Att")*(ATDates&gt;WinEnd-WinDays)*(ATDates&lt;=WinEnd)*((Attendance!$E22:$CN22="Yes")+(Attendance!$E22:$CN22="No"))),SUMPRODUCT((PSAtt="Att")*(PSDates&gt;WinEnd-WinDays)*(PSDates&lt;=WinEnd)*(('Pre season'!$E22:$AB22="Yes")+('Pre season'!$E22:$AB22="No")))))</f>
        <v>1</v>
      </c>
      <c r="BC23" s="302">
        <f t="array" aca="1" ref="BC23" ca="1">IF($BA23="","",IF(ActiveSrc="In-season",SUMPRODUCT((ATAtt="Att")*(ATDates&gt;WinEnd-WinDays)*(ATDates&lt;=WinEnd)*(Attendance!$E22:$CN22="Yes")),SUMPRODUCT((PSAtt="Att")*(PSDates&gt;WinEnd-WinDays)*(PSDates&lt;=WinEnd)*('Pre season'!$E22:$AB22="Yes"))))</f>
        <v>1</v>
      </c>
      <c r="BD23" s="302">
        <f t="array" aca="1" ref="BD23" ca="1">IF($BA23="","",IF(ActiveSrc="In-season",SUMPRODUCT((ATWR="WR")*(ATDates&gt;WinEnd-WinDays)*(ATDates&lt;=WinEnd)*IF(ISNUMBER(Attendance!$F22:$CO22),Attendance!$F22:$CO22,0)),SUMPRODUCT((PSWR="WR")*(PSDates&gt;WinEnd-WinDays)*(PSDates&lt;=WinEnd)*IF(ISNUMBER('Pre season'!$F22:$AC22),'Pre season'!$F22:$AC22,0))))</f>
        <v>3</v>
      </c>
      <c r="BE23" s="302">
        <f t="array" aca="1" ref="BE23" ca="1">IF($BA23="","",IF(ActiveSrc="In-season",SUMPRODUCT((ATWR="WR")*(ATDates&gt;WinEnd-WinDays)*(ATDates&lt;=WinEnd)*(IF(ISNUMBER(Attendance!$F22:$CO22),Attendance!$F22:$CO22,0)&gt;0)),SUMPRODUCT((PSWR="WR")*(PSDates&gt;WinEnd-WinDays)*(PSDates&lt;=WinEnd)*(IF(ISNUMBER('Pre season'!$F22:$AC22),'Pre season'!$F22:$AC22,0)&gt;0))))</f>
        <v>1</v>
      </c>
      <c r="BF23" s="303">
        <f t="shared" ca="1" si="12"/>
        <v>3</v>
      </c>
      <c r="BG23" s="304">
        <f ca="1">IF($BA23="","",IF(N($BB23)=0,"",'Pre season'!$AM$2*($BC23/$BB23)+'Pre season'!$AM$3*(IF($BF23="",0,$BF23)/5)))</f>
        <v>0.76</v>
      </c>
      <c r="BH23" s="302">
        <f t="array" aca="1" ref="BH23" ca="1">IF($BA23="","",IF($BG23="","",SUMPRODUCT(($BG$6:$BG$25&lt;&gt;"")*($BG$6:$BG$25&gt;$BG23))+COUNTIF($BG$6:$BG23,$BG23)))</f>
        <v>12</v>
      </c>
      <c r="BJ23" t="str">
        <f t="shared" si="13"/>
        <v>Rama Abuowda</v>
      </c>
      <c r="BK23" s="304">
        <f>IF($BJ23="","",IF(OR(N(Attendance!$GB22)&gt;0,N(Attendance!$GF22)&gt;0),IFERROR(Attendance!$GN22,""),IFERROR($AT23,"")))</f>
        <v>0.76666666666666661</v>
      </c>
      <c r="BL23" s="305" t="str">
        <f>IF($BJ23="","",IF(OR(N(Attendance!$GB22)&gt;0,N(Attendance!$GF22)&gt;0),"In-season","Pre-season"))</f>
        <v>In-season</v>
      </c>
      <c r="BM23" s="302">
        <f t="array" ref="BM23">IF($BJ23="","",IF($BK23="","",SUMPRODUCT(($BK$6:$BK$25&lt;&gt;"")*($BK$6:$BK$25&gt;$BK23))+COUNTIF($BK$6:$BK23,$BK23)))</f>
        <v>11</v>
      </c>
      <c r="BS23" s="359" t="str">
        <f t="shared" si="15"/>
        <v>Rama Abuowda</v>
      </c>
      <c r="BT23" s="360"/>
      <c r="BU23" s="361"/>
    </row>
    <row r="24" spans="2:73" x14ac:dyDescent="0.45">
      <c r="B24" s="295" t="str">
        <f>IF($C24="","",Attendance!$C23)</f>
        <v/>
      </c>
      <c r="C24" s="295" t="str">
        <f>IF(Attendance!$D23="","",Attendance!$D23)</f>
        <v/>
      </c>
      <c r="D24" s="296" t="str">
        <f>IF($C24="","",IFERROR(Attendance!$GC23,""))</f>
        <v/>
      </c>
      <c r="E24" s="297" t="str">
        <f>IF($C24="","",IFERROR(Attendance!$GD23,""))</f>
        <v/>
      </c>
      <c r="F24" s="296" t="str">
        <f>IF($C24="","",IFERROR(Attendance!$GH23,""))</f>
        <v/>
      </c>
      <c r="G24" s="297" t="str">
        <f>IF($C24="","",IFERROR(Attendance!$GK23,""))</f>
        <v/>
      </c>
      <c r="H24" s="296" t="str">
        <f>IF($C24="","",IFERROR(Attendance!$GN23,""))</f>
        <v/>
      </c>
      <c r="I24" s="295" t="str">
        <f>IF($C24="","",IF($BT24&lt;&gt;"",$BT24,IF($AW24="","Not graded",IF(AND($AV24="Pre-season",N($AP24)&lt;'Pre season'!$AM$5),"Insufficient data",IF($AW24&gt;=3.5,"Match Ready",IF($AW24&gt;3,"Not Ready for 90 min",IF($AW24&gt;2.5,"Nearly Ready",IF($AW24&gt;2,"Improving",IF($AW24&gt;1.5,"Not Ready","Critical")))))))))</f>
        <v/>
      </c>
      <c r="J24" s="295" t="str">
        <f t="shared" si="0"/>
        <v/>
      </c>
      <c r="K24" s="295">
        <f>ROWS($K$6:$K24)</f>
        <v>19</v>
      </c>
      <c r="L24" s="295" t="str">
        <f>IFERROR(INDEX($C$6:$C$25,MATCH(LARGE($J$6:$J$25,ROWS($L$6:$L24)),$J$6:$J$25,0)),"")</f>
        <v/>
      </c>
      <c r="M24" s="296" t="str">
        <f>IFERROR(INDEX($H$6:$H$25,MATCH(LARGE($J$6:$J$25,ROWS($M$6:$M24)),$J$6:$J$25,0)),"")</f>
        <v/>
      </c>
      <c r="N24" s="295"/>
      <c r="O24" s="295" t="str">
        <f t="shared" si="1"/>
        <v/>
      </c>
      <c r="P24" s="297" t="str">
        <f t="shared" si="2"/>
        <v/>
      </c>
      <c r="Q24" s="297" t="str">
        <f t="shared" si="3"/>
        <v/>
      </c>
      <c r="R24" s="295"/>
      <c r="S24" s="295"/>
      <c r="T24" s="295"/>
      <c r="U24" s="295"/>
      <c r="V24" s="295"/>
      <c r="W24" s="295"/>
      <c r="X24" s="295">
        <v>19</v>
      </c>
      <c r="Y24" s="297" t="str">
        <f ca="1">IFERROR(IF($Y$2="","",AVERAGE(OFFSET(Attendance!$A$1,$Y$2-1,5+($X24-1)*4),OFFSET(Attendance!$A$1,$Y$2-1,7+($X24-1)*4))),"")</f>
        <v/>
      </c>
      <c r="Z24" s="297" t="str">
        <f ca="1">IFERROR(IF($Y$2="","",IF(LEN(OFFSET(Attendance!$A$1,$Y$2-1,95+($X24-1)*4))=0,"",OFFSET(Attendance!$A$1,$Y$2-1,95+($X24-1)*4))),"")</f>
        <v/>
      </c>
      <c r="AA24" s="295" t="str">
        <f t="shared" si="5"/>
        <v/>
      </c>
      <c r="AB24" s="295" t="str">
        <f>IFERROR(INDEX($C$6:$C$25,MATCH(ROWS($AB$6:$AB24),$AA$6:$AA$25,0)),"")</f>
        <v/>
      </c>
      <c r="AC24" s="295"/>
      <c r="AD24" s="295">
        <v>19</v>
      </c>
      <c r="AE24" s="298" t="str">
        <f t="array" ref="AE24">IF(LEN(INDEX(Attendance!$CP$2:$FY$2,1,($AD24-1)*4+1))=0,"",INDEX(Attendance!$CP$2:$FY$2,1,($AD24-1)*4+1))</f>
        <v/>
      </c>
      <c r="AF24" s="295" t="str">
        <f t="array" ref="AF24">IF(LEN(INDEX(Attendance!$CP$3:$FY$3,1,($AD24-1)*4+1))=0,"",INDEX(Attendance!$CP$3:$FY$3,1,($AD24-1)*4+1))</f>
        <v/>
      </c>
      <c r="AG24" s="295" t="str">
        <f t="array" ref="AG24">IF(LEN(INDEX(Attendance!$CP$3:$FY$3,1,($AD24-1)*4+4))=0,"",INDEX(Attendance!$CP$3:$FY$3,1,($AD24-1)*4+4))</f>
        <v/>
      </c>
      <c r="AH24" s="295" t="str">
        <f t="array" ref="AH24">IF(LEN(INDEX(Attendance!$CP$26:$FY$26,1,($AD24-1)*4+1))=0,"",INDEX(Attendance!$CP$26:$FY$26,1,($AD24-1)*4+1))</f>
        <v/>
      </c>
      <c r="AI24" s="295" t="str">
        <f t="array" ref="AI24">IF(LEN(INDEX(Attendance!$CP$27:$FY$27,1,($AD24-1)*4+1))=0,"",INDEX(Attendance!$CP$27:$FY$27,1,($AD24-1)*4+1))</f>
        <v/>
      </c>
      <c r="AJ24" s="295" t="str">
        <f t="array" ref="AJ24">IF(LEN(INDEX(Attendance!$CP$28:$FY$28,1,($AD24-1)*4+1))=0,"",INDEX(Attendance!$CP$28:$FY$28,1,($AD24-1)*4+1))</f>
        <v/>
      </c>
      <c r="AO24" t="str">
        <f t="shared" si="8"/>
        <v/>
      </c>
      <c r="AP24" s="299" t="str">
        <f>IF($AO24="","",IFERROR(INDEX('Pre season'!$AE$5:$AE$24,MATCH($AO24,'Pre season'!$AD$5:$AD$24,0)),""))</f>
        <v/>
      </c>
      <c r="AQ24" s="299" t="str">
        <f>IF($AO24="","",IFERROR(INDEX('Pre season'!$AF$5:$AF$24,MATCH($AO24,'Pre season'!$AD$5:$AD$24,0)),""))</f>
        <v/>
      </c>
      <c r="AR24" s="300" t="str">
        <f>IF($AO24="","",IFERROR(INDEX('Pre season'!$AG$5:$AG$24,MATCH($AO24,'Pre season'!$AD$5:$AD$24,0)),""))</f>
        <v/>
      </c>
      <c r="AS24" s="64" t="str">
        <f>IF($AO24="","",IFERROR(INDEX('Pre season'!$AK$5:$AK$24,MATCH($AO24,'Pre season'!$AD$5:$AD$24,0)),""))</f>
        <v/>
      </c>
      <c r="AT24" s="300" t="str">
        <f>IF($AO24="","",IFERROR(INDEX('Pre season'!$AJ$5:$AJ$24,MATCH($AO24,'Pre season'!$AD$5:$AD$24,0)),""))</f>
        <v/>
      </c>
      <c r="AU24" t="str">
        <f>IF($AO24="","",IF($AS24="","No pre-season data",IF(N($AP24)&lt;'Pre season'!$AM$5,"Insufficient data",IF($AS24&gt;=3.5,"Match Ready",IF($AS24&gt;3,"Not Ready for 90 min",IF($AS24&gt;2.5,"Nearly Ready",IF($AS24&gt;2,"Improving",IF($AS24&gt;1.5,"Not Ready","Critical"))))))))</f>
        <v/>
      </c>
      <c r="AV24" t="str">
        <f t="shared" si="9"/>
        <v/>
      </c>
      <c r="AW24" s="64" t="str">
        <f t="shared" si="10"/>
        <v/>
      </c>
      <c r="AX24" s="301" t="str">
        <f t="array" ref="AX24">IF($AO24="","",IF($AT24="","",SUMPRODUCT(($AT$6:$AT$25&lt;&gt;"")*($AT$6:$AT$25&gt;$AT24))+COUNTIF($AT$6:$AT24,$AT24)))</f>
        <v/>
      </c>
      <c r="BA24" t="str">
        <f t="shared" si="11"/>
        <v/>
      </c>
      <c r="BB24" s="302" t="str">
        <f t="array" ref="BB24">IF($BA24="","",IF(ActiveSrc="In-season",SUMPRODUCT((ATAtt="Att")*(ATDates&gt;WinEnd-WinDays)*(ATDates&lt;=WinEnd)*((Attendance!$E23:$CN23="Yes")+(Attendance!$E23:$CN23="No"))),SUMPRODUCT((PSAtt="Att")*(PSDates&gt;WinEnd-WinDays)*(PSDates&lt;=WinEnd)*(('Pre season'!$E23:$AB23="Yes")+('Pre season'!$E23:$AB23="No")))))</f>
        <v/>
      </c>
      <c r="BC24" s="302" t="str">
        <f t="array" ref="BC24">IF($BA24="","",IF(ActiveSrc="In-season",SUMPRODUCT((ATAtt="Att")*(ATDates&gt;WinEnd-WinDays)*(ATDates&lt;=WinEnd)*(Attendance!$E23:$CN23="Yes")),SUMPRODUCT((PSAtt="Att")*(PSDates&gt;WinEnd-WinDays)*(PSDates&lt;=WinEnd)*('Pre season'!$E23:$AB23="Yes"))))</f>
        <v/>
      </c>
      <c r="BD24" s="302" t="str">
        <f t="array" ref="BD24">IF($BA24="","",IF(ActiveSrc="In-season",SUMPRODUCT((ATWR="WR")*(ATDates&gt;WinEnd-WinDays)*(ATDates&lt;=WinEnd)*IF(ISNUMBER(Attendance!$F23:$CO23),Attendance!$F23:$CO23,0)),SUMPRODUCT((PSWR="WR")*(PSDates&gt;WinEnd-WinDays)*(PSDates&lt;=WinEnd)*IF(ISNUMBER('Pre season'!$F23:$AC23),'Pre season'!$F23:$AC23,0))))</f>
        <v/>
      </c>
      <c r="BE24" s="302" t="str">
        <f t="array" ref="BE24">IF($BA24="","",IF(ActiveSrc="In-season",SUMPRODUCT((ATWR="WR")*(ATDates&gt;WinEnd-WinDays)*(ATDates&lt;=WinEnd)*(IF(ISNUMBER(Attendance!$F23:$CO23),Attendance!$F23:$CO23,0)&gt;0)),SUMPRODUCT((PSWR="WR")*(PSDates&gt;WinEnd-WinDays)*(PSDates&lt;=WinEnd)*(IF(ISNUMBER('Pre season'!$F23:$AC23),'Pre season'!$F23:$AC23,0)&gt;0))))</f>
        <v/>
      </c>
      <c r="BF24" s="303" t="str">
        <f t="shared" si="12"/>
        <v/>
      </c>
      <c r="BG24" s="304" t="str">
        <f>IF($BA24="","",IF(N($BB24)=0,"",'Pre season'!$AM$2*($BC24/$BB24)+'Pre season'!$AM$3*(IF($BF24="",0,$BF24)/5)))</f>
        <v/>
      </c>
      <c r="BH24" s="302" t="str">
        <f t="array" ref="BH24">IF($BA24="","",IF($BG24="","",SUMPRODUCT(($BG$6:$BG$25&lt;&gt;"")*($BG$6:$BG$25&gt;$BG24))+COUNTIF($BG$6:$BG24,$BG24)))</f>
        <v/>
      </c>
      <c r="BJ24" t="str">
        <f t="shared" si="13"/>
        <v/>
      </c>
      <c r="BK24" s="304" t="str">
        <f>IF($BJ24="","",IF(OR(N(Attendance!$GB23)&gt;0,N(Attendance!$GF23)&gt;0),IFERROR(Attendance!$GN23,""),IFERROR($AT24,"")))</f>
        <v/>
      </c>
      <c r="BL24" s="305" t="str">
        <f>IF($BJ24="","",IF(OR(N(Attendance!$GB23)&gt;0,N(Attendance!$GF23)&gt;0),"In-season","Pre-season"))</f>
        <v/>
      </c>
      <c r="BM24" s="302" t="str">
        <f t="array" ref="BM24">IF($BJ24="","",IF($BK24="","",SUMPRODUCT(($BK$6:$BK$25&lt;&gt;"")*($BK$6:$BK$25&gt;$BK24))+COUNTIF($BK$6:$BK24,$BK24)))</f>
        <v/>
      </c>
      <c r="BS24" s="359" t="str">
        <f t="shared" si="15"/>
        <v/>
      </c>
      <c r="BT24" s="360"/>
      <c r="BU24" s="361"/>
    </row>
    <row r="25" spans="2:73" x14ac:dyDescent="0.45">
      <c r="B25" s="295" t="str">
        <f>IF($C25="","",Attendance!$C24)</f>
        <v/>
      </c>
      <c r="C25" s="295" t="str">
        <f>IF(Attendance!$D24="","",Attendance!$D24)</f>
        <v/>
      </c>
      <c r="D25" s="296" t="str">
        <f>IF($C25="","",IFERROR(Attendance!$GC24,""))</f>
        <v/>
      </c>
      <c r="E25" s="297" t="str">
        <f>IF($C25="","",IFERROR(Attendance!$GD24,""))</f>
        <v/>
      </c>
      <c r="F25" s="296" t="str">
        <f>IF($C25="","",IFERROR(Attendance!$GH24,""))</f>
        <v/>
      </c>
      <c r="G25" s="297" t="str">
        <f>IF($C25="","",IFERROR(Attendance!$GK24,""))</f>
        <v/>
      </c>
      <c r="H25" s="296" t="str">
        <f>IF($C25="","",IFERROR(Attendance!$GN24,""))</f>
        <v/>
      </c>
      <c r="I25" s="295" t="str">
        <f>IF($C25="","",IF($BT25&lt;&gt;"",$BT25,IF($AW25="","Not graded",IF(AND($AV25="Pre-season",N($AP25)&lt;'Pre season'!$AM$5),"Insufficient data",IF($AW25&gt;=3.5,"Match Ready",IF($AW25&gt;3,"Not Ready for 90 min",IF($AW25&gt;2.5,"Nearly Ready",IF($AW25&gt;2,"Improving",IF($AW25&gt;1.5,"Not Ready","Critical")))))))))</f>
        <v/>
      </c>
      <c r="J25" s="295" t="str">
        <f t="shared" si="0"/>
        <v/>
      </c>
      <c r="K25" s="295">
        <f>ROWS($K$6:$K25)</f>
        <v>20</v>
      </c>
      <c r="L25" s="295" t="str">
        <f>IFERROR(INDEX($C$6:$C$25,MATCH(LARGE($J$6:$J$25,ROWS($L$6:$L25)),$J$6:$J$25,0)),"")</f>
        <v/>
      </c>
      <c r="M25" s="296" t="str">
        <f>IFERROR(INDEX($H$6:$H$25,MATCH(LARGE($J$6:$J$25,ROWS($M$6:$M25)),$J$6:$J$25,0)),"")</f>
        <v/>
      </c>
      <c r="N25" s="295"/>
      <c r="O25" s="295" t="str">
        <f t="shared" si="1"/>
        <v/>
      </c>
      <c r="P25" s="297" t="str">
        <f t="shared" si="2"/>
        <v/>
      </c>
      <c r="Q25" s="297" t="str">
        <f t="shared" si="3"/>
        <v/>
      </c>
      <c r="R25" s="295"/>
      <c r="S25" s="295"/>
      <c r="T25" s="295"/>
      <c r="U25" s="295"/>
      <c r="V25" s="295"/>
      <c r="W25" s="295"/>
      <c r="X25" s="295">
        <v>20</v>
      </c>
      <c r="Y25" s="297" t="str">
        <f ca="1">IFERROR(IF($Y$2="","",AVERAGE(OFFSET(Attendance!$A$1,$Y$2-1,5+($X25-1)*4),OFFSET(Attendance!$A$1,$Y$2-1,7+($X25-1)*4))),"")</f>
        <v/>
      </c>
      <c r="Z25" s="297" t="str">
        <f ca="1">IFERROR(IF($Y$2="","",IF(LEN(OFFSET(Attendance!$A$1,$Y$2-1,95+($X25-1)*4))=0,"",OFFSET(Attendance!$A$1,$Y$2-1,95+($X25-1)*4))),"")</f>
        <v/>
      </c>
      <c r="AA25" s="295" t="str">
        <f t="shared" si="5"/>
        <v/>
      </c>
      <c r="AB25" s="295" t="str">
        <f>IFERROR(INDEX($C$6:$C$25,MATCH(ROWS($AB$6:$AB25),$AA$6:$AA$25,0)),"")</f>
        <v/>
      </c>
      <c r="AC25" s="295"/>
      <c r="AD25" s="295">
        <v>20</v>
      </c>
      <c r="AE25" s="298" t="str">
        <f t="array" ref="AE25">IF(LEN(INDEX(Attendance!$CP$2:$FY$2,1,($AD25-1)*4+1))=0,"",INDEX(Attendance!$CP$2:$FY$2,1,($AD25-1)*4+1))</f>
        <v/>
      </c>
      <c r="AF25" s="295" t="str">
        <f t="array" ref="AF25">IF(LEN(INDEX(Attendance!$CP$3:$FY$3,1,($AD25-1)*4+1))=0,"",INDEX(Attendance!$CP$3:$FY$3,1,($AD25-1)*4+1))</f>
        <v/>
      </c>
      <c r="AG25" s="295" t="str">
        <f t="array" ref="AG25">IF(LEN(INDEX(Attendance!$CP$3:$FY$3,1,($AD25-1)*4+4))=0,"",INDEX(Attendance!$CP$3:$FY$3,1,($AD25-1)*4+4))</f>
        <v/>
      </c>
      <c r="AH25" s="295" t="str">
        <f t="array" ref="AH25">IF(LEN(INDEX(Attendance!$CP$26:$FY$26,1,($AD25-1)*4+1))=0,"",INDEX(Attendance!$CP$26:$FY$26,1,($AD25-1)*4+1))</f>
        <v/>
      </c>
      <c r="AI25" s="295" t="str">
        <f t="array" ref="AI25">IF(LEN(INDEX(Attendance!$CP$27:$FY$27,1,($AD25-1)*4+1))=0,"",INDEX(Attendance!$CP$27:$FY$27,1,($AD25-1)*4+1))</f>
        <v/>
      </c>
      <c r="AJ25" s="295" t="str">
        <f t="array" ref="AJ25">IF(LEN(INDEX(Attendance!$CP$28:$FY$28,1,($AD25-1)*4+1))=0,"",INDEX(Attendance!$CP$28:$FY$28,1,($AD25-1)*4+1))</f>
        <v/>
      </c>
      <c r="AO25" t="str">
        <f t="shared" si="8"/>
        <v/>
      </c>
      <c r="AP25" s="299" t="str">
        <f>IF($AO25="","",IFERROR(INDEX('Pre season'!$AE$5:$AE$24,MATCH($AO25,'Pre season'!$AD$5:$AD$24,0)),""))</f>
        <v/>
      </c>
      <c r="AQ25" s="299" t="str">
        <f>IF($AO25="","",IFERROR(INDEX('Pre season'!$AF$5:$AF$24,MATCH($AO25,'Pre season'!$AD$5:$AD$24,0)),""))</f>
        <v/>
      </c>
      <c r="AR25" s="300" t="str">
        <f>IF($AO25="","",IFERROR(INDEX('Pre season'!$AG$5:$AG$24,MATCH($AO25,'Pre season'!$AD$5:$AD$24,0)),""))</f>
        <v/>
      </c>
      <c r="AS25" s="64" t="str">
        <f>IF($AO25="","",IFERROR(INDEX('Pre season'!$AK$5:$AK$24,MATCH($AO25,'Pre season'!$AD$5:$AD$24,0)),""))</f>
        <v/>
      </c>
      <c r="AT25" s="300" t="str">
        <f>IF($AO25="","",IFERROR(INDEX('Pre season'!$AJ$5:$AJ$24,MATCH($AO25,'Pre season'!$AD$5:$AD$24,0)),""))</f>
        <v/>
      </c>
      <c r="AU25" t="str">
        <f>IF($AO25="","",IF($AS25="","No pre-season data",IF(N($AP25)&lt;'Pre season'!$AM$5,"Insufficient data",IF($AS25&gt;=3.5,"Match Ready",IF($AS25&gt;3,"Not Ready for 90 min",IF($AS25&gt;2.5,"Nearly Ready",IF($AS25&gt;2,"Improving",IF($AS25&gt;1.5,"Not Ready","Critical"))))))))</f>
        <v/>
      </c>
      <c r="AV25" t="str">
        <f t="shared" si="9"/>
        <v/>
      </c>
      <c r="AW25" s="64" t="str">
        <f t="shared" si="10"/>
        <v/>
      </c>
      <c r="AX25" s="301" t="str">
        <f t="array" ref="AX25">IF($AO25="","",IF($AT25="","",SUMPRODUCT(($AT$6:$AT$25&lt;&gt;"")*($AT$6:$AT$25&gt;$AT25))+COUNTIF($AT$6:$AT25,$AT25)))</f>
        <v/>
      </c>
      <c r="BA25" t="str">
        <f t="shared" si="11"/>
        <v/>
      </c>
      <c r="BB25" s="302" t="str">
        <f t="array" ref="BB25">IF($BA25="","",IF(ActiveSrc="In-season",SUMPRODUCT((ATAtt="Att")*(ATDates&gt;WinEnd-WinDays)*(ATDates&lt;=WinEnd)*((Attendance!$E24:$CN24="Yes")+(Attendance!$E24:$CN24="No"))),SUMPRODUCT((PSAtt="Att")*(PSDates&gt;WinEnd-WinDays)*(PSDates&lt;=WinEnd)*(('Pre season'!$E24:$AB24="Yes")+('Pre season'!$E24:$AB24="No")))))</f>
        <v/>
      </c>
      <c r="BC25" s="302" t="str">
        <f t="array" ref="BC25">IF($BA25="","",IF(ActiveSrc="In-season",SUMPRODUCT((ATAtt="Att")*(ATDates&gt;WinEnd-WinDays)*(ATDates&lt;=WinEnd)*(Attendance!$E24:$CN24="Yes")),SUMPRODUCT((PSAtt="Att")*(PSDates&gt;WinEnd-WinDays)*(PSDates&lt;=WinEnd)*('Pre season'!$E24:$AB24="Yes"))))</f>
        <v/>
      </c>
      <c r="BD25" s="302" t="str">
        <f t="array" ref="BD25">IF($BA25="","",IF(ActiveSrc="In-season",SUMPRODUCT((ATWR="WR")*(ATDates&gt;WinEnd-WinDays)*(ATDates&lt;=WinEnd)*IF(ISNUMBER(Attendance!$F24:$CO24),Attendance!$F24:$CO24,0)),SUMPRODUCT((PSWR="WR")*(PSDates&gt;WinEnd-WinDays)*(PSDates&lt;=WinEnd)*IF(ISNUMBER('Pre season'!$F24:$AC24),'Pre season'!$F24:$AC24,0))))</f>
        <v/>
      </c>
      <c r="BE25" s="302" t="str">
        <f t="array" ref="BE25">IF($BA25="","",IF(ActiveSrc="In-season",SUMPRODUCT((ATWR="WR")*(ATDates&gt;WinEnd-WinDays)*(ATDates&lt;=WinEnd)*(IF(ISNUMBER(Attendance!$F24:$CO24),Attendance!$F24:$CO24,0)&gt;0)),SUMPRODUCT((PSWR="WR")*(PSDates&gt;WinEnd-WinDays)*(PSDates&lt;=WinEnd)*(IF(ISNUMBER('Pre season'!$F24:$AC24),'Pre season'!$F24:$AC24,0)&gt;0))))</f>
        <v/>
      </c>
      <c r="BF25" s="303" t="str">
        <f t="shared" si="12"/>
        <v/>
      </c>
      <c r="BG25" s="304" t="str">
        <f>IF($BA25="","",IF(N($BB25)=0,"",'Pre season'!$AM$2*($BC25/$BB25)+'Pre season'!$AM$3*(IF($BF25="",0,$BF25)/5)))</f>
        <v/>
      </c>
      <c r="BH25" s="302" t="str">
        <f t="array" ref="BH25">IF($BA25="","",IF($BG25="","",SUMPRODUCT(($BG$6:$BG$25&lt;&gt;"")*($BG$6:$BG$25&gt;$BG25))+COUNTIF($BG$6:$BG25,$BG25)))</f>
        <v/>
      </c>
      <c r="BJ25" t="str">
        <f t="shared" si="13"/>
        <v/>
      </c>
      <c r="BK25" s="304" t="str">
        <f>IF($BJ25="","",IF(OR(N(Attendance!$GB24)&gt;0,N(Attendance!$GF24)&gt;0),IFERROR(Attendance!$GN24,""),IFERROR($AT25,"")))</f>
        <v/>
      </c>
      <c r="BL25" s="305" t="str">
        <f>IF($BJ25="","",IF(OR(N(Attendance!$GB24)&gt;0,N(Attendance!$GF24)&gt;0),"In-season","Pre-season"))</f>
        <v/>
      </c>
      <c r="BM25" s="302" t="str">
        <f t="array" ref="BM25">IF($BJ25="","",IF($BK25="","",SUMPRODUCT(($BK$6:$BK$25&lt;&gt;"")*($BK$6:$BK$25&gt;$BK25))+COUNTIF($BK$6:$BK25,$BK25)))</f>
        <v/>
      </c>
      <c r="BS25" s="359" t="str">
        <f t="shared" si="15"/>
        <v/>
      </c>
      <c r="BT25" s="360"/>
      <c r="BU25" s="361"/>
    </row>
    <row r="26" spans="2:73" x14ac:dyDescent="0.45">
      <c r="B26" s="295"/>
      <c r="C26" s="295"/>
      <c r="D26" s="295"/>
      <c r="E26" s="295"/>
      <c r="F26" s="295"/>
      <c r="G26" s="295"/>
      <c r="H26" s="295"/>
      <c r="I26" s="295"/>
      <c r="J26" s="295"/>
      <c r="K26" s="295"/>
      <c r="L26" s="295"/>
      <c r="M26" s="295"/>
      <c r="N26" s="295"/>
      <c r="O26" s="295"/>
      <c r="P26" s="295"/>
      <c r="Q26" s="295"/>
      <c r="R26" s="295"/>
      <c r="S26" s="295"/>
      <c r="T26" s="295"/>
      <c r="U26" s="295"/>
      <c r="V26" s="295"/>
      <c r="W26" s="295"/>
      <c r="X26" s="295">
        <v>21</v>
      </c>
      <c r="Y26" s="297" t="str">
        <f ca="1">IFERROR(IF($Y$2="","",AVERAGE(OFFSET(Attendance!$A$1,$Y$2-1,5+($X26-1)*4),OFFSET(Attendance!$A$1,$Y$2-1,7+($X26-1)*4))),"")</f>
        <v/>
      </c>
      <c r="Z26" s="297" t="str">
        <f ca="1">IFERROR(IF($Y$2="","",IF(LEN(OFFSET(Attendance!$A$1,$Y$2-1,95+($X26-1)*4))=0,"",OFFSET(Attendance!$A$1,$Y$2-1,95+($X26-1)*4))),"")</f>
        <v/>
      </c>
      <c r="AA26" s="295"/>
      <c r="AB26" s="295"/>
      <c r="AC26" s="295"/>
      <c r="AD26" s="295">
        <v>21</v>
      </c>
      <c r="AE26" s="298" t="str">
        <f t="array" ref="AE26">IF(LEN(INDEX(Attendance!$CP$2:$FY$2,1,($AD26-1)*4+1))=0,"",INDEX(Attendance!$CP$2:$FY$2,1,($AD26-1)*4+1))</f>
        <v/>
      </c>
      <c r="AF26" s="295" t="str">
        <f t="array" ref="AF26">IF(LEN(INDEX(Attendance!$CP$3:$FY$3,1,($AD26-1)*4+1))=0,"",INDEX(Attendance!$CP$3:$FY$3,1,($AD26-1)*4+1))</f>
        <v/>
      </c>
      <c r="AG26" s="295" t="str">
        <f t="array" ref="AG26">IF(LEN(INDEX(Attendance!$CP$3:$FY$3,1,($AD26-1)*4+4))=0,"",INDEX(Attendance!$CP$3:$FY$3,1,($AD26-1)*4+4))</f>
        <v/>
      </c>
      <c r="AH26" s="295" t="str">
        <f t="array" ref="AH26">IF(LEN(INDEX(Attendance!$CP$26:$FY$26,1,($AD26-1)*4+1))=0,"",INDEX(Attendance!$CP$26:$FY$26,1,($AD26-1)*4+1))</f>
        <v/>
      </c>
      <c r="AI26" s="295" t="str">
        <f t="array" ref="AI26">IF(LEN(INDEX(Attendance!$CP$27:$FY$27,1,($AD26-1)*4+1))=0,"",INDEX(Attendance!$CP$27:$FY$27,1,($AD26-1)*4+1))</f>
        <v/>
      </c>
      <c r="AJ26" s="295" t="str">
        <f t="array" ref="AJ26">IF(LEN(INDEX(Attendance!$CP$28:$FY$28,1,($AD26-1)*4+1))=0,"",INDEX(Attendance!$CP$28:$FY$28,1,($AD26-1)*4+1))</f>
        <v/>
      </c>
    </row>
    <row r="27" spans="2:73" x14ac:dyDescent="0.45">
      <c r="B27" s="295"/>
      <c r="C27" s="295"/>
      <c r="D27" s="295"/>
      <c r="E27" s="295"/>
      <c r="F27" s="295"/>
      <c r="G27" s="295"/>
      <c r="H27" s="295"/>
      <c r="I27" s="295"/>
      <c r="J27" s="295"/>
      <c r="K27" s="295"/>
      <c r="L27" s="295"/>
      <c r="M27" s="295"/>
      <c r="N27" s="295"/>
      <c r="O27" s="295"/>
      <c r="P27" s="295"/>
      <c r="Q27" s="295"/>
      <c r="R27" s="295"/>
      <c r="S27" s="295"/>
      <c r="T27" s="295"/>
      <c r="U27" s="295"/>
      <c r="V27" s="295"/>
      <c r="W27" s="295"/>
      <c r="X27" s="295">
        <v>22</v>
      </c>
      <c r="Y27" s="297" t="str">
        <f ca="1">IFERROR(IF($Y$2="","",AVERAGE(OFFSET(Attendance!$A$1,$Y$2-1,5+($X27-1)*4),OFFSET(Attendance!$A$1,$Y$2-1,7+($X27-1)*4))),"")</f>
        <v/>
      </c>
      <c r="Z27" s="297" t="str">
        <f ca="1">IFERROR(IF($Y$2="","",IF(LEN(OFFSET(Attendance!$A$1,$Y$2-1,95+($X27-1)*4))=0,"",OFFSET(Attendance!$A$1,$Y$2-1,95+($X27-1)*4))),"")</f>
        <v/>
      </c>
      <c r="AA27" s="295"/>
      <c r="AB27" s="295"/>
      <c r="AC27" s="295"/>
      <c r="AD27" s="295">
        <v>22</v>
      </c>
      <c r="AE27" s="298" t="str">
        <f t="array" ref="AE27">IF(LEN(INDEX(Attendance!$CP$2:$FY$2,1,($AD27-1)*4+1))=0,"",INDEX(Attendance!$CP$2:$FY$2,1,($AD27-1)*4+1))</f>
        <v/>
      </c>
      <c r="AF27" s="295" t="str">
        <f t="array" ref="AF27">IF(LEN(INDEX(Attendance!$CP$3:$FY$3,1,($AD27-1)*4+1))=0,"",INDEX(Attendance!$CP$3:$FY$3,1,($AD27-1)*4+1))</f>
        <v/>
      </c>
      <c r="AG27" s="295" t="str">
        <f t="array" ref="AG27">IF(LEN(INDEX(Attendance!$CP$3:$FY$3,1,($AD27-1)*4+4))=0,"",INDEX(Attendance!$CP$3:$FY$3,1,($AD27-1)*4+4))</f>
        <v/>
      </c>
      <c r="AH27" s="295" t="str">
        <f t="array" ref="AH27">IF(LEN(INDEX(Attendance!$CP$26:$FY$26,1,($AD27-1)*4+1))=0,"",INDEX(Attendance!$CP$26:$FY$26,1,($AD27-1)*4+1))</f>
        <v/>
      </c>
      <c r="AI27" s="295" t="str">
        <f t="array" ref="AI27">IF(LEN(INDEX(Attendance!$CP$27:$FY$27,1,($AD27-1)*4+1))=0,"",INDEX(Attendance!$CP$27:$FY$27,1,($AD27-1)*4+1))</f>
        <v/>
      </c>
      <c r="AJ27" s="295" t="str">
        <f t="array" ref="AJ27">IF(LEN(INDEX(Attendance!$CP$28:$FY$28,1,($AD27-1)*4+1))=0,"",INDEX(Attendance!$CP$28:$FY$28,1,($AD27-1)*4+1))</f>
        <v/>
      </c>
    </row>
  </sheetData>
  <mergeCells count="8">
    <mergeCell ref="S4:V4"/>
    <mergeCell ref="X4:Z4"/>
    <mergeCell ref="AD4:AJ4"/>
    <mergeCell ref="B2:F2"/>
    <mergeCell ref="B3:H3"/>
    <mergeCell ref="B4:J4"/>
    <mergeCell ref="K4:M4"/>
    <mergeCell ref="O4:Q4"/>
  </mergeCells>
  <dataValidations count="1">
    <dataValidation type="list" allowBlank="1" showInputMessage="1" showErrorMessage="1" sqref="BT6:BT25" xr:uid="{6AD89FC9-6012-46AB-A688-5B2254E4ED07}">
      <formula1>$S$6:$S$11</formula1>
    </dataValidation>
  </dataValidations>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A63"/>
  <sheetViews>
    <sheetView topLeftCell="G1" zoomScaleNormal="100" workbookViewId="0">
      <pane ySplit="6" topLeftCell="A19" activePane="bottomLeft" state="frozen"/>
      <selection pane="bottomLeft" activeCell="H8" sqref="H8:H14"/>
    </sheetView>
  </sheetViews>
  <sheetFormatPr defaultColWidth="8.53125" defaultRowHeight="14.25" x14ac:dyDescent="0.45"/>
  <cols>
    <col min="1" max="1" width="46.19921875" customWidth="1"/>
    <col min="2" max="2" width="28.46484375" customWidth="1"/>
    <col min="3" max="4" width="17.796875" customWidth="1"/>
    <col min="5" max="6" width="9.796875" customWidth="1"/>
    <col min="7" max="26" width="16" customWidth="1"/>
  </cols>
  <sheetData>
    <row r="2" spans="1:8" ht="18" customHeight="1" x14ac:dyDescent="0.55000000000000004">
      <c r="A2" s="3" t="s">
        <v>406</v>
      </c>
    </row>
    <row r="3" spans="1:8" x14ac:dyDescent="0.45">
      <c r="A3" s="2" t="str">
        <f ca="1">"Copy cell A4 (minified JSON) into the website while it fits — cell E9 tells you. Once it says 'Split needed', copy Parts 1-5 from C4:C8 instead and paste them end-to-end. Re-copy after ANY data change. Last built: "&amp;TEXT(NOW(),"dd-mmm-yyyy hh:mm")</f>
        <v>Copy cell A4 (minified JSON) into the website while it fits — cell E9 tells you. Once it says 'Split needed', copy Parts 1-5 from C4:C8 instead and paste them end-to-end. Re-copy after ANY data change. Last built: 31-Aug-2026 13:33</v>
      </c>
      <c r="B3" s="529" t="s">
        <v>626</v>
      </c>
      <c r="D3" s="293" t="s">
        <v>632</v>
      </c>
      <c r="E3" s="293" t="s">
        <v>316</v>
      </c>
      <c r="H3" s="306" t="s">
        <v>407</v>
      </c>
    </row>
    <row r="4" spans="1:8" x14ac:dyDescent="0.45">
      <c r="A4" s="307" t="str">
        <f ca="1">IF($D$9&gt;32767,"⚠ EXPORT NO LONGER FITS IN ONE CELL ("&amp;TEXT($D$9,"#,##0")&amp;" chars vs 32,767 limit). Copy Parts 1-5 from C4:C8 instead and paste them end-to-end.","{"&amp;$H$4&amp;","&amp;$H$5&amp;","&amp;$H$6&amp;","&amp;$H$7&amp;","&amp;$H$8&amp;","&amp;$H$9&amp;","&amp;$H$10&amp;","&amp;$H$11&amp;","&amp;$H$12&amp;","&amp;$H$13&amp;"}")</f>
        <v>{"meta":{"title":"Lucan Utd Youths — Girls Youth 2026/2027 League Season","squad":"Girls Youth","generated":"2026-08-31 13:33","arrayKeys":{"session":["att","wr"],"match":["att","mins","rating","motm"]},"weightings":{"trainingAttendance":0.25,"workRate":0.35,"matchdayAttendance":0.15,"matchRating":0.25}},"squadSummary":{"players":18,"sessionsHeld":1,"matchesPlayed":1,"record":{"w":1,"d":0,"l":0},"avgTrainingAttendance":0.7963,"avgWorkRate":3.11,"avgMatchdayAttendance":0,"avgMatchRating":7.78,"seasonScore":0.6548},"ragBands":[{"band":"Critical","from":0,"to":1.5,"players":0},{"band":"Not Ready","from":1.51,"to":2,"players":0},{"band":"Improving","from":2.01,"to":2.5,"players":0},{"band":"Nearly Ready","from":2.51,"to":3,"players":9},{"band":"Not Ready for 90 min","from":3.01,"to":3.49,"players":6},{"band":"Match Ready","from":3.5,"to":5,"players":1}],"sessions":[{"index":1,"gw":1,"date":"2026-08-25"}],"fixtures":[{"gw":1,"date":"2026-08-30","opponent":"Stamullen FC","venue":"A","gf":9,"ga":1,"result":"W"}],"players":[{"number":1,"name":"Aoife Kennan","position":"GK","availability":"Yes","unavailableReason":"","trainingAttendancePct":1,"avgWorkRate":3,"matchdayAttendancePct":0,"minutes":0,"avgMinutes":0,"avgRating":6.5,"motm":0,"seasonScore":0.7667,"comment":"","toWorkOn":"","sessions":[[1,3],[1,3],[1,3]],"matches":[[-1,0,6.5,0]]},{"number":2,"name":"Stella McEvoy","position":"LB / RB / CB","availability":"Yes","unavailableReason":"","trainingAttendancePct":1,"avgWorkRate":3,"matchdayAttendancePct":0,"minutes":0,"avgMinutes":0,"avgRating":7.5,"motm":0,"seasonScore":0.7667,"comment":"","toWorkOn":"","sessions":[[1,3],[1,3],[1,3]],"matches":[[-1,0,7.5,0]]},{"number":3,"name":"Zara Power","position":"RB","availability":"No","unavailableReason":"Injured - Ankle injury - 6 week recovery plan (back 2 Oct)","trainingAttendancePct":0,"avgWorkRate":0,"matchdayAttendancePct":0,"minutes":0,"avgMinutes":0,"avgRating":0,"motm":0,"seasonScore":0,"comment":"","toWorkOn":"","sessions":[[0,0],[0,0],[0,0]],"matches":[[-1,0,0,0]]},{"number":4,"name":"Heidi Cerubini Dunne","position":"LB / RB","availability":"Yes","unavailableReason":"","trainingAttendancePct":0,"avgWorkRate":0,"matchdayAttendancePct":0,"minutes":0,"avgMinutes":0,"avgRating":0,"motm":0,"seasonScore":0,"comment":"","toWorkOn":"","sessions":[[0,0],[0,0],[0,0]],"matches":[[-1,0,0,0]]},{"number":5,"name":"Roisin Offenhausen","position":"RW / CM / ST","availability":"Yes","unavailableReason":"","trainingAttendancePct":1,"avgWorkRate":3.67,"matchdayAttendancePct":0,"minutes":0,"avgMinutes":0,"avgRating":10,"motm":1,"seasonScore":0.8444,"comment":"","toWorkOn":"","sessions":[[1,3],[1,3],[1,5]],"matches":[[-1,0,10,1]]},{"number":6,"name":"Naomi Adewoyin","position":"CM / ACM","availability":"Yes","unavailableReason":"","trainingAttendancePct":1,"avgWorkRate":3,"matchdayAttendancePct":0,"minutes":0,"avgMinutes":0,"avgRating":7.5,"motm":0,"seasonScore":0.7667,"comment":"","toWorkOn":"","sessions":[[1,3],[1,3],[1,3]],"matches":[[-1,0,7.5,0]]},{"number":7,"name":"Amber Kilalee","position":"LW / ST","availability":"Yes","unavailableReason":"","trainingAttendancePct":1,"avgWorkRate":3,"matchdayAttendancePct":0,"minutes":0,"avgMinutes":0,"avgRating":7.5,"motm":0,"seasonScore":0.7667,"comment":"","toWorkOn":"","sessions":[[1,3],[1,3],[1,3]],"matches":[[-1,0,7.5,0]]},{"number":8,"name":"Shauna Kavanagh","position":"ST / RW","availability":"Yes","unavailableReason":"","trainingAttendancePct":1,"avgWorkRate":2.67,"matchdayAttendancePct":0,"minutes":0,"avgMinutes":0,"avgRating":7.5,"motm":0,"seasonScore":0.7278,"comment":"","toWorkOn":"","sessions":[[1,2],[1,3],[1,3]],"matches":[[-1,0,7.5,0]]},{"number":9,"name":"Tara Brannigan","position":"DM / CM","availability":"Yes","unavailableReason":"","trainingAttendancePct":1,"avgWorkRate":3,"matchdayAttendancePct":0,"minutes":0,"avgMinutes":0,"avgRating":8,"motm":0,"seasonScore":0.7667,"comment":"","toWorkOn":"","sessions":[[1,3],[1,3],[1,3]],"matches":[[-1,0,8,0]]},{"number":10,"name":"Semilore Adesanya","position":"CB / CM","availability":"Yes","unavailableReason":"","trainingAttendancePct":0.6667,"avgWorkRate":3.5,"matchdayAttendancePct":0,"minutes":0,"avgMinutes":0,"avgRating":8.5,"motm":0,"seasonScore":0.6861,"comment":"","toWorkOn":"","sessions":[[1,3],[0,0],[1,4]],"matches":[[-1,0,8.5,0]]},{"number":11,"name":"Hannah Fleming","position":"LB / LW","availability":"Yes","unavailableReason":"","trainingAttendancePct":1,"avgWorkRate":3,"matchdayAttendancePct":0,"minutes":0,"avgMinutes":0,"avgRating":8,"motm":0,"seasonScore":0.7667,"comment":"","toWorkOn":"","sessions":[[1,3],[1,3],[1,3]],"matches":[[-1,0,8,0]]},{"number":12,"name":"Emma Kelly","position":"CB","availability":"Yes","unavailableReason":"","trainingAttendancePct":0.3333,"avgWorkRate":4,"matchdayAttendancePct":0,"minutes":0,"avgMinutes":0,"avgRating":8,"motm":0,"seasonScore":0.6056,"comment":"","toWorkOn":"","sessions":[[0,0],[0,0],[1,4]],"matches":[[-1,0,8,0]]},{"number":13,"name":"Roma Memon","position":"DM / CM","availability":"Yes","unavailableReason":"","trainingAttendancePct":0.6667,"avgWorkRate":3,"matchdayAttendancePct":0,"minutes":0,"avgMinutes":0,"avgRating":6.5,"motm":0,"seasonScore":0.6278,"comment":"","toWorkOn":"","sessions":[[1,3],[0,0],[1,3]],"matches":[[-1,0,6.5,0]]},{"number":14,"name":"Emma Dromgoole","position":"RW / ST","availability":"No","unavailableReason":"Injured - Knee injury  (back 28 Aug)","trainingAttendancePct":1,"avgWorkRate":3,"matchdayAttendancePct":0,"minutes":0,"avgMinutes":0,"avgRating":6.5,"motm":0,"seasonScore":0.7667,"comment":"","toWorkOn":"","sessions":[[1,3],[1,3],[1,3]],"matches":[[-1,0,6.5,0]]},{"number":15,"name":"Elsie Morrison","position":"LW / ST / GK","availability":"Yes","unavailableReason":"","trainingAttendancePct":1,"avgWorkRate":3,"matchdayAttendancePct":0,"minutes":0,"avgMinutes":0,"avgRating":8,"motm":0,"seasonScore":0.7667,"comment":"","toWorkOn":"","sessions":[[1,2],[1,3],[1,4]],"matches":[[-1,0,8,0]]},{"number":16,"name":"Zara Freeman","position":"ST ","availability":"Yes","unavailableReason":"","trainingAttendancePct":0.6667,"avgWorkRate":3,"matchdayAttendancePct":0,"minutes":0,"avgMinutes":0,"avgRating":8.5,"motm":0,"seasonScore":0.6278,"comment":"","toWorkOn":"","sessions":[[0,0],[1,3],[1,3]],"matches":[[-1,0,8.5,0]]},{"number":17,"name":"Mariana Soares","position":"RB / CB","availability":"Yes","unavailableReason":"","trainingAttendancePct":1,"avgWorkRate":3,"matchdayAttendancePct":0,"minutes":0,"avgMinutes":0,"avgRating":7.5,"motm":0,"seasonScore":0.7667,"comment":"","toWorkOn":"","sessions":[[1,3],[1,3],[1,3]],"matches":[[-1,0,7.5,0]]},{"number":18,"name":"Rama Abuowda","position":"RW / ST / LW","availability":"Yes","unavailableReason":"","trainingAttendancePct":1,"avgWorkRate":3,"matchdayAttendancePct":0,"minutes":0,"avgMinutes":0,"avgRating":8.5,"motm":0,"seasonScore":0.7667,"comment":"","toWorkOn":"","sessions":[[1,3],[1,3],[1,3]],"matches":[[-1,0,8.5,0]]}],"teamSelection":{"formation":"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Aug)"}],"unavailable":[{"player":"Zara Power","reason":"Injured - Ankle injury - 6 week recovery plan (back 2 Oct)"},{"player":"Emma Dromgoole","reason":"Injured - Knee injury  (back 28 Aug)"}],"formations":{"3-5-2":{"startingXI":[{"slot":1,"position":"GK","player":"Elsie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Aug)"}]},"4-3-3":{"startingXI":[{"slot":1,"position":"GK","player":"Elsie Morrison","fitScore":10.94,"seasonScore":0.7667,"overallGrade":10.51},{"slot":2,"position":"RB","player":"Stella McEvoy","fitScore":12.67,"seasonScore":0.7667,"overallGrade":11.14},{"slot":3,"position":"CB","player":"Emma Kelly","fitScore":15.92,"seasonScore":0.6056,"overallGrade":13.73},{"slot":4,"position":"CB","player":"Semilore Adesanya","fitScore":14.69,"seasonScore":0.6861,"overallGrade":12.76},{"slot":5,"position":"LB","player":"Hannah Fleming","fitScore":13.13,"seasonScore":0.7667,"overallGrade":12.22},{"slot":6,"position":"DM","player":"Tara Brannigan","fitScore":13.53,"seasonScore":0.7667,"overallGrade":11.73},{"slot":7,"position":"CM","player":"Roisin Offenhausen","fitScore":12.93,"seasonScore":0.8444,"overallGrade":11.97},{"slot":8,"position":"ACM","player":"Naomi Adewoyin","fitScore":11.97,"seasonScore":0.7667,"overallGrade":10.99},{"slot":9,"position":"RW","player":"Rama Abuowda","fitScore":14.53,"seasonScore":0.7667,"overallGrade":13.63},{"slot":10,"position":"ST","player":"Zara Freeman","fitScore":12.86,"seasonScore":0.6278,"overallGrade":11.86},{"slot":11,"position":"LW","player":"Amber Kilalee","fitScore":9.73,"seasonScore":0.7667,"overallGrade":9.01}],"notSelected":[{"player":"Aoife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Aug)"},{"player":"Mariana Soares","position":"RB / CB","overallGrade":10.49,"seasonScore":0.7667,"status":"Available"}]}}},"matchReports":[{"gw":1,"date":"2026-08-30","opponent":"Stamullen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used","pos":"ACM","pos2":"LW","goals":0,"assists":2,"rating":7.5}],"matchNotes":"","keyNotes":""}],"preSeason":{"sessionsHeld":11,"squadAttendancePct":0.5775,"squadAvgWorkRate":3.14,"matchReady":4,"players":[{"name":"Aoife Kennan","rank":5,"sessionsAttended":8,"sessionsHeld":11,"attendancePct":0.7273,"avgWorkRate":2.88,"gradePct":0.6255,"readinessBand":"Nearly Ready"},{"name":"Stella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Adewoyin","rank":7,"sessionsAttended":7,"sessionsHeld":11,"attendancePct":0.6364,"avgWorkRate":3.43,"gradePct":0.6036,"readinessBand":"Not Ready for 90 min"},{"name":"Amber Kilalee","rank":11,"sessionsAttended":7,"sessionsHeld":11,"attendancePct":0.6364,"avgWorkRate":3,"gradePct":0.56,"readinessBand":"Nearly Ready"},{"name":"Shauna Kavanagh","rank":8,"sessionsAttended":9,"sessionsHeld":11,"attendancePct":0.8182,"avgWorkRate":2.22,"gradePct":0.5939,"readinessBand":"Improving"},{"name":"Tara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Fleming","rank":4,"sessionsAttended":8,"sessionsHeld":11,"attendancePct":0.7273,"avgWorkRate":3.25,"gradePct":0.6691,"readinessBand":"Not Ready for 90 min"},{"name":"Emma Kelly","rank":9,"sessionsAttended":7,"sessionsHeld":11,"attendancePct":0.6364,"avgWorkRate":3.29,"gradePct":0.5891,"readinessBand":"Not Ready for 90 min"},{"name":"Roma Memon","rank":10,"sessionsAttended":7,"sessionsHeld":11,"attendancePct":0.6364,"avgWorkRate":3.29,"gradePct":0.5891,"readinessBand":"Not Ready for 90 min"},{"name":"Emma Dromgoole","rank":12,"sessionsAttended":6,"sessionsHeld":11,"attendancePct":0.5455,"avgWorkRate":3.5,"gradePct":0.5236,"readinessBand":"Match Ready"},{"name":"Elsie Morrison","rank":3,"sessionsAttended":9,"sessionsHeld":11,"attendancePct":0.8182,"avgWorkRate":3.22,"gradePct":0.7139,"readinessBand":"Not Ready for 90 min"},{"name":"Zara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data"}]},"homeScreen":{"asOf":"2026-08-25","source":"In-season","windowDays":7,"windowSessions":1,"topAllTime":[{"rank":1,"name":"Roisin Offenhausen","scorePct":0.8444,"basis":"In-season"},{"rank":2,"name":"Aoife Kennan","scorePct":0.7667,"basis":"In-season"},{"rank":3,"name":"Stella McEvoy","scorePct":0.7667,"basis":"In-season"},{"rank":4,"name":"Naomi Adewoyin","scorePct":0.7667,"basis":"In-season"},{"rank":5,"name":"Amber Kilalee","scorePct":0.7667,"basis":"In-season"}],"topLastWeek":[{"rank":1,"name":"Aoife Kennan","weekScorePct":0.76,"attended":1,"sessionsHeld":1,"avgWorkRate":3},{"rank":2,"name":"Stella McEvoy","weekScorePct":0.76,"attended":1,"sessionsHeld":1,"avgWorkRate":3},{"rank":3,"name":"Roisin Offenhausen","weekScorePct":0.76,"attended":1,"sessionsHeld":1,"avgWorkRate":3},{"rank":4,"name":"Naomi Adewoyin","weekScorePct":0.76,"attended":1,"sessionsHeld":1,"avgWorkRate":3},{"rank":5,"name":"Amber Kilalee","weekScorePct":0.76,"attended":1,"sessionsHeld":1,"avgWorkRate":3}],"topScorers":[{"rank":1,"name":"Roisin Offenhausen","goals":3,"assists":0,"apps":1},{"rank":2,"name":"Naomi Adewoyin","goals":1,"assists":0,"apps":1},{"rank":3,"name":"Shauna Kavanagh","goals":1,"assists":0,"apps":1},{"rank":4,"name":"Semilore Adesanya","goals":1,"assists":1,"apps":1},{"rank":5,"name":"Emma Kelly","goals":1,"assists":0,"apps":1},{"rank":6,"name":"Elsie Morrison","goals":1,"assists":0,"apps":1},{"rank":7,"name":"Zara Freeman","goals":1,"assists":0,"apps":1}],"topAssists":[{"rank":1,"name":"Amber Kilalee","assists":2,"goals":0,"apps":1},{"rank":2,"name":"Rama Abuowda","assists":2,"goals":0,"apps":1},{"rank":3,"name":"Semilore Adesanya","assists":1,"goals":1,"apps":1}],"readinessGroups":[{"band":"Match Ready","count":1,"players":["Roisin Offenhausen"]},{"band":"Not Ready for 90 min","count":6,"players":["Naomi Adewoyin","Tara Brannigan","Semilore Adesanya","Emma Kelly","Elsie Morrison","Zara Freeman"]},{"band":"Nearly Ready","count":9,"players":["Aoife Kennan","Stella McEvoy","Amber Kilalee","Shauna Kavanagh","Hannah Fleming","Roma Memon","Emma Dromgoole","Mariana Soares","Rama Abuowda"]},{"band":"Improving","count":0,"players":[]},{"band":"Not Ready","count":0,"players":[]},{"band":"Critical","count":0,"players":[]},{"band":"Insufficient data","count":2,"players":["Zara Power","Heidi Cerubini Dunne"]}]}}</v>
      </c>
      <c r="B4" s="430" t="s">
        <v>627</v>
      </c>
      <c r="C4" t="str">
        <f ca="1">"{"&amp;$H$4&amp;","&amp;$H$5&amp;","&amp;$H$6&amp;","&amp;$H$7&amp;","&amp;$H$8&amp;","</f>
        <v>{"meta":{"title":"Lucan Utd Youths — Girls Youth 2026/2027 League Season","squad":"Girls Youth","generated":"2026-08-31 13:33","arrayKeys":{"session":["att","wr"],"match":["att","mins","rating","motm"]},"weightings":{"trainingAttendance":0.25,"workRate":0.35,"matchdayAttendance":0.15,"matchRating":0.25}},"squadSummary":{"players":18,"sessionsHeld":1,"matchesPlayed":1,"record":{"w":1,"d":0,"l":0},"avgTrainingAttendance":0.7963,"avgWorkRate":3.11,"avgMatchdayAttendance":0,"avgMatchRating":7.78,"seasonScore":0.6548},"ragBands":[{"band":"Critical","from":0,"to":1.5,"players":0},{"band":"Not Ready","from":1.51,"to":2,"players":0},{"band":"Improving","from":2.01,"to":2.5,"players":0},{"band":"Nearly Ready","from":2.51,"to":3,"players":9},{"band":"Not Ready for 90 min","from":3.01,"to":3.49,"players":6},{"band":"Match Ready","from":3.5,"to":5,"players":1}],"sessions":[{"index":1,"gw":1,"date":"2026-08-25"}],"fixtures":[{"gw":1,"date":"2026-08-30","opponent":"Stamullen FC","venue":"A","gf":9,"ga":1,"result":"W"}],</v>
      </c>
      <c r="D4" s="530">
        <f ca="1">LEN($C4)</f>
        <v>1021</v>
      </c>
      <c r="E4" s="305" t="str">
        <f ca="1">IF($D4&gt;32767,"OVER LIMIT","OK")</f>
        <v>OK</v>
      </c>
      <c r="G4" s="308" t="s">
        <v>408</v>
      </c>
      <c r="H4" t="str">
        <f ca="1">"""meta"":{""title"":""Lucan Utd Youths — Girls Youth 2026/2027 League Season"",""squad"":""Girls Youth"",""generated"":"""&amp;TEXT(NOW(),"yyyy-mm-dd hh:mm")&amp;""",""arrayKeys"":{""session"":[""att"",""wr""],""match"":[""att"",""mins"",""rating"",""motm""]},""weightings"":{""trainingAttendance"":"&amp;Attendance!$GA$2&amp;",""workRate"":"&amp;Attendance!$GB$2&amp;",""matchdayAttendance"":"&amp;Attendance!$GC$2&amp;",""matchRating"":"&amp;Attendance!$GD$2&amp;"}}"</f>
        <v>"meta":{"title":"Lucan Utd Youths — Girls Youth 2026/2027 League Season","squad":"Girls Youth","generated":"2026-08-31 13:33","arrayKeys":{"session":["att","wr"],"match":["att","mins","rating","motm"]},"weightings":{"trainingAttendance":0.25,"workRate":0.35,"matchdayAttendance":0.15,"matchRating":0.25}}</v>
      </c>
    </row>
    <row r="5" spans="1:8" x14ac:dyDescent="0.45">
      <c r="B5" s="430" t="s">
        <v>628</v>
      </c>
      <c r="C5" t="str">
        <f>$H$9&amp;","</f>
        <v>"players":[{"number":1,"name":"Aoife Kennan","position":"GK","availability":"Yes","unavailableReason":"","trainingAttendancePct":1,"avgWorkRate":3,"matchdayAttendancePct":0,"minutes":0,"avgMinutes":0,"avgRating":6.5,"motm":0,"seasonScore":0.7667,"comment":"","toWorkOn":"","sessions":[[1,3],[1,3],[1,3]],"matches":[[-1,0,6.5,0]]},{"number":2,"name":"Stella McEvoy","position":"LB / RB / CB","availability":"Yes","unavailableReason":"","trainingAttendancePct":1,"avgWorkRate":3,"matchdayAttendancePct":0,"minutes":0,"avgMinutes":0,"avgRating":7.5,"motm":0,"seasonScore":0.7667,"comment":"","toWorkOn":"","sessions":[[1,3],[1,3],[1,3]],"matches":[[-1,0,7.5,0]]},{"number":3,"name":"Zara Power","position":"RB","availability":"No","unavailableReason":"Injured - Ankle injury - 6 week recovery plan (back 2 Oct)","trainingAttendancePct":0,"avgWorkRate":0,"matchdayAttendancePct":0,"minutes":0,"avgMinutes":0,"avgRating":0,"motm":0,"seasonScore":0,"comment":"","toWorkOn":"","sessions":[[0,0],[0,0],[0,0]],"matches":[[-1,0,0,0]]},{"number":4,"name":"Heidi Cerubini Dunne","position":"LB / RB","availability":"Yes","unavailableReason":"","trainingAttendancePct":0,"avgWorkRate":0,"matchdayAttendancePct":0,"minutes":0,"avgMinutes":0,"avgRating":0,"motm":0,"seasonScore":0,"comment":"","toWorkOn":"","sessions":[[0,0],[0,0],[0,0]],"matches":[[-1,0,0,0]]},{"number":5,"name":"Roisin Offenhausen","position":"RW / CM / ST","availability":"Yes","unavailableReason":"","trainingAttendancePct":1,"avgWorkRate":3.67,"matchdayAttendancePct":0,"minutes":0,"avgMinutes":0,"avgRating":10,"motm":1,"seasonScore":0.8444,"comment":"","toWorkOn":"","sessions":[[1,3],[1,3],[1,5]],"matches":[[-1,0,10,1]]},{"number":6,"name":"Naomi Adewoyin","position":"CM / ACM","availability":"Yes","unavailableReason":"","trainingAttendancePct":1,"avgWorkRate":3,"matchdayAttendancePct":0,"minutes":0,"avgMinutes":0,"avgRating":7.5,"motm":0,"seasonScore":0.7667,"comment":"","toWorkOn":"","sessions":[[1,3],[1,3],[1,3]],"matches":[[-1,0,7.5,0]]},{"number":7,"name":"Amber Kilalee","position":"LW / ST","availability":"Yes","unavailableReason":"","trainingAttendancePct":1,"avgWorkRate":3,"matchdayAttendancePct":0,"minutes":0,"avgMinutes":0,"avgRating":7.5,"motm":0,"seasonScore":0.7667,"comment":"","toWorkOn":"","sessions":[[1,3],[1,3],[1,3]],"matches":[[-1,0,7.5,0]]},{"number":8,"name":"Shauna Kavanagh","position":"ST / RW","availability":"Yes","unavailableReason":"","trainingAttendancePct":1,"avgWorkRate":2.67,"matchdayAttendancePct":0,"minutes":0,"avgMinutes":0,"avgRating":7.5,"motm":0,"seasonScore":0.7278,"comment":"","toWorkOn":"","sessions":[[1,2],[1,3],[1,3]],"matches":[[-1,0,7.5,0]]},{"number":9,"name":"Tara Brannigan","position":"DM / CM","availability":"Yes","unavailableReason":"","trainingAttendancePct":1,"avgWorkRate":3,"matchdayAttendancePct":0,"minutes":0,"avgMinutes":0,"avgRating":8,"motm":0,"seasonScore":0.7667,"comment":"","toWorkOn":"","sessions":[[1,3],[1,3],[1,3]],"matches":[[-1,0,8,0]]},{"number":10,"name":"Semilore Adesanya","position":"CB / CM","availability":"Yes","unavailableReason":"","trainingAttendancePct":0.6667,"avgWorkRate":3.5,"matchdayAttendancePct":0,"minutes":0,"avgMinutes":0,"avgRating":8.5,"motm":0,"seasonScore":0.6861,"comment":"","toWorkOn":"","sessions":[[1,3],[0,0],[1,4]],"matches":[[-1,0,8.5,0]]},{"number":11,"name":"Hannah Fleming","position":"LB / LW","availability":"Yes","unavailableReason":"","trainingAttendancePct":1,"avgWorkRate":3,"matchdayAttendancePct":0,"minutes":0,"avgMinutes":0,"avgRating":8,"motm":0,"seasonScore":0.7667,"comment":"","toWorkOn":"","sessions":[[1,3],[1,3],[1,3]],"matches":[[-1,0,8,0]]},{"number":12,"name":"Emma Kelly","position":"CB","availability":"Yes","unavailableReason":"","trainingAttendancePct":0.3333,"avgWorkRate":4,"matchdayAttendancePct":0,"minutes":0,"avgMinutes":0,"avgRating":8,"motm":0,"seasonScore":0.6056,"comment":"","toWorkOn":"","sessions":[[0,0],[0,0],[1,4]],"matches":[[-1,0,8,0]]},{"number":13,"name":"Roma Memon","position":"DM / CM","availability":"Yes","unavailableReason":"","trainingAttendancePct":0.6667,"avgWorkRate":3,"matchdayAttendancePct":0,"minutes":0,"avgMinutes":0,"avgRating":6.5,"motm":0,"seasonScore":0.6278,"comment":"","toWorkOn":"","sessions":[[1,3],[0,0],[1,3]],"matches":[[-1,0,6.5,0]]},{"number":14,"name":"Emma Dromgoole","position":"RW / ST","availability":"No","unavailableReason":"Injured - Knee injury  (back 28 Aug)","trainingAttendancePct":1,"avgWorkRate":3,"matchdayAttendancePct":0,"minutes":0,"avgMinutes":0,"avgRating":6.5,"motm":0,"seasonScore":0.7667,"comment":"","toWorkOn":"","sessions":[[1,3],[1,3],[1,3]],"matches":[[-1,0,6.5,0]]},{"number":15,"name":"Elsie Morrison","position":"LW / ST / GK","availability":"Yes","unavailableReason":"","trainingAttendancePct":1,"avgWorkRate":3,"matchdayAttendancePct":0,"minutes":0,"avgMinutes":0,"avgRating":8,"motm":0,"seasonScore":0.7667,"comment":"","toWorkOn":"","sessions":[[1,2],[1,3],[1,4]],"matches":[[-1,0,8,0]]},{"number":16,"name":"Zara Freeman","position":"ST ","availability":"Yes","unavailableReason":"","trainingAttendancePct":0.6667,"avgWorkRate":3,"matchdayAttendancePct":0,"minutes":0,"avgMinutes":0,"avgRating":8.5,"motm":0,"seasonScore":0.6278,"comment":"","toWorkOn":"","sessions":[[0,0],[1,3],[1,3]],"matches":[[-1,0,8.5,0]]},{"number":17,"name":"Mariana Soares","position":"RB / CB","availability":"Yes","unavailableReason":"","trainingAttendancePct":1,"avgWorkRate":3,"matchdayAttendancePct":0,"minutes":0,"avgMinutes":0,"avgRating":7.5,"motm":0,"seasonScore":0.7667,"comment":"","toWorkOn":"","sessions":[[1,3],[1,3],[1,3]],"matches":[[-1,0,7.5,0]]},{"number":18,"name":"Rama Abuowda","position":"RW / ST / LW","availability":"Yes","unavailableReason":"","trainingAttendancePct":1,"avgWorkRate":3,"matchdayAttendancePct":0,"minutes":0,"avgMinutes":0,"avgRating":8.5,"motm":0,"seasonScore":0.7667,"comment":"","toWorkOn":"","sessions":[[1,3],[1,3],[1,3]],"matches":[[-1,0,8.5,0]]}],</v>
      </c>
      <c r="D5" s="530">
        <f t="shared" ref="D5:D8" si="0">LEN($C5)</f>
        <v>5969</v>
      </c>
      <c r="E5" s="305" t="str">
        <f t="shared" ref="E5:E8" si="1">IF($D5&gt;32767,"OVER LIMIT","OK")</f>
        <v>OK</v>
      </c>
      <c r="G5" s="308" t="s">
        <v>409</v>
      </c>
      <c r="H5" t="str">
        <f t="array" ref="H5">"""squadSummary"":{""players"":"&amp;COUNTA(Attendance!$D$5:$D$24)&amp;",""sessionsHeld"":"&amp;SUMPRODUCT((Attendance!$E$4:$CN$4="Att")*(Attendance!$E$3:$CN$3&lt;&gt;""))&amp;",""matchesPlayed"":"&amp;SUMPRODUCT((Attendance!$CP$4:$FY$4="Att")*(Attendance!$CP$28:$FY$28&lt;&gt;""))&amp;",""record"":{""w"":"&amp;COUNTIF(Attendance!$CP$28:$FY$28,"W")&amp;",""d"":"&amp;COUNTIF(Attendance!$CP$28:$FY$28,"D")&amp;",""l"":"&amp;COUNTIF(Attendance!$CP$28:$FY$28,"L")&amp;"},""avgTrainingAttendance"":"&amp;ROUND(IFERROR(AVERAGE(Workings!$D$6:$D$25),0),4)&amp;",""avgWorkRate"":"&amp;ROUND(IFERROR(AVERAGE(Workings!$E$6:$E$25),0),2)&amp;",""avgMatchdayAttendance"":"&amp;ROUND(IFERROR(AVERAGE(Workings!$F$6:$F$25),0),4)&amp;",""avgMatchRating"":"&amp;ROUND(IFERROR(AVERAGE(Workings!$G$6:$G$25),0),2)&amp;",""seasonScore"":"&amp;ROUND(IFERROR(AVERAGE(Workings!$H$6:$H$25),0),4)&amp;"}"</f>
        <v>"squadSummary":{"players":18,"sessionsHeld":1,"matchesPlayed":1,"record":{"w":1,"d":0,"l":0},"avgTrainingAttendance":0.7963,"avgWorkRate":3.11,"avgMatchdayAttendance":0,"avgMatchRating":7.78,"seasonScore":0.6548}</v>
      </c>
    </row>
    <row r="6" spans="1:8" x14ac:dyDescent="0.45">
      <c r="A6" s="1" t="s">
        <v>410</v>
      </c>
      <c r="B6" s="430" t="s">
        <v>629</v>
      </c>
      <c r="C6" t="str">
        <f>$H$10&amp;","</f>
        <v>"teamSelection":{"formation":"3-5-2","startingXI":[{"slot":1,"position":"GK","player":"Elsie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Aug)"}],"unavailable":[{"player":"Zara Power","reason":"Injured - Ankle injury - 6 week recovery plan (back 2 Oct)"},{"player":"Emma Dromgoole","reason":"Injured - Knee injury  (back 28 Aug)"}],"formations":{"3-5-2":{"startingXI":[{"slot":1,"position":"GK","player":"Elsie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Aug)"}]},"4-3-3":{"startingXI":[{"slot":1,"position":"GK","player":"Elsie Morrison","fitScore":10.94,"seasonScore":0.7667,"overallGrade":10.51},{"slot":2,"position":"RB","player":"Stella McEvoy","fitScore":12.67,"seasonScore":0.7667,"overallGrade":11.14},{"slot":3,"position":"CB","player":"Emma Kelly","fitScore":15.92,"seasonScore":0.6056,"overallGrade":13.73},{"slot":4,"position":"CB","player":"Semilore Adesanya","fitScore":14.69,"seasonScore":0.6861,"overallGrade":12.76},{"slot":5,"position":"LB","player":"Hannah Fleming","fitScore":13.13,"seasonScore":0.7667,"overallGrade":12.22},{"slot":6,"position":"DM","player":"Tara Brannigan","fitScore":13.53,"seasonScore":0.7667,"overallGrade":11.73},{"slot":7,"position":"CM","player":"Roisin Offenhausen","fitScore":12.93,"seasonScore":0.8444,"overallGrade":11.97},{"slot":8,"position":"ACM","player":"Naomi Adewoyin","fitScore":11.97,"seasonScore":0.7667,"overallGrade":10.99},{"slot":9,"position":"RW","player":"Rama Abuowda","fitScore":14.53,"seasonScore":0.7667,"overallGrade":13.63},{"slot":10,"position":"ST","player":"Zara Freeman","fitScore":12.86,"seasonScore":0.6278,"overallGrade":11.86},{"slot":11,"position":"LW","player":"Amber Kilalee","fitScore":9.73,"seasonScore":0.7667,"overallGrade":9.01}],"notSelected":[{"player":"Aoife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Aug)"},{"player":"Mariana Soares","position":"RB / CB","overallGrade":10.49,"seasonScore":0.7667,"status":"Available"}]}}},</v>
      </c>
      <c r="D6" s="530">
        <f t="shared" si="0"/>
        <v>6618</v>
      </c>
      <c r="E6" s="305" t="str">
        <f t="shared" si="1"/>
        <v>OK</v>
      </c>
      <c r="G6" s="308" t="s">
        <v>411</v>
      </c>
      <c r="H6" t="str">
        <f>"""ragBands"":["&amp;_xlfn.TEXTJOIN(",",TRUE(),$P$20:$P$25)&amp;"]"</f>
        <v>"ragBands":[{"band":"Critical","from":0,"to":1.5,"players":0},{"band":"Not Ready","from":1.51,"to":2,"players":0},{"band":"Improving","from":2.01,"to":2.5,"players":0},{"band":"Nearly Ready","from":2.51,"to":3,"players":9},{"band":"Not Ready for 90 min","from":3.01,"to":3.49,"players":6},{"band":"Match Ready","from":3.5,"to":5,"players":1}]</v>
      </c>
    </row>
    <row r="7" spans="1:8" x14ac:dyDescent="0.45">
      <c r="A7" s="309" t="str">
        <f>"{"</f>
        <v>{</v>
      </c>
      <c r="B7" s="430" t="s">
        <v>630</v>
      </c>
      <c r="C7" t="str">
        <f>$H$11&amp;","</f>
        <v>"matchReports":[{"gw":1,"date":"2026-08-30","opponent":"Stamullen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used","pos":"ACM","pos2":"LW","goals":0,"assists":2,"rating":7.5}],"matchNotes":"","keyNotes":""}],</v>
      </c>
      <c r="D7" s="530">
        <f t="shared" si="0"/>
        <v>1860</v>
      </c>
      <c r="E7" s="305" t="str">
        <f t="shared" si="1"/>
        <v>OK</v>
      </c>
      <c r="G7" s="308" t="s">
        <v>412</v>
      </c>
      <c r="H7" t="str">
        <f>"""sessions"":["&amp;_xlfn.TEXTJOIN(",",TRUE(),$N$20:$N$63)&amp;"]"</f>
        <v>"sessions":[{"index":1,"gw":1,"date":"2026-08-25"}]</v>
      </c>
    </row>
    <row r="8" spans="1:8" x14ac:dyDescent="0.45">
      <c r="A8" s="309" t="str">
        <f ca="1">"  "&amp;$H$4&amp;","</f>
        <v xml:space="preserve">  "meta":{"title":"Lucan Utd Youths — Girls Youth 2026/2027 League Season","squad":"Girls Youth","generated":"2026-08-31 13:33","arrayKeys":{"session":["att","wr"],"match":["att","mins","rating","motm"]},"weightings":{"trainingAttendance":0.25,"workRate":0.35,"matchdayAttendance":0.15,"matchRating":0.25}},</v>
      </c>
      <c r="B8" s="430" t="s">
        <v>631</v>
      </c>
      <c r="C8" t="str">
        <f ca="1">$H$12&amp;","&amp;$H$13&amp;"}"</f>
        <v>"preSeason":{"sessionsHeld":11,"squadAttendancePct":0.5775,"squadAvgWorkRate":3.14,"matchReady":4,"players":[{"name":"Aoife Kennan","rank":5,"sessionsAttended":8,"sessionsHeld":11,"attendancePct":0.7273,"avgWorkRate":2.88,"gradePct":0.6255,"readinessBand":"Nearly Ready"},{"name":"Stella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Adewoyin","rank":7,"sessionsAttended":7,"sessionsHeld":11,"attendancePct":0.6364,"avgWorkRate":3.43,"gradePct":0.6036,"readinessBand":"Not Ready for 90 min"},{"name":"Amber Kilalee","rank":11,"sessionsAttended":7,"sessionsHeld":11,"attendancePct":0.6364,"avgWorkRate":3,"gradePct":0.56,"readinessBand":"Nearly Ready"},{"name":"Shauna Kavanagh","rank":8,"sessionsAttended":9,"sessionsHeld":11,"attendancePct":0.8182,"avgWorkRate":2.22,"gradePct":0.5939,"readinessBand":"Improving"},{"name":"Tara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Fleming","rank":4,"sessionsAttended":8,"sessionsHeld":11,"attendancePct":0.7273,"avgWorkRate":3.25,"gradePct":0.6691,"readinessBand":"Not Ready for 90 min"},{"name":"Emma Kelly","rank":9,"sessionsAttended":7,"sessionsHeld":11,"attendancePct":0.6364,"avgWorkRate":3.29,"gradePct":0.5891,"readinessBand":"Not Ready for 90 min"},{"name":"Roma Memon","rank":10,"sessionsAttended":7,"sessionsHeld":11,"attendancePct":0.6364,"avgWorkRate":3.29,"gradePct":0.5891,"readinessBand":"Not Ready for 90 min"},{"name":"Emma Dromgoole","rank":12,"sessionsAttended":6,"sessionsHeld":11,"attendancePct":0.5455,"avgWorkRate":3.5,"gradePct":0.5236,"readinessBand":"Match Ready"},{"name":"Elsie Morrison","rank":3,"sessionsAttended":9,"sessionsHeld":11,"attendancePct":0.8182,"avgWorkRate":3.22,"gradePct":0.7139,"readinessBand":"Not Ready for 90 min"},{"name":"Zara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data"}]},"homeScreen":{"asOf":"2026-08-25","source":"In-season","windowDays":7,"windowSessions":1,"topAllTime":[{"rank":1,"name":"Roisin Offenhausen","scorePct":0.8444,"basis":"In-season"},{"rank":2,"name":"Aoife Kennan","scorePct":0.7667,"basis":"In-season"},{"rank":3,"name":"Stella McEvoy","scorePct":0.7667,"basis":"In-season"},{"rank":4,"name":"Naomi Adewoyin","scorePct":0.7667,"basis":"In-season"},{"rank":5,"name":"Amber Kilalee","scorePct":0.7667,"basis":"In-season"}],"topLastWeek":[{"rank":1,"name":"Aoife Kennan","weekScorePct":0.76,"attended":1,"sessionsHeld":1,"avgWorkRate":3},{"rank":2,"name":"Stella McEvoy","weekScorePct":0.76,"attended":1,"sessionsHeld":1,"avgWorkRate":3},{"rank":3,"name":"Roisin Offenhausen","weekScorePct":0.76,"attended":1,"sessionsHeld":1,"avgWorkRate":3},{"rank":4,"name":"Naomi Adewoyin","weekScorePct":0.76,"attended":1,"sessionsHeld":1,"avgWorkRate":3},{"rank":5,"name":"Amber Kilalee","weekScorePct":0.76,"attended":1,"sessionsHeld":1,"avgWorkRate":3}],"topScorers":[{"rank":1,"name":"Roisin Offenhausen","goals":3,"assists":0,"apps":1},{"rank":2,"name":"Naomi Adewoyin","goals":1,"assists":0,"apps":1},{"rank":3,"name":"Shauna Kavanagh","goals":1,"assists":0,"apps":1},{"rank":4,"name":"Semilore Adesanya","goals":1,"assists":1,"apps":1},{"rank":5,"name":"Emma Kelly","goals":1,"assists":0,"apps":1},{"rank":6,"name":"Elsie Morrison","goals":1,"assists":0,"apps":1},{"rank":7,"name":"Zara Freeman","goals":1,"assists":0,"apps":1}],"topAssists":[{"rank":1,"name":"Amber Kilalee","assists":2,"goals":0,"apps":1},{"rank":2,"name":"Rama Abuowda","assists":2,"goals":0,"apps":1},{"rank":3,"name":"Semilore Adesanya","assists":1,"goals":1,"apps":1}],"readinessGroups":[{"band":"Match Ready","count":1,"players":["Roisin Offenhausen"]},{"band":"Not Ready for 90 min","count":6,"players":["Naomi Adewoyin","Tara Brannigan","Semilore Adesanya","Emma Kelly","Elsie Morrison","Zara Freeman"]},{"band":"Nearly Ready","count":9,"players":["Aoife Kennan","Stella McEvoy","Amber Kilalee","Shauna Kavanagh","Hannah Fleming","Roma Memon","Emma Dromgoole","Mariana Soares","Rama Abuowda"]},{"band":"Improving","count":0,"players":[]},{"band":"Not Ready","count":0,"players":[]},{"band":"Critical","count":0,"players":[]},{"band":"Insufficient data","count":2,"players":["Zara Power","Heidi Cerubini Dunne"]}]}}</v>
      </c>
      <c r="D8" s="530">
        <f t="shared" ca="1" si="0"/>
        <v>5450</v>
      </c>
      <c r="E8" s="305" t="str">
        <f t="shared" ca="1" si="1"/>
        <v>OK</v>
      </c>
      <c r="G8" s="308" t="s">
        <v>413</v>
      </c>
      <c r="H8" t="str">
        <f>"""fixtures"":["&amp;_xlfn.TEXTJOIN(",",TRUE(),$L$20:$L$41)&amp;"]"</f>
        <v>"fixtures":[{"gw":1,"date":"2026-08-30","opponent":"Stamullen FC","venue":"A","gf":9,"ga":1,"result":"W"}]</v>
      </c>
    </row>
    <row r="9" spans="1:8" x14ac:dyDescent="0.45">
      <c r="A9" s="309" t="str">
        <f>"  "&amp;$H$5&amp;","</f>
        <v xml:space="preserve">  "squadSummary":{"players":18,"sessionsHeld":1,"matchesPlayed":1,"record":{"w":1,"d":0,"l":0},"avgTrainingAttendance":0.7963,"avgWorkRate":3.11,"avgMatchdayAttendance":0,"avgMatchRating":7.78,"seasonScore":0.6548},</v>
      </c>
      <c r="B9" s="430" t="s">
        <v>470</v>
      </c>
      <c r="D9" s="531">
        <f ca="1">SUM($D$4:$D$8)</f>
        <v>20918</v>
      </c>
      <c r="E9" s="287" t="str">
        <f ca="1">IF($D$9&gt;32767,"Split needed — use Parts 1-5","Fits in A4")</f>
        <v>Fits in A4</v>
      </c>
      <c r="G9" s="308" t="s">
        <v>414</v>
      </c>
      <c r="H9" t="str">
        <f>"""players"":["&amp;_xlfn.TEXTJOIN(",",TRUE(),$J$20:$J$39)&amp;"]"</f>
        <v>"players":[{"number":1,"name":"Aoife Kennan","position":"GK","availability":"Yes","unavailableReason":"","trainingAttendancePct":1,"avgWorkRate":3,"matchdayAttendancePct":0,"minutes":0,"avgMinutes":0,"avgRating":6.5,"motm":0,"seasonScore":0.7667,"comment":"","toWorkOn":"","sessions":[[1,3],[1,3],[1,3]],"matches":[[-1,0,6.5,0]]},{"number":2,"name":"Stella McEvoy","position":"LB / RB / CB","availability":"Yes","unavailableReason":"","trainingAttendancePct":1,"avgWorkRate":3,"matchdayAttendancePct":0,"minutes":0,"avgMinutes":0,"avgRating":7.5,"motm":0,"seasonScore":0.7667,"comment":"","toWorkOn":"","sessions":[[1,3],[1,3],[1,3]],"matches":[[-1,0,7.5,0]]},{"number":3,"name":"Zara Power","position":"RB","availability":"No","unavailableReason":"Injured - Ankle injury - 6 week recovery plan (back 2 Oct)","trainingAttendancePct":0,"avgWorkRate":0,"matchdayAttendancePct":0,"minutes":0,"avgMinutes":0,"avgRating":0,"motm":0,"seasonScore":0,"comment":"","toWorkOn":"","sessions":[[0,0],[0,0],[0,0]],"matches":[[-1,0,0,0]]},{"number":4,"name":"Heidi Cerubini Dunne","position":"LB / RB","availability":"Yes","unavailableReason":"","trainingAttendancePct":0,"avgWorkRate":0,"matchdayAttendancePct":0,"minutes":0,"avgMinutes":0,"avgRating":0,"motm":0,"seasonScore":0,"comment":"","toWorkOn":"","sessions":[[0,0],[0,0],[0,0]],"matches":[[-1,0,0,0]]},{"number":5,"name":"Roisin Offenhausen","position":"RW / CM / ST","availability":"Yes","unavailableReason":"","trainingAttendancePct":1,"avgWorkRate":3.67,"matchdayAttendancePct":0,"minutes":0,"avgMinutes":0,"avgRating":10,"motm":1,"seasonScore":0.8444,"comment":"","toWorkOn":"","sessions":[[1,3],[1,3],[1,5]],"matches":[[-1,0,10,1]]},{"number":6,"name":"Naomi Adewoyin","position":"CM / ACM","availability":"Yes","unavailableReason":"","trainingAttendancePct":1,"avgWorkRate":3,"matchdayAttendancePct":0,"minutes":0,"avgMinutes":0,"avgRating":7.5,"motm":0,"seasonScore":0.7667,"comment":"","toWorkOn":"","sessions":[[1,3],[1,3],[1,3]],"matches":[[-1,0,7.5,0]]},{"number":7,"name":"Amber Kilalee","position":"LW / ST","availability":"Yes","unavailableReason":"","trainingAttendancePct":1,"avgWorkRate":3,"matchdayAttendancePct":0,"minutes":0,"avgMinutes":0,"avgRating":7.5,"motm":0,"seasonScore":0.7667,"comment":"","toWorkOn":"","sessions":[[1,3],[1,3],[1,3]],"matches":[[-1,0,7.5,0]]},{"number":8,"name":"Shauna Kavanagh","position":"ST / RW","availability":"Yes","unavailableReason":"","trainingAttendancePct":1,"avgWorkRate":2.67,"matchdayAttendancePct":0,"minutes":0,"avgMinutes":0,"avgRating":7.5,"motm":0,"seasonScore":0.7278,"comment":"","toWorkOn":"","sessions":[[1,2],[1,3],[1,3]],"matches":[[-1,0,7.5,0]]},{"number":9,"name":"Tara Brannigan","position":"DM / CM","availability":"Yes","unavailableReason":"","trainingAttendancePct":1,"avgWorkRate":3,"matchdayAttendancePct":0,"minutes":0,"avgMinutes":0,"avgRating":8,"motm":0,"seasonScore":0.7667,"comment":"","toWorkOn":"","sessions":[[1,3],[1,3],[1,3]],"matches":[[-1,0,8,0]]},{"number":10,"name":"Semilore Adesanya","position":"CB / CM","availability":"Yes","unavailableReason":"","trainingAttendancePct":0.6667,"avgWorkRate":3.5,"matchdayAttendancePct":0,"minutes":0,"avgMinutes":0,"avgRating":8.5,"motm":0,"seasonScore":0.6861,"comment":"","toWorkOn":"","sessions":[[1,3],[0,0],[1,4]],"matches":[[-1,0,8.5,0]]},{"number":11,"name":"Hannah Fleming","position":"LB / LW","availability":"Yes","unavailableReason":"","trainingAttendancePct":1,"avgWorkRate":3,"matchdayAttendancePct":0,"minutes":0,"avgMinutes":0,"avgRating":8,"motm":0,"seasonScore":0.7667,"comment":"","toWorkOn":"","sessions":[[1,3],[1,3],[1,3]],"matches":[[-1,0,8,0]]},{"number":12,"name":"Emma Kelly","position":"CB","availability":"Yes","unavailableReason":"","trainingAttendancePct":0.3333,"avgWorkRate":4,"matchdayAttendancePct":0,"minutes":0,"avgMinutes":0,"avgRating":8,"motm":0,"seasonScore":0.6056,"comment":"","toWorkOn":"","sessions":[[0,0],[0,0],[1,4]],"matches":[[-1,0,8,0]]},{"number":13,"name":"Roma Memon","position":"DM / CM","availability":"Yes","unavailableReason":"","trainingAttendancePct":0.6667,"avgWorkRate":3,"matchdayAttendancePct":0,"minutes":0,"avgMinutes":0,"avgRating":6.5,"motm":0,"seasonScore":0.6278,"comment":"","toWorkOn":"","sessions":[[1,3],[0,0],[1,3]],"matches":[[-1,0,6.5,0]]},{"number":14,"name":"Emma Dromgoole","position":"RW / ST","availability":"No","unavailableReason":"Injured - Knee injury  (back 28 Aug)","trainingAttendancePct":1,"avgWorkRate":3,"matchdayAttendancePct":0,"minutes":0,"avgMinutes":0,"avgRating":6.5,"motm":0,"seasonScore":0.7667,"comment":"","toWorkOn":"","sessions":[[1,3],[1,3],[1,3]],"matches":[[-1,0,6.5,0]]},{"number":15,"name":"Elsie Morrison","position":"LW / ST / GK","availability":"Yes","unavailableReason":"","trainingAttendancePct":1,"avgWorkRate":3,"matchdayAttendancePct":0,"minutes":0,"avgMinutes":0,"avgRating":8,"motm":0,"seasonScore":0.7667,"comment":"","toWorkOn":"","sessions":[[1,2],[1,3],[1,4]],"matches":[[-1,0,8,0]]},{"number":16,"name":"Zara Freeman","position":"ST ","availability":"Yes","unavailableReason":"","trainingAttendancePct":0.6667,"avgWorkRate":3,"matchdayAttendancePct":0,"minutes":0,"avgMinutes":0,"avgRating":8.5,"motm":0,"seasonScore":0.6278,"comment":"","toWorkOn":"","sessions":[[0,0],[1,3],[1,3]],"matches":[[-1,0,8.5,0]]},{"number":17,"name":"Mariana Soares","position":"RB / CB","availability":"Yes","unavailableReason":"","trainingAttendancePct":1,"avgWorkRate":3,"matchdayAttendancePct":0,"minutes":0,"avgMinutes":0,"avgRating":7.5,"motm":0,"seasonScore":0.7667,"comment":"","toWorkOn":"","sessions":[[1,3],[1,3],[1,3]],"matches":[[-1,0,7.5,0]]},{"number":18,"name":"Rama Abuowda","position":"RW / ST / LW","availability":"Yes","unavailableReason":"","trainingAttendancePct":1,"avgWorkRate":3,"matchdayAttendancePct":0,"minutes":0,"avgMinutes":0,"avgRating":8.5,"motm":0,"seasonScore":0.7667,"comment":"","toWorkOn":"","sessions":[[1,3],[1,3],[1,3]],"matches":[[-1,0,8.5,0]]}]</v>
      </c>
    </row>
    <row r="10" spans="1:8" x14ac:dyDescent="0.45">
      <c r="A10" s="309" t="str">
        <f>"  "&amp;$H$6&amp;","</f>
        <v xml:space="preserve">  "ragBands":[{"band":"Critical","from":0,"to":1.5,"players":0},{"band":"Not Ready","from":1.51,"to":2,"players":0},{"band":"Improving","from":2.01,"to":2.5,"players":0},{"band":"Nearly Ready","from":2.51,"to":3,"players":9},{"band":"Not Ready for 90 min","from":3.01,"to":3.49,"players":6},{"band":"Match Ready","from":3.5,"to":5,"players":1}],</v>
      </c>
      <c r="G10" s="308" t="s">
        <v>415</v>
      </c>
      <c r="H10" t="str">
        <f>"""teamSelection"":{""formation"":"""&amp;'Team Selection'!$L$6&amp;""",""startingXI"":["&amp;_xlfn.TEXTJOIN(",",TRUE(),$R$20:$R$30)&amp;"],""notSelected"":["&amp;_xlfn.TEXTJOIN(",",TRUE(),$T$20:$T$39)&amp;"],""unavailable"":["&amp;_xlfn.TEXTJOIN(",",TRUE(),$V$20:$V$39)&amp;"],""formations"":{""3-5-2"":{""startingXI"":["&amp;_xlfn.TEXTJOIN(",",TRUE(),$BQ$20:$BQ$30)&amp;"],""notSelected"":["&amp;_xlfn.TEXTJOIN(",",TRUE(),$BU$20:$BU$39)&amp;"]},""4-3-3"":{""startingXI"":["&amp;_xlfn.TEXTJOIN(",",TRUE(),$BS$20:$BS$30)&amp;"],""notSelected"":["&amp;_xlfn.TEXTJOIN(",",TRUE(),$BW$20:$BW$39)&amp;"]}}}"</f>
        <v>"teamSelection":{"formation":"3-5-2","startingXI":[{"slot":1,"position":"GK","player":"Elsie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Aug)"}],"unavailable":[{"player":"Zara Power","reason":"Injured - Ankle injury - 6 week recovery plan (back 2 Oct)"},{"player":"Emma Dromgoole","reason":"Injured - Knee injury  (back 28 Aug)"}],"formations":{"3-5-2":{"startingXI":[{"slot":1,"position":"GK","player":"Elsie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Aug)"}]},"4-3-3":{"startingXI":[{"slot":1,"position":"GK","player":"Elsie Morrison","fitScore":10.94,"seasonScore":0.7667,"overallGrade":10.51},{"slot":2,"position":"RB","player":"Stella McEvoy","fitScore":12.67,"seasonScore":0.7667,"overallGrade":11.14},{"slot":3,"position":"CB","player":"Emma Kelly","fitScore":15.92,"seasonScore":0.6056,"overallGrade":13.73},{"slot":4,"position":"CB","player":"Semilore Adesanya","fitScore":14.69,"seasonScore":0.6861,"overallGrade":12.76},{"slot":5,"position":"LB","player":"Hannah Fleming","fitScore":13.13,"seasonScore":0.7667,"overallGrade":12.22},{"slot":6,"position":"DM","player":"Tara Brannigan","fitScore":13.53,"seasonScore":0.7667,"overallGrade":11.73},{"slot":7,"position":"CM","player":"Roisin Offenhausen","fitScore":12.93,"seasonScore":0.8444,"overallGrade":11.97},{"slot":8,"position":"ACM","player":"Naomi Adewoyin","fitScore":11.97,"seasonScore":0.7667,"overallGrade":10.99},{"slot":9,"position":"RW","player":"Rama Abuowda","fitScore":14.53,"seasonScore":0.7667,"overallGrade":13.63},{"slot":10,"position":"ST","player":"Zara Freeman","fitScore":12.86,"seasonScore":0.6278,"overallGrade":11.86},{"slot":11,"position":"LW","player":"Amber Kilalee","fitScore":9.73,"seasonScore":0.7667,"overallGrade":9.01}],"notSelected":[{"player":"Aoife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Aug)"},{"player":"Mariana Soares","position":"RB / CB","overallGrade":10.49,"seasonScore":0.7667,"status":"Available"}]}}}</v>
      </c>
    </row>
    <row r="11" spans="1:8" x14ac:dyDescent="0.45">
      <c r="A11" s="309" t="str">
        <f>"  "&amp;$H$7&amp;","</f>
        <v xml:space="preserve">  "sessions":[{"index":1,"gw":1,"date":"2026-08-25"}],</v>
      </c>
      <c r="G11" s="308" t="s">
        <v>416</v>
      </c>
      <c r="H11" t="str">
        <f>"""matchReports"":["&amp;_xlfn.TEXTJOIN(",",TRUE(),$AB$20:$AB$41)&amp;"]"</f>
        <v>"matchReports":[{"gw":1,"date":"2026-08-30","opponent":"Stamullen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used","pos":"ACM","pos2":"LW","goals":0,"assists":2,"rating":7.5}],"matchNotes":"","keyNotes":""}]</v>
      </c>
    </row>
    <row r="12" spans="1:8" x14ac:dyDescent="0.45">
      <c r="A12" s="309" t="str">
        <f>"  "&amp;$H$8&amp;","</f>
        <v xml:space="preserve">  "fixtures":[{"gw":1,"date":"2026-08-30","opponent":"Stamullen FC","venue":"A","gf":9,"ga":1,"result":"W"}],</v>
      </c>
      <c r="G12" s="308" t="s">
        <v>417</v>
      </c>
      <c r="H12" t="str">
        <f>"""preSeason"":{""sessionsHeld"":"&amp;MAX(Workings!$AQ$6:$AQ$25)&amp;",""squadAttendancePct"":"&amp;ROUND(IFERROR(SUM(Workings!$AP$6:$AP$25)/SUM(Workings!$AQ$6:$AQ$25),0),4)&amp;",""squadAvgWorkRate"":"&amp;ROUND(IFERROR(AVERAGE(Workings!$AS$6:$AS$25),0),2)&amp;",""matchReady"":"&amp;COUNTIF(Workings!$AU$6:$AU$25,"Match Ready")&amp;",""players"":["&amp;_xlfn.TEXTJOIN(",",TRUE(),$AD$20:$AD$39)&amp;"]}"</f>
        <v>"preSeason":{"sessionsHeld":11,"squadAttendancePct":0.5775,"squadAvgWorkRate":3.14,"matchReady":4,"players":[{"name":"Aoife Kennan","rank":5,"sessionsAttended":8,"sessionsHeld":11,"attendancePct":0.7273,"avgWorkRate":2.88,"gradePct":0.6255,"readinessBand":"Nearly Ready"},{"name":"Stella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Adewoyin","rank":7,"sessionsAttended":7,"sessionsHeld":11,"attendancePct":0.6364,"avgWorkRate":3.43,"gradePct":0.6036,"readinessBand":"Not Ready for 90 min"},{"name":"Amber Kilalee","rank":11,"sessionsAttended":7,"sessionsHeld":11,"attendancePct":0.6364,"avgWorkRate":3,"gradePct":0.56,"readinessBand":"Nearly Ready"},{"name":"Shauna Kavanagh","rank":8,"sessionsAttended":9,"sessionsHeld":11,"attendancePct":0.8182,"avgWorkRate":2.22,"gradePct":0.5939,"readinessBand":"Improving"},{"name":"Tara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Fleming","rank":4,"sessionsAttended":8,"sessionsHeld":11,"attendancePct":0.7273,"avgWorkRate":3.25,"gradePct":0.6691,"readinessBand":"Not Ready for 90 min"},{"name":"Emma Kelly","rank":9,"sessionsAttended":7,"sessionsHeld":11,"attendancePct":0.6364,"avgWorkRate":3.29,"gradePct":0.5891,"readinessBand":"Not Ready for 90 min"},{"name":"Roma Memon","rank":10,"sessionsAttended":7,"sessionsHeld":11,"attendancePct":0.6364,"avgWorkRate":3.29,"gradePct":0.5891,"readinessBand":"Not Ready for 90 min"},{"name":"Emma Dromgoole","rank":12,"sessionsAttended":6,"sessionsHeld":11,"attendancePct":0.5455,"avgWorkRate":3.5,"gradePct":0.5236,"readinessBand":"Match Ready"},{"name":"Elsie Morrison","rank":3,"sessionsAttended":9,"sessionsHeld":11,"attendancePct":0.8182,"avgWorkRate":3.22,"gradePct":0.7139,"readinessBand":"Not Ready for 90 min"},{"name":"Zara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v>
      </c>
    </row>
    <row r="13" spans="1:8" x14ac:dyDescent="0.45">
      <c r="A13" s="309" t="str">
        <f>"  "&amp;$H$9&amp;","</f>
        <v xml:space="preserve">  "players":[{"number":1,"name":"Aoife Kennan","position":"GK","availability":"Yes","unavailableReason":"","trainingAttendancePct":1,"avgWorkRate":3,"matchdayAttendancePct":0,"minutes":0,"avgMinutes":0,"avgRating":6.5,"motm":0,"seasonScore":0.7667,"comment":"","toWorkOn":"","sessions":[[1,3],[1,3],[1,3]],"matches":[[-1,0,6.5,0]]},{"number":2,"name":"Stella McEvoy","position":"LB / RB / CB","availability":"Yes","unavailableReason":"","trainingAttendancePct":1,"avgWorkRate":3,"matchdayAttendancePct":0,"minutes":0,"avgMinutes":0,"avgRating":7.5,"motm":0,"seasonScore":0.7667,"comment":"","toWorkOn":"","sessions":[[1,3],[1,3],[1,3]],"matches":[[-1,0,7.5,0]]},{"number":3,"name":"Zara Power","position":"RB","availability":"No","unavailableReason":"Injured - Ankle injury - 6 week recovery plan (back 2 Oct)","trainingAttendancePct":0,"avgWorkRate":0,"matchdayAttendancePct":0,"minutes":0,"avgMinutes":0,"avgRating":0,"motm":0,"seasonScore":0,"comment":"","toWorkOn":"","sessions":[[0,0],[0,0],[0,0]],"matches":[[-1,0,0,0]]},{"number":4,"name":"Heidi Cerubini Dunne","position":"LB / RB","availability":"Yes","unavailableReason":"","trainingAttendancePct":0,"avgWorkRate":0,"matchdayAttendancePct":0,"minutes":0,"avgMinutes":0,"avgRating":0,"motm":0,"seasonScore":0,"comment":"","toWorkOn":"","sessions":[[0,0],[0,0],[0,0]],"matches":[[-1,0,0,0]]},{"number":5,"name":"Roisin Offenhausen","position":"RW / CM / ST","availability":"Yes","unavailableReason":"","trainingAttendancePct":1,"avgWorkRate":3.67,"matchdayAttendancePct":0,"minutes":0,"avgMinutes":0,"avgRating":10,"motm":1,"seasonScore":0.8444,"comment":"","toWorkOn":"","sessions":[[1,3],[1,3],[1,5]],"matches":[[-1,0,10,1]]},{"number":6,"name":"Naomi Adewoyin","position":"CM / ACM","availability":"Yes","unavailableReason":"","trainingAttendancePct":1,"avgWorkRate":3,"matchdayAttendancePct":0,"minutes":0,"avgMinutes":0,"avgRating":7.5,"motm":0,"seasonScore":0.7667,"comment":"","toWorkOn":"","sessions":[[1,3],[1,3],[1,3]],"matches":[[-1,0,7.5,0]]},{"number":7,"name":"Amber Kilalee","position":"LW / ST","availability":"Yes","unavailableReason":"","trainingAttendancePct":1,"avgWorkRate":3,"matchdayAttendancePct":0,"minutes":0,"avgMinutes":0,"avgRating":7.5,"motm":0,"seasonScore":0.7667,"comment":"","toWorkOn":"","sessions":[[1,3],[1,3],[1,3]],"matches":[[-1,0,7.5,0]]},{"number":8,"name":"Shauna Kavanagh","position":"ST / RW","availability":"Yes","unavailableReason":"","trainingAttendancePct":1,"avgWorkRate":2.67,"matchdayAttendancePct":0,"minutes":0,"avgMinutes":0,"avgRating":7.5,"motm":0,"seasonScore":0.7278,"comment":"","toWorkOn":"","sessions":[[1,2],[1,3],[1,3]],"matches":[[-1,0,7.5,0]]},{"number":9,"name":"Tara Brannigan","position":"DM / CM","availability":"Yes","unavailableReason":"","trainingAttendancePct":1,"avgWorkRate":3,"matchdayAttendancePct":0,"minutes":0,"avgMinutes":0,"avgRating":8,"motm":0,"seasonScore":0.7667,"comment":"","toWorkOn":"","sessions":[[1,3],[1,3],[1,3]],"matches":[[-1,0,8,0]]},{"number":10,"name":"Semilore Adesanya","position":"CB / CM","availability":"Yes","unavailableReason":"","trainingAttendancePct":0.6667,"avgWorkRate":3.5,"matchdayAttendancePct":0,"minutes":0,"avgMinutes":0,"avgRating":8.5,"motm":0,"seasonScore":0.6861,"comment":"","toWorkOn":"","sessions":[[1,3],[0,0],[1,4]],"matches":[[-1,0,8.5,0]]},{"number":11,"name":"Hannah Fleming","position":"LB / LW","availability":"Yes","unavailableReason":"","trainingAttendancePct":1,"avgWorkRate":3,"matchdayAttendancePct":0,"minutes":0,"avgMinutes":0,"avgRating":8,"motm":0,"seasonScore":0.7667,"comment":"","toWorkOn":"","sessions":[[1,3],[1,3],[1,3]],"matches":[[-1,0,8,0]]},{"number":12,"name":"Emma Kelly","position":"CB","availability":"Yes","unavailableReason":"","trainingAttendancePct":0.3333,"avgWorkRate":4,"matchdayAttendancePct":0,"minutes":0,"avgMinutes":0,"avgRating":8,"motm":0,"seasonScore":0.6056,"comment":"","toWorkOn":"","sessions":[[0,0],[0,0],[1,4]],"matches":[[-1,0,8,0]]},{"number":13,"name":"Roma Memon","position":"DM / CM","availability":"Yes","unavailableReason":"","trainingAttendancePct":0.6667,"avgWorkRate":3,"matchdayAttendancePct":0,"minutes":0,"avgMinutes":0,"avgRating":6.5,"motm":0,"seasonScore":0.6278,"comment":"","toWorkOn":"","sessions":[[1,3],[0,0],[1,3]],"matches":[[-1,0,6.5,0]]},{"number":14,"name":"Emma Dromgoole","position":"RW / ST","availability":"No","unavailableReason":"Injured - Knee injury  (back 28 Aug)","trainingAttendancePct":1,"avgWorkRate":3,"matchdayAttendancePct":0,"minutes":0,"avgMinutes":0,"avgRating":6.5,"motm":0,"seasonScore":0.7667,"comment":"","toWorkOn":"","sessions":[[1,3],[1,3],[1,3]],"matches":[[-1,0,6.5,0]]},{"number":15,"name":"Elsie Morrison","position":"LW / ST / GK","availability":"Yes","unavailableReason":"","trainingAttendancePct":1,"avgWorkRate":3,"matchdayAttendancePct":0,"minutes":0,"avgMinutes":0,"avgRating":8,"motm":0,"seasonScore":0.7667,"comment":"","toWorkOn":"","sessions":[[1,2],[1,3],[1,4]],"matches":[[-1,0,8,0]]},{"number":16,"name":"Zara Freeman","position":"ST ","availability":"Yes","unavailableReason":"","trainingAttendancePct":0.6667,"avgWorkRate":3,"matchdayAttendancePct":0,"minutes":0,"avgMinutes":0,"avgRating":8.5,"motm":0,"seasonScore":0.6278,"comment":"","toWorkOn":"","sessions":[[0,0],[1,3],[1,3]],"matches":[[-1,0,8.5,0]]},{"number":17,"name":"Mariana Soares","position":"RB / CB","availability":"Yes","unavailableReason":"","trainingAttendancePct":1,"avgWorkRate":3,"matchdayAttendancePct":0,"minutes":0,"avgMinutes":0,"avgRating":7.5,"motm":0,"seasonScore":0.7667,"comment":"","toWorkOn":"","sessions":[[1,3],[1,3],[1,3]],"matches":[[-1,0,7.5,0]]},{"number":18,"name":"Rama Abuowda","position":"RW / ST / LW","availability":"Yes","unavailableReason":"","trainingAttendancePct":1,"avgWorkRate":3,"matchdayAttendancePct":0,"minutes":0,"avgMinutes":0,"avgRating":8.5,"motm":0,"seasonScore":0.7667,"comment":"","toWorkOn":"","sessions":[[1,3],[1,3],[1,3]],"matches":[[-1,0,8.5,0]]}],</v>
      </c>
      <c r="G13" s="308" t="s">
        <v>418</v>
      </c>
      <c r="H13" t="str">
        <f ca="1">"""homeScreen"":{""asOf"":"""&amp;TEXT(Workings!$BD$1,"yyyy-mm-dd")&amp;""",""source"":"""&amp;Workings!$BD$2&amp;""",""windowDays"":"&amp;Workings!$BB$1&amp;",""windowSessions"":"&amp;Workings!$BD$3&amp;",""topAllTime"":["&amp;_xlfn.TEXTJOIN(",",TRUE(),$AF$20:$AF$24)&amp;"],""topLastWeek"":["&amp;_xlfn.TEXTJOIN(",",TRUE(),$AH$20:$AH$24)&amp;"],""topScorers"":["&amp;_xlfn.TEXTJOIN(",",TRUE(),$AL$20:$AL$29)&amp;"],""topAssists"":["&amp;_xlfn.TEXTJOIN(",",TRUE(),$AN$20:$AN$29)&amp;"],""readinessGroups"":["&amp;_xlfn.TEXTJOIN(",",TRUE(),$AJ$20:$AJ$26)&amp;"]}"</f>
        <v>"homeScreen":{"asOf":"2026-08-25","source":"In-season","windowDays":7,"windowSessions":1,"topAllTime":[{"rank":1,"name":"Roisin Offenhausen","scorePct":0.8444,"basis":"In-season"},{"rank":2,"name":"Aoife Kennan","scorePct":0.7667,"basis":"In-season"},{"rank":3,"name":"Stella McEvoy","scorePct":0.7667,"basis":"In-season"},{"rank":4,"name":"Naomi Adewoyin","scorePct":0.7667,"basis":"In-season"},{"rank":5,"name":"Amber Kilalee","scorePct":0.7667,"basis":"In-season"}],"topLastWeek":[{"rank":1,"name":"Aoife Kennan","weekScorePct":0.76,"attended":1,"sessionsHeld":1,"avgWorkRate":3},{"rank":2,"name":"Stella McEvoy","weekScorePct":0.76,"attended":1,"sessionsHeld":1,"avgWorkRate":3},{"rank":3,"name":"Roisin Offenhausen","weekScorePct":0.76,"attended":1,"sessionsHeld":1,"avgWorkRate":3},{"rank":4,"name":"Naomi Adewoyin","weekScorePct":0.76,"attended":1,"sessionsHeld":1,"avgWorkRate":3},{"rank":5,"name":"Amber Kilalee","weekScorePct":0.76,"attended":1,"sessionsHeld":1,"avgWorkRate":3}],"topScorers":[{"rank":1,"name":"Roisin Offenhausen","goals":3,"assists":0,"apps":1},{"rank":2,"name":"Naomi Adewoyin","goals":1,"assists":0,"apps":1},{"rank":3,"name":"Shauna Kavanagh","goals":1,"assists":0,"apps":1},{"rank":4,"name":"Semilore Adesanya","goals":1,"assists":1,"apps":1},{"rank":5,"name":"Emma Kelly","goals":1,"assists":0,"apps":1},{"rank":6,"name":"Elsie Morrison","goals":1,"assists":0,"apps":1},{"rank":7,"name":"Zara Freeman","goals":1,"assists":0,"apps":1}],"topAssists":[{"rank":1,"name":"Amber Kilalee","assists":2,"goals":0,"apps":1},{"rank":2,"name":"Rama Abuowda","assists":2,"goals":0,"apps":1},{"rank":3,"name":"Semilore Adesanya","assists":1,"goals":1,"apps":1}],"readinessGroups":[{"band":"Match Ready","count":1,"players":["Roisin Offenhausen"]},{"band":"Not Ready for 90 min","count":6,"players":["Naomi Adewoyin","Tara Brannigan","Semilore Adesanya","Emma Kelly","Elsie Morrison","Zara Freeman"]},{"band":"Nearly Ready","count":9,"players":["Aoife Kennan","Stella McEvoy","Amber Kilalee","Shauna Kavanagh","Hannah Fleming","Roma Memon","Emma Dromgoole","Mariana Soares","Rama Abuowda"]},{"band":"Improving","count":0,"players":[]},{"band":"Not Ready","count":0,"players":[]},{"band":"Critical","count":0,"players":[]},{"band":"Insufficient data","count":2,"players":["Zara Power","Heidi Cerubini Dunne"]}]}</v>
      </c>
    </row>
    <row r="14" spans="1:8" x14ac:dyDescent="0.45">
      <c r="A14" s="309" t="str">
        <f>"  "&amp;$H$10&amp;","</f>
        <v xml:space="preserve">  "teamSelection":{"formation":"3-5-2","startingXI":[{"slot":1,"position":"GK","player":"Elsie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Aug)"}],"unavailable":[{"player":"Zara Power","reason":"Injured - Ankle injury - 6 week recovery plan (back 2 Oct)"},{"player":"Emma Dromgoole","reason":"Injured - Knee injury  (back 28 Aug)"}],"formations":{"3-5-2":{"startingXI":[{"slot":1,"position":"GK","player":"Elsie Morrison","fitScore":10.94,"seasonScore":0.7667,"overallGrade":10.51},{"slot":2,"position":"CB","player":"Stella McEvoy","fitScore":14.12,"seasonScore":0.7667,"overallGrade":11.14},{"slot":3,"position":"CB","player":"Emma Kelly","fitScore":15.92,"seasonScore":0.6056,"overallGrade":13.73},{"slot":4,"position":"CB","player":"Mariana Soares","fitScore":13.48,"seasonScore":0.7667,"overallGrade":10.49},{"slot":5,"position":"RWB","player":"Rama Abuowda","fitScore":0,"seasonScore":0.7667,"overallGrade":13.63},{"slot":6,"position":"LWB","player":"Hannah Fleming","fitScore":13.13,"seasonScore":0.7667,"overallGrade":12.22},{"slot":7,"position":"CM","player":"Roisin Offenhausen","fitScore":12.93,"seasonScore":0.8444,"overallGrade":11.97},{"slot":8,"position":"CM","player":"Semilore Adesanya","fitScore":13.68,"seasonScore":0.6861,"overallGrade":12.76},{"slot":9,"position":"CM","player":"Tara Brannigan","fitScore":12.68,"seasonScore":0.7667,"overallGrade":11.73},{"slot":10,"position":"ST","player":"Zara Freeman","fitScore":12.86,"seasonScore":0.6278,"overallGrade":11.86},{"slot":11,"position":"ST","player":"Amber Kilalee","fitScore":9.57,"seasonScore":0.7667,"overallGrade":9.01}],"notSelected":[{"player":"Aoife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RB","overallGrade":4.19,"seasonScore":0,"status":"Available"},{"player":"Naomi Adewoyin","position":"CM / ACM","overallGrade":10.99,"seasonScore":0.7667,"status":"Available"},{"player":"Shauna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Aug)"}]},"4-3-3":{"startingXI":[{"slot":1,"position":"GK","player":"Elsie Morrison","fitScore":10.94,"seasonScore":0.7667,"overallGrade":10.51},{"slot":2,"position":"RB","player":"Stella McEvoy","fitScore":12.67,"seasonScore":0.7667,"overallGrade":11.14},{"slot":3,"position":"CB","player":"Emma Kelly","fitScore":15.92,"seasonScore":0.6056,"overallGrade":13.73},{"slot":4,"position":"CB","player":"Semilore Adesanya","fitScore":14.69,"seasonScore":0.6861,"overallGrade":12.76},{"slot":5,"position":"LB","player":"Hannah Fleming","fitScore":13.13,"seasonScore":0.7667,"overallGrade":12.22},{"slot":6,"position":"DM","player":"Tara Brannigan","fitScore":13.53,"seasonScore":0.7667,"overallGrade":11.73},{"slot":7,"position":"CM","player":"Roisin Offenhausen","fitScore":12.93,"seasonScore":0.8444,"overallGrade":11.97},{"slot":8,"position":"ACM","player":"Naomi Adewoyin","fitScore":11.97,"seasonScore":0.7667,"overallGrade":10.99},{"slot":9,"position":"RW","player":"Rama Abuowda","fitScore":14.53,"seasonScore":0.7667,"overallGrade":13.63},{"slot":10,"position":"ST","player":"Zara Freeman","fitScore":12.86,"seasonScore":0.6278,"overallGrade":11.86},{"slot":11,"position":"LW","player":"Amber Kilalee","fitScore":9.73,"seasonScore":0.7667,"overallGrade":9.01}],"notSelected":[{"player":"Aoife Kennan","position":"GK","overallGrade":6.7,"seasonScore":0.7667,"status":"Available"},{"player":"Zara Power","position":"RB","overallGrade":10.54,"seasonScore":0,"status":"Unavailable — Injured - Ankle injury - 6 week recovery plan (back 2 Oct)"},{"player":"Heidi Cerubini Dunne","position":"LB / RB","overallGrade":4.19,"seasonScore":0,"status":"Available"},{"player":"Shauna Kavanagh","position":"ST / RW","overallGrade":7.73,"seasonScore":0.7278,"status":"Available"},{"player":"Roma Memon","position":"DM / CM","overallGrade":10.62,"seasonScore":0.6278,"status":"Available"},{"player":"Emma Dromgoole","position":"RW / ST","overallGrade":9.66,"seasonScore":0.7667,"status":"Unavailable — Injured - Knee injury  (back 28 Aug)"},{"player":"Mariana Soares","position":"RB / CB","overallGrade":10.49,"seasonScore":0.7667,"status":"Available"}]}}},</v>
      </c>
    </row>
    <row r="15" spans="1:8" x14ac:dyDescent="0.45">
      <c r="A15" s="309" t="str">
        <f>"  "&amp;$H$11&amp;","</f>
        <v xml:space="preserve">  "matchReports":[{"gw":1,"date":"2026-08-30","opponent":"Stamullen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used","pos":"ACM","pos2":"LW","goals":0,"assists":2,"rating":7.5}],"matchNotes":"","keyNotes":""}],</v>
      </c>
    </row>
    <row r="16" spans="1:8" x14ac:dyDescent="0.45">
      <c r="A16" t="str">
        <f>"  "&amp;$H$12&amp;","</f>
        <v xml:space="preserve">  "preSeason":{"sessionsHeld":11,"squadAttendancePct":0.5775,"squadAvgWorkRate":3.14,"matchReady":4,"players":[{"name":"Aoife Kennan","rank":5,"sessionsAttended":8,"sessionsHeld":11,"attendancePct":0.7273,"avgWorkRate":2.88,"gradePct":0.6255,"readinessBand":"Nearly Ready"},{"name":"Stella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Adewoyin","rank":7,"sessionsAttended":7,"sessionsHeld":11,"attendancePct":0.6364,"avgWorkRate":3.43,"gradePct":0.6036,"readinessBand":"Not Ready for 90 min"},{"name":"Amber Kilalee","rank":11,"sessionsAttended":7,"sessionsHeld":11,"attendancePct":0.6364,"avgWorkRate":3,"gradePct":0.56,"readinessBand":"Nearly Ready"},{"name":"Shauna Kavanagh","rank":8,"sessionsAttended":9,"sessionsHeld":11,"attendancePct":0.8182,"avgWorkRate":2.22,"gradePct":0.5939,"readinessBand":"Improving"},{"name":"Tara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Fleming","rank":4,"sessionsAttended":8,"sessionsHeld":11,"attendancePct":0.7273,"avgWorkRate":3.25,"gradePct":0.6691,"readinessBand":"Not Ready for 90 min"},{"name":"Emma Kelly","rank":9,"sessionsAttended":7,"sessionsHeld":11,"attendancePct":0.6364,"avgWorkRate":3.29,"gradePct":0.5891,"readinessBand":"Not Ready for 90 min"},{"name":"Roma Memon","rank":10,"sessionsAttended":7,"sessionsHeld":11,"attendancePct":0.6364,"avgWorkRate":3.29,"gradePct":0.5891,"readinessBand":"Not Ready for 90 min"},{"name":"Emma Dromgoole","rank":12,"sessionsAttended":6,"sessionsHeld":11,"attendancePct":0.5455,"avgWorkRate":3.5,"gradePct":0.5236,"readinessBand":"Match Ready"},{"name":"Elsie Morrison","rank":3,"sessionsAttended":9,"sessionsHeld":11,"attendancePct":0.8182,"avgWorkRate":3.22,"gradePct":0.7139,"readinessBand":"Not Ready for 90 min"},{"name":"Zara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v>
      </c>
    </row>
    <row r="17" spans="1:79" x14ac:dyDescent="0.45">
      <c r="A17" t="str">
        <f ca="1">"  "&amp;$H$13</f>
        <v xml:space="preserve">  "homeScreen":{"asOf":"2026-08-25","source":"In-season","windowDays":7,"windowSessions":1,"topAllTime":[{"rank":1,"name":"Roisin Offenhausen","scorePct":0.8444,"basis":"In-season"},{"rank":2,"name":"Aoife Kennan","scorePct":0.7667,"basis":"In-season"},{"rank":3,"name":"Stella McEvoy","scorePct":0.7667,"basis":"In-season"},{"rank":4,"name":"Naomi Adewoyin","scorePct":0.7667,"basis":"In-season"},{"rank":5,"name":"Amber Kilalee","scorePct":0.7667,"basis":"In-season"}],"topLastWeek":[{"rank":1,"name":"Aoife Kennan","weekScorePct":0.76,"attended":1,"sessionsHeld":1,"avgWorkRate":3},{"rank":2,"name":"Stella McEvoy","weekScorePct":0.76,"attended":1,"sessionsHeld":1,"avgWorkRate":3},{"rank":3,"name":"Roisin Offenhausen","weekScorePct":0.76,"attended":1,"sessionsHeld":1,"avgWorkRate":3},{"rank":4,"name":"Naomi Adewoyin","weekScorePct":0.76,"attended":1,"sessionsHeld":1,"avgWorkRate":3},{"rank":5,"name":"Amber Kilalee","weekScorePct":0.76,"attended":1,"sessionsHeld":1,"avgWorkRate":3}],"topScorers":[{"rank":1,"name":"Roisin Offenhausen","goals":3,"assists":0,"apps":1},{"rank":2,"name":"Naomi Adewoyin","goals":1,"assists":0,"apps":1},{"rank":3,"name":"Shauna Kavanagh","goals":1,"assists":0,"apps":1},{"rank":4,"name":"Semilore Adesanya","goals":1,"assists":1,"apps":1},{"rank":5,"name":"Emma Kelly","goals":1,"assists":0,"apps":1},{"rank":6,"name":"Elsie Morrison","goals":1,"assists":0,"apps":1},{"rank":7,"name":"Zara Freeman","goals":1,"assists":0,"apps":1}],"topAssists":[{"rank":1,"name":"Amber Kilalee","assists":2,"goals":0,"apps":1},{"rank":2,"name":"Rama Abuowda","assists":2,"goals":0,"apps":1},{"rank":3,"name":"Semilore Adesanya","assists":1,"goals":1,"apps":1}],"readinessGroups":[{"band":"Match Ready","count":1,"players":["Roisin Offenhausen"]},{"band":"Not Ready for 90 min","count":6,"players":["Naomi Adewoyin","Tara Brannigan","Semilore Adesanya","Emma Kelly","Elsie Morrison","Zara Freeman"]},{"band":"Nearly Ready","count":9,"players":["Aoife Kennan","Stella McEvoy","Amber Kilalee","Shauna Kavanagh","Hannah Fleming","Roma Memon","Emma Dromgoole","Mariana Soares","Rama Abuowda"]},{"band":"Improving","count":0,"players":[]},{"band":"Not Ready","count":0,"players":[]},{"band":"Critical","count":0,"players":[]},{"band":"Insufficient data","count":2,"players":["Zara Power","Heidi Cerubini Dunne"]}]}</v>
      </c>
    </row>
    <row r="18" spans="1:79" x14ac:dyDescent="0.45">
      <c r="A18" t="s">
        <v>419</v>
      </c>
    </row>
    <row r="19" spans="1:79" x14ac:dyDescent="0.45">
      <c r="J19" s="310" t="s">
        <v>414</v>
      </c>
      <c r="K19" s="310"/>
      <c r="L19" s="310" t="s">
        <v>413</v>
      </c>
      <c r="M19" s="310"/>
      <c r="N19" s="310" t="s">
        <v>412</v>
      </c>
      <c r="O19" s="310"/>
      <c r="P19" s="310" t="s">
        <v>411</v>
      </c>
      <c r="Q19" s="310"/>
      <c r="R19" s="310" t="s">
        <v>420</v>
      </c>
      <c r="S19" s="310"/>
      <c r="T19" s="310" t="s">
        <v>421</v>
      </c>
      <c r="U19" s="310"/>
      <c r="V19" s="310" t="s">
        <v>422</v>
      </c>
      <c r="W19" s="310"/>
      <c r="X19" s="310" t="s">
        <v>423</v>
      </c>
      <c r="Y19" s="310"/>
      <c r="Z19" s="310" t="s">
        <v>424</v>
      </c>
      <c r="AD19" s="283" t="s">
        <v>417</v>
      </c>
      <c r="AF19" s="283" t="s">
        <v>425</v>
      </c>
      <c r="AH19" s="283" t="s">
        <v>426</v>
      </c>
      <c r="AJ19" s="283" t="s">
        <v>427</v>
      </c>
      <c r="AL19" t="s">
        <v>574</v>
      </c>
      <c r="AN19" t="s">
        <v>575</v>
      </c>
      <c r="AP19" t="s">
        <v>576</v>
      </c>
      <c r="AR19" t="s">
        <v>577</v>
      </c>
      <c r="AT19" t="s">
        <v>578</v>
      </c>
      <c r="AV19" t="s">
        <v>579</v>
      </c>
      <c r="AW19" t="s">
        <v>572</v>
      </c>
      <c r="AX19" t="s">
        <v>573</v>
      </c>
      <c r="BQ19" s="283" t="s">
        <v>605</v>
      </c>
      <c r="BS19" s="283" t="s">
        <v>606</v>
      </c>
      <c r="BU19" s="283" t="s">
        <v>607</v>
      </c>
      <c r="BW19" s="283" t="s">
        <v>608</v>
      </c>
      <c r="BZ19" s="283" t="s">
        <v>622</v>
      </c>
      <c r="CA19" s="283" t="s">
        <v>623</v>
      </c>
    </row>
    <row r="20" spans="1:79" ht="15.75" x14ac:dyDescent="0.5">
      <c r="A20" s="45" t="s">
        <v>428</v>
      </c>
      <c r="J20" t="str">
        <f>IF(Attendance!$D5="","","{""number"":"&amp;Attendance!$C5&amp;",""name"":"""&amp;Attendance!$D5&amp;""",""position"":"""&amp;'Player Grading'!$D6&amp;""",""availability"":"""&amp;'Team Selection'!$E64&amp;""",""unavailableReason"":"""&amp;'Team Selection'!$F64&amp;""",""trainingAttendancePct"":"&amp;ROUND(N(Attendance!$GC5),4)&amp;",""avgWorkRate"":"&amp;ROUND(N(Attendance!$GD5),2)&amp;",""matchdayAttendancePct"":"&amp;ROUND(N(Attendance!$GH5),4)&amp;",""minutes"":"&amp;N(Attendance!$GI5)&amp;",""avgMinutes"":"&amp;ROUND(N(Attendance!$GJ5),1)&amp;",""avgRating"":"&amp;ROUND(N(Attendance!$GK5),2)&amp;",""motm"":"&amp;N(Attendance!$GM5)&amp;",""seasonScore"":"&amp;ROUND(N(Attendance!$GN5),4)&amp;",""comment"":"""&amp;Attendance!$GR5&amp;""",""toWorkOn"":"""&amp;Attendance!$GS5&amp;""",""sessions"":["&amp;$X20&amp;"],""matches"":["&amp;$Z20&amp;"]}")</f>
        <v>{"number":1,"name":"Aoife Kennan","position":"GK","availability":"Yes","unavailableReason":"","trainingAttendancePct":1,"avgWorkRate":3,"matchdayAttendancePct":0,"minutes":0,"avgMinutes":0,"avgRating":6.5,"motm":0,"seasonScore":0.7667,"comment":"","toWorkOn":"","sessions":[[1,3],[1,3],[1,3]],"matches":[[-1,0,6.5,0]]}</v>
      </c>
      <c r="L20" t="str">
        <f>IF(Workings!$AE6="","","{""gw"":"&amp;Workings!$AD6&amp;",""date"":"""&amp;TEXT(Workings!$AE6,"yyyy-mm-dd")&amp;""",""opponent"":"""&amp;Workings!$AF6&amp;""",""venue"":"""&amp;Workings!$AG6&amp;""",""gf"":"&amp;N(Workings!$AH6)&amp;",""ga"":"&amp;N(Workings!$AI6)&amp;",""result"":"""&amp;Workings!$AJ6&amp;"""}")</f>
        <v>{"gw":1,"date":"2026-08-30","opponent":"Stamullen FC","venue":"A","gf":9,"ga":1,"result":"W"}</v>
      </c>
      <c r="N20" t="str">
        <f t="array" ref="N20">IF(LEN(INDEX(Attendance!$E$3:$CN$3,1,(1-1)*2+1))=0,"","{""index"":1,""gw"":1,""date"":"""&amp;TEXT(INDEX(Attendance!$E$3:$CN$3,1,(1-1)*2+1),"yyyy-mm-dd")&amp;"""}")</f>
        <v>{"index":1,"gw":1,"date":"2026-08-25"}</v>
      </c>
      <c r="P20" t="str">
        <f>"{""band"":"""&amp;Workings!$S6&amp;""",""from"":"&amp;Workings!$T6&amp;",""to"":"&amp;Workings!$U6&amp;",""players"":"&amp;Workings!$V6&amp;"}"</f>
        <v>{"band":"Critical","from":0,"to":1.5,"players":0}</v>
      </c>
      <c r="R20" t="str">
        <f>IF('Team Selection'!$D25="","","{""slot"":"&amp;'Team Selection'!$B25&amp;",""position"":"""&amp;'Team Selection'!$C25&amp;""",""player"":"""&amp;'Team Selection'!$D25&amp;""",""fitScore"":"&amp;ROUND(N('Team Selection'!$E25),2)&amp;",""seasonScore"":"&amp;ROUND(N('Team Selection'!$F25),4)&amp;",""overallGrade"":"&amp;ROUND(N('Team Selection'!$G25),2)&amp;"}")</f>
        <v>{"slot":1,"position":"GK","player":"Elsie Morrison","fitScore":10.94,"seasonScore":0.7667,"overallGrade":10.51}</v>
      </c>
      <c r="T20" t="str">
        <f>IF('Team Selection'!$C40="","","{""player"":"""&amp;'Team Selection'!$C40&amp;""",""position"":"""&amp;'Team Selection'!$D40&amp;""",""overallGrade"":"&amp;ROUND(N('Team Selection'!$E40),2)&amp;",""seasonScore"":"&amp;ROUND(N('Team Selection'!$F40),4)&amp;",""status"":"""&amp;'Team Selection'!$G40&amp;"""}")</f>
        <v>{"player":"Aoife Kennan","position":"GK","overallGrade":6.7,"seasonScore":0.7667,"status":"Available"}</v>
      </c>
      <c r="V20" t="str">
        <f>IF(OR('Team Selection'!$C64="",'Team Selection'!$E64="Yes"),"","{""player"":"""&amp;'Team Selection'!$C64&amp;""",""reason"":"""&amp;'Team Selection'!$F64&amp;"""}")</f>
        <v/>
      </c>
      <c r="X20" t="str" cm="1">
        <f t="array" ref="X20">IF(Attendance!$D5="","",_xlfn.TEXTJOIN(",",TRUE(),IF((Attendance!$E$4:$CN$4="Att")*((COLUMN(Attendance!$E$4:$CN$4)-COLUMN(Attendance!$E$4))/2+1&lt;=$BZ$41),"["&amp;IF(Attendance!$E5:$CN5="Yes",1,0)&amp;","&amp;IF(Attendance!$F5:$CO5="",0,Attendance!$F5:$CO5)&amp;"]","")))</f>
        <v>[1,3],[1,3],[1,3]</v>
      </c>
      <c r="Z20" t="str" cm="1">
        <f t="array" ref="Z20">IF(Attendance!$D5="","",_xlfn.TEXTJOIN(",",TRUE(),IF((Attendance!$CP$4:$FY$4="Att")*((COLUMN(Attendance!$CP$4:$FY$4)-COLUMN(Attendance!$CP$4))/4+1&lt;=$BZ$42),"["&amp;IF(Attendance!$CP5:$FY5="Yes",1,IF(Attendance!$CP5:$FY5="No",0,-1))&amp;","&amp;IF(Attendance!$CQ5:$FZ5="",0,Attendance!$CQ5:$FZ5)&amp;","&amp;IF(Attendance!$CR5:$GA5="",0,Attendance!$CR5:$GA5)&amp;","&amp;IF(Attendance!$CS5:$GB5="Yes",1,0)&amp;"]","")))</f>
        <v>[-1,0,6.5,0]</v>
      </c>
      <c r="AB20" t="str" cm="1">
        <f t="array" ref="AB20">IF(AND(INDEX('Match Day Reports'!$C:$C,$AW20+2)="",COUNTIF($AX20:$BO20,"?*")=0),"","{""gw"":"&amp;ROWS($AB$20:AB20)&amp;",""date"":"""&amp;IF(INDEX('Match Day Reports'!$B:$B,$AW20+2)="","",TEXT(INDEX('Match Day Reports'!$B:$B,$AW20+2),"yyyy-mm-dd"))&amp;""""&amp;",""opponent"":"""&amp;INDEX('Match Day Reports'!$C:$C,$AW20+2)&amp;""""&amp;",""venue"":"""&amp;INDEX('Match Day Reports'!$D:$D,$AW20+2)&amp;""""&amp;",""gf"":"&amp;N(INDEX('Match Day Reports'!$E:$E,$AW20+2))&amp;",""ga"":"&amp;N(INDEX('Match Day Reports'!$F:$F,$AW20+2))&amp;",""result"":"""&amp;INDEX('Match Day Reports'!$G:$G,$AW20+2)&amp;""""&amp;",""motm"":"""&amp;INDEX('Match Day Reports'!$H:$H,$AW20+2)&amp;""""&amp;",""xi"":["&amp;_xlfn.TEXTJOIN(",",TRUE(),$AX20:$BH20)&amp;"]"&amp;",""subs"":["&amp;_xlfn.TEXTJOIN(",",TRUE(),$BI20:$BO20)&amp;"]"&amp;",""matchNotes"":"""&amp;SUBSTITUTE(SUBSTITUTE(INDEX('Match Day Reports'!$C:$C,$AW20+24),"""","'"),CHAR(10)," ")&amp;""""&amp;",""keyNotes"":"""&amp;SUBSTITUTE(SUBSTITUTE(INDEX('Match Day Reports'!$C:$C,$AW20+25),"""","'"),CHAR(10)," ")&amp;""""&amp;"}")</f>
        <v>{"gw":1,"date":"2026-08-30","opponent":"Stamullen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used","pos":"ACM","pos2":"LW","goals":0,"assists":2,"rating":7.5}],"matchNotes":"","keyNotes":""}</v>
      </c>
      <c r="AD20" t="str">
        <f>IF(Workings!$AO6="","","{""name"":"""&amp;Workings!$AO6&amp;""",""rank"":"&amp;N(Workings!$AX6)&amp;",""sessionsAttended"":"&amp;N(Workings!$AP6)&amp;",""sessionsHeld"":"&amp;N(Workings!$AQ6)&amp;",""attendancePct"":"&amp;ROUND(N(Workings!$AR6),4)&amp;",""avgWorkRate"":"&amp;ROUND(N(Workings!$AS6),2)&amp;",""gradePct"":"&amp;ROUND(N(Workings!$AT6),4)&amp;",""readinessBand"":"""&amp;Workings!$AU6&amp;"""}")</f>
        <v>{"name":"Aoife Kennan","rank":5,"sessionsAttended":8,"sessionsHeld":11,"attendancePct":0.7273,"avgWorkRate":2.88,"gradePct":0.6255,"readinessBand":"Nearly Ready"}</v>
      </c>
      <c r="AF20" t="str">
        <f>IF(ROW()-19&gt;MIN(5,COUNT(Workings!$BM$6:$BM$25)),"","{""rank"":"&amp;(ROW()-19)&amp;",""name"":"""&amp;IFERROR(INDEX(Workings!$BJ$6:$BJ$25,MATCH(ROW()-19,Workings!$BM$6:$BM$25,0)),"")&amp;""",""scorePct"":"&amp;ROUND(N(IFERROR(INDEX(Workings!$BK$6:$BK$25,MATCH(ROW()-19,Workings!$BM$6:$BM$25,0)),0)),4)&amp;",""basis"":"""&amp;IFERROR(INDEX(Workings!$BL$6:$BL$25,MATCH(ROW()-19,Workings!$BM$6:$BM$25,0)),"")&amp;"""}")</f>
        <v>{"rank":1,"name":"Roisin Offenhausen","scorePct":0.8444,"basis":"In-season"}</v>
      </c>
      <c r="AH20"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{"rank":1,"name":"Aoife Kennan","weekScorePct":0.76,"attended":1,"sessionsHeld":1,"avgWorkRate":3}</v>
      </c>
      <c r="AJ20" t="str">
        <f>IF(Workings!$BO6="","","{""band"":"""&amp;Workings!$BO6&amp;""",""count"":"&amp;N(Workings!$BP6)&amp;",""players"":["&amp;IF(Workings!$BQ6="","",""""&amp;SUBSTITUTE(Workings!$BQ6,", ",""",""")&amp;"""")&amp;"]}")</f>
        <v>{"band":"Match Ready","count":1,"players":["Roisin Offenhausen"]}</v>
      </c>
      <c r="AL20" t="str" cm="1">
        <f t="array" ref="AL20">IF($AT20="","","{""rank"":1,""name"":"""&amp;INDEX(Dashboard!$C$93:$C$112,$AT20)&amp;""",""goals"":"&amp;N(INDEX(Dashboard!$G$93:$G$112,$AT20))&amp;",""assists"":"&amp;N(INDEX(Dashboard!$H$93:$H$112,$AT20))&amp;",""apps"":"&amp;N(INDEX(Dashboard!$F$93:$F$112,$AT20))&amp;"}")</f>
        <v>{"rank":1,"name":"Roisin Offenhausen","goals":3,"assists":0,"apps":1}</v>
      </c>
      <c r="AN20" t="str" cm="1">
        <f t="array" ref="AN20">IF($AV20="","","{""rank"":1,""name"":"""&amp;INDEX(Dashboard!$C$93:$C$112,$AV20)&amp;""",""assists"":"&amp;N(INDEX(Dashboard!$H$93:$H$112,$AV20))&amp;",""goals"":"&amp;N(INDEX(Dashboard!$G$93:$G$112,$AV20))&amp;",""apps"":"&amp;N(INDEX(Dashboard!$F$93:$F$112,$AV20))&amp;"}")</f>
        <v>{"rank":1,"name":"Amber Kilalee","assists":2,"goals":0,"apps":1}</v>
      </c>
      <c r="AP20">
        <f>IF(Dashboard!$C93="","",N(Dashboard!$G93)*1000-ROW())</f>
        <v>-20</v>
      </c>
      <c r="AR20">
        <f>IF(Dashboard!$C93="","",N(Dashboard!$H93)*1000-ROW())</f>
        <v>-20</v>
      </c>
      <c r="AT20">
        <f>IFERROR(IF(LARGE($AP$20:$AP$39,1)&lt;=0,"",MATCH(LARGE($AP$20:$AP$39,1),$AP$20:$AP$39,0)),"")</f>
        <v>5</v>
      </c>
      <c r="AV20">
        <f>IFERROR(IF(LARGE($AR$20:$AR$39,1)&lt;=0,"",MATCH(LARGE($AR$20:$AR$39,1),$AR$20:$AR$39,0)),"")</f>
        <v>7</v>
      </c>
      <c r="AW20">
        <f>80+(ROWS($AW$20:AW20)-1)*27</f>
        <v>80</v>
      </c>
      <c r="AX20" t="str" cm="1">
        <f t="array" ref="AX20">IF(INDEX('Match Day Reports'!$C:$C,$AW20+4+COLUMNS($AX$20:AX20))="","","{""name"":"""&amp;INDEX('Match Day Reports'!$C:$C,$AW20+4+COLUMNS($AX$20:AX20))&amp;""",""status"":"""&amp;INDEX('Match Day Reports'!$D:$D,$AW20+4+COLUMNS($AX$20:AX20))&amp;""",""pos"":"""&amp;INDEX('Match Day Reports'!$E:$E,$AW20+4+COLUMNS($AX$20:AX20))&amp;""",""pos2"":"""&amp;INDEX('Match Day Reports'!$F:$F,$AW20+4+COLUMNS($AX$20:AX20))&amp;""",""goals"":"&amp;N(INDEX('Match Day Reports'!$G:$G,$AW20+4+COLUMNS($AX$20:AX20)))&amp;",""assists"":"&amp;N(INDEX('Match Day Reports'!$H:$H,$AW20+4+COLUMNS($AX$20:AX20)))&amp;",""rating"":"&amp;N(INDEX('Match Day Reports'!$I:$I,$AW20+4+COLUMNS($AX$20:AX20)))&amp;"}")</f>
        <v>{"name":"Elsie Morrison","status":"Started","pos":"GK","pos2":"Striker","goals":1,"assists":0,"rating":8}</v>
      </c>
      <c r="AY20" t="str" cm="1">
        <f t="array" ref="AY20">IF(INDEX('Match Day Reports'!$C:$C,$AW20+4+COLUMNS($AX$20:AY20))="","","{""name"":"""&amp;INDEX('Match Day Reports'!$C:$C,$AW20+4+COLUMNS($AX$20:AY20))&amp;""",""status"":"""&amp;INDEX('Match Day Reports'!$D:$D,$AW20+4+COLUMNS($AX$20:AY20))&amp;""",""pos"":"""&amp;INDEX('Match Day Reports'!$E:$E,$AW20+4+COLUMNS($AX$20:AY20))&amp;""",""pos2"":"""&amp;INDEX('Match Day Reports'!$F:$F,$AW20+4+COLUMNS($AX$20:AY20))&amp;""",""goals"":"&amp;N(INDEX('Match Day Reports'!$G:$G,$AW20+4+COLUMNS($AX$20:AY20)))&amp;",""assists"":"&amp;N(INDEX('Match Day Reports'!$H:$H,$AW20+4+COLUMNS($AX$20:AY20)))&amp;",""rating"":"&amp;N(INDEX('Match Day Reports'!$I:$I,$AW20+4+COLUMNS($AX$20:AY20)))&amp;"}")</f>
        <v>{"name":"Stella McEvoy","status":"Started","pos":"LCB","pos2":"CB","goals":0,"assists":0,"rating":7.5}</v>
      </c>
      <c r="AZ20" t="str" cm="1">
        <f t="array" ref="AZ20">IF(INDEX('Match Day Reports'!$C:$C,$AW20+4+COLUMNS($AX$20:AZ20))="","","{""name"":"""&amp;INDEX('Match Day Reports'!$C:$C,$AW20+4+COLUMNS($AX$20:AZ20))&amp;""",""status"":"""&amp;INDEX('Match Day Reports'!$D:$D,$AW20+4+COLUMNS($AX$20:AZ20))&amp;""",""pos"":"""&amp;INDEX('Match Day Reports'!$E:$E,$AW20+4+COLUMNS($AX$20:AZ20))&amp;""",""pos2"":"""&amp;INDEX('Match Day Reports'!$F:$F,$AW20+4+COLUMNS($AX$20:AZ20))&amp;""",""goals"":"&amp;N(INDEX('Match Day Reports'!$G:$G,$AW20+4+COLUMNS($AX$20:AZ20)))&amp;",""assists"":"&amp;N(INDEX('Match Day Reports'!$H:$H,$AW20+4+COLUMNS($AX$20:AZ20)))&amp;",""rating"":"&amp;N(INDEX('Match Day Reports'!$I:$I,$AW20+4+COLUMNS($AX$20:AZ20)))&amp;"}")</f>
        <v>{"name":"Emma Kelly","status":"Started","pos":"CB","pos2":"","goals":1,"assists":0,"rating":8}</v>
      </c>
      <c r="BA20" t="str" cm="1">
        <f t="array" ref="BA20">IF(INDEX('Match Day Reports'!$C:$C,$AW20+4+COLUMNS($AX$20:BA20))="","","{""name"":"""&amp;INDEX('Match Day Reports'!$C:$C,$AW20+4+COLUMNS($AX$20:BA20))&amp;""",""status"":"""&amp;INDEX('Match Day Reports'!$D:$D,$AW20+4+COLUMNS($AX$20:BA20))&amp;""",""pos"":"""&amp;INDEX('Match Day Reports'!$E:$E,$AW20+4+COLUMNS($AX$20:BA20))&amp;""",""pos2"":"""&amp;INDEX('Match Day Reports'!$F:$F,$AW20+4+COLUMNS($AX$20:BA20))&amp;""",""goals"":"&amp;N(INDEX('Match Day Reports'!$G:$G,$AW20+4+COLUMNS($AX$20:BA20)))&amp;",""assists"":"&amp;N(INDEX('Match Day Reports'!$H:$H,$AW20+4+COLUMNS($AX$20:BA20)))&amp;",""rating"":"&amp;N(INDEX('Match Day Reports'!$I:$I,$AW20+4+COLUMNS($AX$20:BA20)))&amp;"}")</f>
        <v>{"name":"Mariana Soares","status":"Started","pos":"RCB","pos2":"RB","goals":0,"assists":0,"rating":7.5}</v>
      </c>
      <c r="BB20" t="str" cm="1">
        <f t="array" ref="BB20">IF(INDEX('Match Day Reports'!$C:$C,$AW20+4+COLUMNS($AX$20:BB20))="","","{""name"":"""&amp;INDEX('Match Day Reports'!$C:$C,$AW20+4+COLUMNS($AX$20:BB20))&amp;""",""status"":"""&amp;INDEX('Match Day Reports'!$D:$D,$AW20+4+COLUMNS($AX$20:BB20))&amp;""",""pos"":"""&amp;INDEX('Match Day Reports'!$E:$E,$AW20+4+COLUMNS($AX$20:BB20))&amp;""",""pos2"":"""&amp;INDEX('Match Day Reports'!$F:$F,$AW20+4+COLUMNS($AX$20:BB20))&amp;""",""goals"":"&amp;N(INDEX('Match Day Reports'!$G:$G,$AW20+4+COLUMNS($AX$20:BB20)))&amp;",""assists"":"&amp;N(INDEX('Match Day Reports'!$H:$H,$AW20+4+COLUMNS($AX$20:BB20)))&amp;",""rating"":"&amp;N(INDEX('Match Day Reports'!$I:$I,$AW20+4+COLUMNS($AX$20:BB20)))&amp;"}")</f>
        <v>{"name":"Semilore Adesanya","status":"Started","pos":"CDM","pos2":"CB","goals":1,"assists":1,"rating":8.5}</v>
      </c>
      <c r="BC20" t="str" cm="1">
        <f t="array" ref="BC20">IF(INDEX('Match Day Reports'!$C:$C,$AW20+4+COLUMNS($AX$20:BC20))="","","{""name"":"""&amp;INDEX('Match Day Reports'!$C:$C,$AW20+4+COLUMNS($AX$20:BC20))&amp;""",""status"":"""&amp;INDEX('Match Day Reports'!$D:$D,$AW20+4+COLUMNS($AX$20:BC20))&amp;""",""pos"":"""&amp;INDEX('Match Day Reports'!$E:$E,$AW20+4+COLUMNS($AX$20:BC20))&amp;""",""pos2"":"""&amp;INDEX('Match Day Reports'!$F:$F,$AW20+4+COLUMNS($AX$20:BC20))&amp;""",""goals"":"&amp;N(INDEX('Match Day Reports'!$G:$G,$AW20+4+COLUMNS($AX$20:BC20)))&amp;",""assists"":"&amp;N(INDEX('Match Day Reports'!$H:$H,$AW20+4+COLUMNS($AX$20:BC20)))&amp;",""rating"":"&amp;N(INDEX('Match Day Reports'!$I:$I,$AW20+4+COLUMNS($AX$20:BC20)))&amp;"}")</f>
        <v>{"name":"Tara Brannigan","status":"Started","pos":"CM","pos2":"","goals":0,"assists":0,"rating":8}</v>
      </c>
      <c r="BD20" t="str" cm="1">
        <f t="array" ref="BD20">IF(INDEX('Match Day Reports'!$C:$C,$AW20+4+COLUMNS($AX$20:BD20))="","","{""name"":"""&amp;INDEX('Match Day Reports'!$C:$C,$AW20+4+COLUMNS($AX$20:BD20))&amp;""",""status"":"""&amp;INDEX('Match Day Reports'!$D:$D,$AW20+4+COLUMNS($AX$20:BD20))&amp;""",""pos"":"""&amp;INDEX('Match Day Reports'!$E:$E,$AW20+4+COLUMNS($AX$20:BD20))&amp;""",""pos2"":"""&amp;INDEX('Match Day Reports'!$F:$F,$AW20+4+COLUMNS($AX$20:BD20))&amp;""",""goals"":"&amp;N(INDEX('Match Day Reports'!$G:$G,$AW20+4+COLUMNS($AX$20:BD20)))&amp;",""assists"":"&amp;N(INDEX('Match Day Reports'!$H:$H,$AW20+4+COLUMNS($AX$20:BD20)))&amp;",""rating"":"&amp;N(INDEX('Match Day Reports'!$I:$I,$AW20+4+COLUMNS($AX$20:BD20)))&amp;"}")</f>
        <v>{"name":"Hannah Fleming","status":"Started","pos":"LWB","pos2":"LB","goals":0,"assists":0,"rating":8}</v>
      </c>
      <c r="BE20" t="str" cm="1">
        <f t="array" ref="BE20">IF(INDEX('Match Day Reports'!$C:$C,$AW20+4+COLUMNS($AX$20:BE20))="","","{""name"":"""&amp;INDEX('Match Day Reports'!$C:$C,$AW20+4+COLUMNS($AX$20:BE20))&amp;""",""status"":"""&amp;INDEX('Match Day Reports'!$D:$D,$AW20+4+COLUMNS($AX$20:BE20))&amp;""",""pos"":"""&amp;INDEX('Match Day Reports'!$E:$E,$AW20+4+COLUMNS($AX$20:BE20))&amp;""",""pos2"":"""&amp;INDEX('Match Day Reports'!$F:$F,$AW20+4+COLUMNS($AX$20:BE20))&amp;""",""goals"":"&amp;N(INDEX('Match Day Reports'!$G:$G,$AW20+4+COLUMNS($AX$20:BE20)))&amp;",""assists"":"&amp;N(INDEX('Match Day Reports'!$H:$H,$AW20+4+COLUMNS($AX$20:BE20)))&amp;",""rating"":"&amp;N(INDEX('Match Day Reports'!$I:$I,$AW20+4+COLUMNS($AX$20:BE20)))&amp;"}")</f>
        <v>{"name":"Naomi Adewoyin","status":"Started","pos":"ACM","pos2":"CM","goals":1,"assists":0,"rating":7.5}</v>
      </c>
      <c r="BF20" t="str" cm="1">
        <f t="array" ref="BF20">IF(INDEX('Match Day Reports'!$C:$C,$AW20+4+COLUMNS($AX$20:BF20))="","","{""name"":"""&amp;INDEX('Match Day Reports'!$C:$C,$AW20+4+COLUMNS($AX$20:BF20))&amp;""",""status"":"""&amp;INDEX('Match Day Reports'!$D:$D,$AW20+4+COLUMNS($AX$20:BF20))&amp;""",""pos"":"""&amp;INDEX('Match Day Reports'!$E:$E,$AW20+4+COLUMNS($AX$20:BF20))&amp;""",""pos2"":"""&amp;INDEX('Match Day Reports'!$F:$F,$AW20+4+COLUMNS($AX$20:BF20))&amp;""",""goals"":"&amp;N(INDEX('Match Day Reports'!$G:$G,$AW20+4+COLUMNS($AX$20:BF20)))&amp;",""assists"":"&amp;N(INDEX('Match Day Reports'!$H:$H,$AW20+4+COLUMNS($AX$20:BF20)))&amp;",""rating"":"&amp;N(INDEX('Match Day Reports'!$I:$I,$AW20+4+COLUMNS($AX$20:BF20)))&amp;"}")</f>
        <v>{"name":"Zara Freeman","status":"Started","pos":"Striker","pos2":"","goals":1,"assists":0,"rating":8.5}</v>
      </c>
      <c r="BG20" t="str" cm="1">
        <f t="array" ref="BG20">IF(INDEX('Match Day Reports'!$C:$C,$AW20+4+COLUMNS($AX$20:BG20))="","","{""name"":"""&amp;INDEX('Match Day Reports'!$C:$C,$AW20+4+COLUMNS($AX$20:BG20))&amp;""",""status"":"""&amp;INDEX('Match Day Reports'!$D:$D,$AW20+4+COLUMNS($AX$20:BG20))&amp;""",""pos"":"""&amp;INDEX('Match Day Reports'!$E:$E,$AW20+4+COLUMNS($AX$20:BG20))&amp;""",""pos2"":"""&amp;INDEX('Match Day Reports'!$F:$F,$AW20+4+COLUMNS($AX$20:BG20))&amp;""",""goals"":"&amp;N(INDEX('Match Day Reports'!$G:$G,$AW20+4+COLUMNS($AX$20:BG20)))&amp;",""assists"":"&amp;N(INDEX('Match Day Reports'!$H:$H,$AW20+4+COLUMNS($AX$20:BG20)))&amp;",""rating"":"&amp;N(INDEX('Match Day Reports'!$I:$I,$AW20+4+COLUMNS($AX$20:BG20)))&amp;"}")</f>
        <v>{"name":"Roisin Offenhausen","status":"Started","pos":"Shadow Striker","pos2":"","goals":3,"assists":0,"rating":10}</v>
      </c>
      <c r="BH20" t="str" cm="1">
        <f t="array" ref="BH20">IF(INDEX('Match Day Reports'!$C:$C,$AW20+4+COLUMNS($AX$20:BH20))="","","{""name"":"""&amp;INDEX('Match Day Reports'!$C:$C,$AW20+4+COLUMNS($AX$20:BH20))&amp;""",""status"":"""&amp;INDEX('Match Day Reports'!$D:$D,$AW20+4+COLUMNS($AX$20:BH20))&amp;""",""pos"":"""&amp;INDEX('Match Day Reports'!$E:$E,$AW20+4+COLUMNS($AX$20:BH20))&amp;""",""pos2"":"""&amp;INDEX('Match Day Reports'!$F:$F,$AW20+4+COLUMNS($AX$20:BH20))&amp;""",""goals"":"&amp;N(INDEX('Match Day Reports'!$G:$G,$AW20+4+COLUMNS($AX$20:BH20)))&amp;",""assists"":"&amp;N(INDEX('Match Day Reports'!$H:$H,$AW20+4+COLUMNS($AX$20:BH20)))&amp;",""rating"":"&amp;N(INDEX('Match Day Reports'!$I:$I,$AW20+4+COLUMNS($AX$20:BH20)))&amp;"}")</f>
        <v>{"name":"Rama Abuowda","status":"Started","pos":"RWB","pos2":"LWB","goals":0,"assists":2,"rating":8.5}</v>
      </c>
      <c r="BI20" t="str" cm="1">
        <f t="array" ref="BI20">IF(INDEX('Match Day Reports'!$C:$C,$AW20+4+COLUMNS($AX$20:BI20))="","","{""name"":"""&amp;INDEX('Match Day Reports'!$C:$C,$AW20+4+COLUMNS($AX$20:BI20))&amp;""",""status"":"""&amp;INDEX('Match Day Reports'!$D:$D,$AW20+4+COLUMNS($AX$20:BI20))&amp;""",""pos"":"""&amp;INDEX('Match Day Reports'!$E:$E,$AW20+4+COLUMNS($AX$20:BI20))&amp;""",""pos2"":"""&amp;INDEX('Match Day Reports'!$F:$F,$AW20+4+COLUMNS($AX$20:BI20))&amp;""",""goals"":"&amp;N(INDEX('Match Day Reports'!$G:$G,$AW20+4+COLUMNS($AX$20:BI20)))&amp;",""assists"":"&amp;N(INDEX('Match Day Reports'!$H:$H,$AW20+4+COLUMNS($AX$20:BI20)))&amp;",""rating"":"&amp;N(INDEX('Match Day Reports'!$I:$I,$AW20+4+COLUMNS($AX$20:BI20)))&amp;"}")</f>
        <v>{"name":"Aoife Kennan","status":"Sub - used","pos":"GK","pos2":"","goals":0,"assists":0,"rating":6.5}</v>
      </c>
      <c r="BJ20" t="str" cm="1">
        <f t="array" ref="BJ20">IF(INDEX('Match Day Reports'!$C:$C,$AW20+4+COLUMNS($AX$20:BJ20))="","","{""name"":"""&amp;INDEX('Match Day Reports'!$C:$C,$AW20+4+COLUMNS($AX$20:BJ20))&amp;""",""status"":"""&amp;INDEX('Match Day Reports'!$D:$D,$AW20+4+COLUMNS($AX$20:BJ20))&amp;""",""pos"":"""&amp;INDEX('Match Day Reports'!$E:$E,$AW20+4+COLUMNS($AX$20:BJ20))&amp;""",""pos2"":"""&amp;INDEX('Match Day Reports'!$F:$F,$AW20+4+COLUMNS($AX$20:BJ20))&amp;""",""goals"":"&amp;N(INDEX('Match Day Reports'!$G:$G,$AW20+4+COLUMNS($AX$20:BJ20)))&amp;",""assists"":"&amp;N(INDEX('Match Day Reports'!$H:$H,$AW20+4+COLUMNS($AX$20:BJ20)))&amp;",""rating"":"&amp;N(INDEX('Match Day Reports'!$I:$I,$AW20+4+COLUMNS($AX$20:BJ20)))&amp;"}")</f>
        <v>{"name":"Emma Dromgoole","status":"Sub - used","pos":"RWB","pos2":"","goals":0,"assists":0,"rating":6.5}</v>
      </c>
      <c r="BK20" t="str" cm="1">
        <f t="array" ref="BK20">IF(INDEX('Match Day Reports'!$C:$C,$AW20+4+COLUMNS($AX$20:BK20))="","","{""name"":"""&amp;INDEX('Match Day Reports'!$C:$C,$AW20+4+COLUMNS($AX$20:BK20))&amp;""",""status"":"""&amp;INDEX('Match Day Reports'!$D:$D,$AW20+4+COLUMNS($AX$20:BK20))&amp;""",""pos"":"""&amp;INDEX('Match Day Reports'!$E:$E,$AW20+4+COLUMNS($AX$20:BK20))&amp;""",""pos2"":"""&amp;INDEX('Match Day Reports'!$F:$F,$AW20+4+COLUMNS($AX$20:BK20))&amp;""",""goals"":"&amp;N(INDEX('Match Day Reports'!$G:$G,$AW20+4+COLUMNS($AX$20:BK20)))&amp;",""assists"":"&amp;N(INDEX('Match Day Reports'!$H:$H,$AW20+4+COLUMNS($AX$20:BK20)))&amp;",""rating"":"&amp;N(INDEX('Match Day Reports'!$I:$I,$AW20+4+COLUMNS($AX$20:BK20)))&amp;"}")</f>
        <v>{"name":"Roma Memon","status":"Sub - used","pos":"CM","pos2":"","goals":0,"assists":0,"rating":6.5}</v>
      </c>
      <c r="BL20" t="str" cm="1">
        <f t="array" ref="BL20">IF(INDEX('Match Day Reports'!$C:$C,$AW20+4+COLUMNS($AX$20:BL20))="","","{""name"":"""&amp;INDEX('Match Day Reports'!$C:$C,$AW20+4+COLUMNS($AX$20:BL20))&amp;""",""status"":"""&amp;INDEX('Match Day Reports'!$D:$D,$AW20+4+COLUMNS($AX$20:BL20))&amp;""",""pos"":"""&amp;INDEX('Match Day Reports'!$E:$E,$AW20+4+COLUMNS($AX$20:BL20))&amp;""",""pos2"":"""&amp;INDEX('Match Day Reports'!$F:$F,$AW20+4+COLUMNS($AX$20:BL20))&amp;""",""goals"":"&amp;N(INDEX('Match Day Reports'!$G:$G,$AW20+4+COLUMNS($AX$20:BL20)))&amp;",""assists"":"&amp;N(INDEX('Match Day Reports'!$H:$H,$AW20+4+COLUMNS($AX$20:BL20)))&amp;",""rating"":"&amp;N(INDEX('Match Day Reports'!$I:$I,$AW20+4+COLUMNS($AX$20:BL20)))&amp;"}")</f>
        <v>{"name":"Shauna Kavanagh","status":"Sub - used","pos":"Shadow Striker","pos2":"","goals":1,"assists":0,"rating":7.5}</v>
      </c>
      <c r="BM20" t="str" cm="1">
        <f t="array" ref="BM20">IF(INDEX('Match Day Reports'!$C:$C,$AW20+4+COLUMNS($AX$20:BM20))="","","{""name"":"""&amp;INDEX('Match Day Reports'!$C:$C,$AW20+4+COLUMNS($AX$20:BM20))&amp;""",""status"":"""&amp;INDEX('Match Day Reports'!$D:$D,$AW20+4+COLUMNS($AX$20:BM20))&amp;""",""pos"":"""&amp;INDEX('Match Day Reports'!$E:$E,$AW20+4+COLUMNS($AX$20:BM20))&amp;""",""pos2"":"""&amp;INDEX('Match Day Reports'!$F:$F,$AW20+4+COLUMNS($AX$20:BM20))&amp;""",""goals"":"&amp;N(INDEX('Match Day Reports'!$G:$G,$AW20+4+COLUMNS($AX$20:BM20)))&amp;",""assists"":"&amp;N(INDEX('Match Day Reports'!$H:$H,$AW20+4+COLUMNS($AX$20:BM20)))&amp;",""rating"":"&amp;N(INDEX('Match Day Reports'!$I:$I,$AW20+4+COLUMNS($AX$20:BM20)))&amp;"}")</f>
        <v>{"name":"Amber Kilalee","status":"Sub - used","pos":"ACM","pos2":"LW","goals":0,"assists":2,"rating":7.5}</v>
      </c>
      <c r="BN20" t="str" cm="1">
        <f t="array" ref="BN20">IF(INDEX('Match Day Reports'!$C:$C,$AW20+4+COLUMNS($AX$20:BN20))="","","{""name"":"""&amp;INDEX('Match Day Reports'!$C:$C,$AW20+4+COLUMNS($AX$20:BN20))&amp;""",""status"":"""&amp;INDEX('Match Day Reports'!$D:$D,$AW20+4+COLUMNS($AX$20:BN20))&amp;""",""pos"":"""&amp;INDEX('Match Day Reports'!$E:$E,$AW20+4+COLUMNS($AX$20:BN20))&amp;""",""pos2"":"""&amp;INDEX('Match Day Reports'!$F:$F,$AW20+4+COLUMNS($AX$20:BN20))&amp;""",""goals"":"&amp;N(INDEX('Match Day Reports'!$G:$G,$AW20+4+COLUMNS($AX$20:BN20)))&amp;",""assists"":"&amp;N(INDEX('Match Day Reports'!$H:$H,$AW20+4+COLUMNS($AX$20:BN20)))&amp;",""rating"":"&amp;N(INDEX('Match Day Reports'!$I:$I,$AW20+4+COLUMNS($AX$20:BN20)))&amp;"}")</f>
        <v/>
      </c>
      <c r="BO20" t="str" cm="1">
        <f t="array" ref="BO20">IF(INDEX('Match Day Reports'!$C:$C,$AW20+4+COLUMNS($AX$20:BO20))="","","{""name"":"""&amp;INDEX('Match Day Reports'!$C:$C,$AW20+4+COLUMNS($AX$20:BO20))&amp;""",""status"":"""&amp;INDEX('Match Day Reports'!$D:$D,$AW20+4+COLUMNS($AX$20:BO20))&amp;""",""pos"":"""&amp;INDEX('Match Day Reports'!$E:$E,$AW20+4+COLUMNS($AX$20:BO20))&amp;""",""pos2"":"""&amp;INDEX('Match Day Reports'!$F:$F,$AW20+4+COLUMNS($AX$20:BO20))&amp;""",""goals"":"&amp;N(INDEX('Match Day Reports'!$G:$G,$AW20+4+COLUMNS($AX$20:BO20)))&amp;",""assists"":"&amp;N(INDEX('Match Day Reports'!$H:$H,$AW20+4+COLUMNS($AX$20:BO20)))&amp;",""rating"":"&amp;N(INDEX('Match Day Reports'!$I:$I,$AW20+4+COLUMNS($AX$20:BO20)))&amp;"}")</f>
        <v/>
      </c>
      <c r="BQ20" t="str">
        <f>IF('Team Selection'!$F146="","","{""slot"":"&amp;'Team Selection'!$B146&amp;",""position"":"""&amp;'Team Selection'!$C146&amp;""",""player"":"""&amp;'Team Selection'!$F146&amp;""",""fitScore"":"&amp;ROUND(N('Team Selection'!$G146),2)&amp;",""seasonScore"":"&amp;ROUND(N('Team Selection'!$H146),4)&amp;",""overallGrade"":"&amp;ROUND(N('Team Selection'!$I146),2)&amp;"}")</f>
        <v>{"slot":1,"position":"GK","player":"Elsie Morrison","fitScore":10.94,"seasonScore":0.7667,"overallGrade":10.51}</v>
      </c>
      <c r="BS20" t="str">
        <f>IF('Team Selection'!$F160="","","{""slot"":"&amp;'Team Selection'!$B160&amp;",""position"":"""&amp;'Team Selection'!$C160&amp;""",""player"":"""&amp;'Team Selection'!$F160&amp;""",""fitScore"":"&amp;ROUND(N('Team Selection'!$G160),2)&amp;",""seasonScore"":"&amp;ROUND(N('Team Selection'!$H160),4)&amp;",""overallGrade"":"&amp;ROUND(N('Team Selection'!$I160),2)&amp;"}")</f>
        <v>{"slot":1,"position":"GK","player":"Elsie Morrison","fitScore":10.94,"seasonScore":0.7667,"overallGrade":10.51}</v>
      </c>
      <c r="BU20" t="str">
        <f>IF('Team Selection'!$C174="","","{""player"":"""&amp;'Team Selection'!$C174&amp;""",""position"":"""&amp;'Team Selection'!$D174&amp;""",""overallGrade"":"&amp;ROUND(N('Team Selection'!$E174),2)&amp;",""seasonScore"":"&amp;ROUND(N('Team Selection'!$F174),4)&amp;",""status"":"""&amp;'Team Selection'!$G174&amp;"""}")</f>
        <v>{"player":"Aoife Kennan","position":"GK","overallGrade":6.7,"seasonScore":0.7667,"status":"Available"}</v>
      </c>
      <c r="BW20" t="str">
        <f>IF('Team Selection'!$C197="","","{""player"":"""&amp;'Team Selection'!$C197&amp;""",""position"":"""&amp;'Team Selection'!$D197&amp;""",""overallGrade"":"&amp;ROUND(N('Team Selection'!$E197),2)&amp;",""seasonScore"":"&amp;ROUND(N('Team Selection'!$F197),4)&amp;",""status"":"""&amp;'Team Selection'!$G197&amp;"""}")</f>
        <v>{"player":"Aoife Kennan","position":"GK","overallGrade":6.7,"seasonScore":0.7667,"status":"Available"}</v>
      </c>
      <c r="BZ20" cm="1">
        <f t="array" ref="BZ20">IF(Attendance!$D5="","",SUMPRODUCT((Attendance!$E$4:$CN$4="Att")*(Attendance!$E5:$CN5&lt;&gt;"")))</f>
        <v>3</v>
      </c>
      <c r="CA20" cm="1">
        <f t="array" ref="CA20">IF(Attendance!$D5="","",SUMPRODUCT((Attendance!$CP$4:$FY$4="Att")*((Attendance!$CP5:$FY5&lt;&gt;"")+(Attendance!$CQ5:$FZ5&lt;&gt;"")+(Attendance!$CR5:$GA5&lt;&gt;"")+(Attendance!$CS5:$GB5&lt;&gt;"")&gt;0)))</f>
        <v>1</v>
      </c>
    </row>
    <row r="21" spans="1:79" x14ac:dyDescent="0.45">
      <c r="A21" s="311" t="s">
        <v>429</v>
      </c>
      <c r="J21" t="str">
        <f>IF(Attendance!$D6="","","{""number"":"&amp;Attendance!$C6&amp;",""name"":"""&amp;Attendance!$D6&amp;""",""position"":"""&amp;'Player Grading'!$D7&amp;""",""availability"":"""&amp;'Team Selection'!$E65&amp;""",""unavailableReason"":"""&amp;'Team Selection'!$F65&amp;""",""trainingAttendancePct"":"&amp;ROUND(N(Attendance!$GC6),4)&amp;",""avgWorkRate"":"&amp;ROUND(N(Attendance!$GD6),2)&amp;",""matchdayAttendancePct"":"&amp;ROUND(N(Attendance!$GH6),4)&amp;",""minutes"":"&amp;N(Attendance!$GI6)&amp;",""avgMinutes"":"&amp;ROUND(N(Attendance!$GJ6),1)&amp;",""avgRating"":"&amp;ROUND(N(Attendance!$GK6),2)&amp;",""motm"":"&amp;N(Attendance!$GM6)&amp;",""seasonScore"":"&amp;ROUND(N(Attendance!$GN6),4)&amp;",""comment"":"""&amp;Attendance!$GR6&amp;""",""toWorkOn"":"""&amp;Attendance!$GS6&amp;""",""sessions"":["&amp;$X21&amp;"],""matches"":["&amp;$Z21&amp;"]}")</f>
        <v>{"number":2,"name":"Stella McEvoy","position":"LB / RB / CB","availability":"Yes","unavailableReason":"","trainingAttendancePct":1,"avgWorkRate":3,"matchdayAttendancePct":0,"minutes":0,"avgMinutes":0,"avgRating":7.5,"motm":0,"seasonScore":0.7667,"comment":"","toWorkOn":"","sessions":[[1,3],[1,3],[1,3]],"matches":[[-1,0,7.5,0]]}</v>
      </c>
      <c r="L21" t="str">
        <f>IF(Workings!$AE7="","","{""gw"":"&amp;Workings!$AD7&amp;",""date"":"""&amp;TEXT(Workings!$AE7,"yyyy-mm-dd")&amp;""",""opponent"":"""&amp;Workings!$AF7&amp;""",""venue"":"""&amp;Workings!$AG7&amp;""",""gf"":"&amp;N(Workings!$AH7)&amp;",""ga"":"&amp;N(Workings!$AI7)&amp;",""result"":"""&amp;Workings!$AJ7&amp;"""}")</f>
        <v/>
      </c>
      <c r="N21" t="str">
        <f t="array" ref="N21">IF(LEN(INDEX(Attendance!$E$3:$CN$3,1,(2-1)*2+1))=0,"","{""index"":2,""gw"":1,""date"":"""&amp;TEXT(INDEX(Attendance!$E$3:$CN$3,1,(2-1)*2+1),"yyyy-mm-dd")&amp;"""}")</f>
        <v/>
      </c>
      <c r="P21" t="str">
        <f>"{""band"":"""&amp;Workings!$S7&amp;""",""from"":"&amp;Workings!$T7&amp;",""to"":"&amp;Workings!$U7&amp;",""players"":"&amp;Workings!$V7&amp;"}"</f>
        <v>{"band":"Not Ready","from":1.51,"to":2,"players":0}</v>
      </c>
      <c r="R21" t="str">
        <f>IF('Team Selection'!$D26="","","{""slot"":"&amp;'Team Selection'!$B26&amp;",""position"":"""&amp;'Team Selection'!$C26&amp;""",""player"":"""&amp;'Team Selection'!$D26&amp;""",""fitScore"":"&amp;ROUND(N('Team Selection'!$E26),2)&amp;",""seasonScore"":"&amp;ROUND(N('Team Selection'!$F26),4)&amp;",""overallGrade"":"&amp;ROUND(N('Team Selection'!$G26),2)&amp;"}")</f>
        <v>{"slot":2,"position":"CB","player":"Stella McEvoy","fitScore":14.12,"seasonScore":0.7667,"overallGrade":11.14}</v>
      </c>
      <c r="T21" t="str">
        <f>IF('Team Selection'!$C41="","","{""player"":"""&amp;'Team Selection'!$C41&amp;""",""position"":"""&amp;'Team Selection'!$D41&amp;""",""overallGrade"":"&amp;ROUND(N('Team Selection'!$E41),2)&amp;",""seasonScore"":"&amp;ROUND(N('Team Selection'!$F41),4)&amp;",""status"":"""&amp;'Team Selection'!$G41&amp;"""}")</f>
        <v>{"player":"Zara Power","position":"RB","overallGrade":10.54,"seasonScore":0,"status":"Unavailable — Injured - Ankle injury - 6 week recovery plan (back 2 Oct)"}</v>
      </c>
      <c r="V21" t="str">
        <f>IF(OR('Team Selection'!$C65="",'Team Selection'!$E65="Yes"),"","{""player"":"""&amp;'Team Selection'!$C65&amp;""",""reason"":"""&amp;'Team Selection'!$F65&amp;"""}")</f>
        <v/>
      </c>
      <c r="X21" t="str" cm="1">
        <f t="array" ref="X21">IF(Attendance!$D6="","",_xlfn.TEXTJOIN(",",TRUE(),IF((Attendance!$E$4:$CN$4="Att")*((COLUMN(Attendance!$E$4:$CN$4)-COLUMN(Attendance!$E$4))/2+1&lt;=$BZ$41),"["&amp;IF(Attendance!$E6:$CN6="Yes",1,0)&amp;","&amp;IF(Attendance!$F6:$CO6="",0,Attendance!$F6:$CO6)&amp;"]","")))</f>
        <v>[1,3],[1,3],[1,3]</v>
      </c>
      <c r="Z21" t="str" cm="1">
        <f t="array" ref="Z21">IF(Attendance!$D6="","",_xlfn.TEXTJOIN(",",TRUE(),IF((Attendance!$CP$4:$FY$4="Att")*((COLUMN(Attendance!$CP$4:$FY$4)-COLUMN(Attendance!$CP$4))/4+1&lt;=$BZ$42),"["&amp;IF(Attendance!$CP6:$FY6="Yes",1,IF(Attendance!$CP6:$FY6="No",0,-1))&amp;","&amp;IF(Attendance!$CQ6:$FZ6="",0,Attendance!$CQ6:$FZ6)&amp;","&amp;IF(Attendance!$CR6:$GA6="",0,Attendance!$CR6:$GA6)&amp;","&amp;IF(Attendance!$CS6:$GB6="Yes",1,0)&amp;"]","")))</f>
        <v>[-1,0,7.5,0]</v>
      </c>
      <c r="AB21" t="str" cm="1">
        <f t="array" ref="AB21">IF(AND(INDEX('Match Day Reports'!$C:$C,$AW21+2)="",COUNTIF($AX21:$BO21,"?*")=0),"","{""gw"":"&amp;ROWS($AB$20:AB21)&amp;",""date"":"""&amp;IF(INDEX('Match Day Reports'!$B:$B,$AW21+2)="","",TEXT(INDEX('Match Day Reports'!$B:$B,$AW21+2),"yyyy-mm-dd"))&amp;""""&amp;",""opponent"":"""&amp;INDEX('Match Day Reports'!$C:$C,$AW21+2)&amp;""""&amp;",""venue"":"""&amp;INDEX('Match Day Reports'!$D:$D,$AW21+2)&amp;""""&amp;",""gf"":"&amp;N(INDEX('Match Day Reports'!$E:$E,$AW21+2))&amp;",""ga"":"&amp;N(INDEX('Match Day Reports'!$F:$F,$AW21+2))&amp;",""result"":"""&amp;INDEX('Match Day Reports'!$G:$G,$AW21+2)&amp;""""&amp;",""motm"":"""&amp;INDEX('Match Day Reports'!$H:$H,$AW21+2)&amp;""""&amp;",""xi"":["&amp;_xlfn.TEXTJOIN(",",TRUE(),$AX21:$BH21)&amp;"]"&amp;",""subs"":["&amp;_xlfn.TEXTJOIN(",",TRUE(),$BI21:$BO21)&amp;"]"&amp;",""matchNotes"":"""&amp;SUBSTITUTE(SUBSTITUTE(INDEX('Match Day Reports'!$C:$C,$AW21+24),"""","'"),CHAR(10)," ")&amp;""""&amp;",""keyNotes"":"""&amp;SUBSTITUTE(SUBSTITUTE(INDEX('Match Day Reports'!$C:$C,$AW21+25),"""","'"),CHAR(10)," ")&amp;""""&amp;"}")</f>
        <v/>
      </c>
      <c r="AD21" t="str">
        <f>IF(Workings!$AO7="","","{""name"":"""&amp;Workings!$AO7&amp;""",""rank"":"&amp;N(Workings!$AX7)&amp;",""sessionsAttended"":"&amp;N(Workings!$AP7)&amp;",""sessionsHeld"":"&amp;N(Workings!$AQ7)&amp;",""attendancePct"":"&amp;ROUND(N(Workings!$AR7),4)&amp;",""avgWorkRate"":"&amp;ROUND(N(Workings!$AS7),2)&amp;",""gradePct"":"&amp;ROUND(N(Workings!$AT7),4)&amp;",""readinessBand"":"""&amp;Workings!$AU7&amp;"""}")</f>
        <v>{"name":"Stella McEvoy","rank":1,"sessionsAttended":9,"sessionsHeld":11,"attendancePct":0.8182,"avgWorkRate":3.67,"gradePct":0.7673,"readinessBand":"Match Ready"}</v>
      </c>
      <c r="AF21" t="str">
        <f>IF(ROW()-19&gt;MIN(5,COUNT(Workings!$BM$6:$BM$25)),"","{""rank"":"&amp;(ROW()-19)&amp;",""name"":"""&amp;IFERROR(INDEX(Workings!$BJ$6:$BJ$25,MATCH(ROW()-19,Workings!$BM$6:$BM$25,0)),"")&amp;""",""scorePct"":"&amp;ROUND(N(IFERROR(INDEX(Workings!$BK$6:$BK$25,MATCH(ROW()-19,Workings!$BM$6:$BM$25,0)),0)),4)&amp;",""basis"":"""&amp;IFERROR(INDEX(Workings!$BL$6:$BL$25,MATCH(ROW()-19,Workings!$BM$6:$BM$25,0)),"")&amp;"""}")</f>
        <v>{"rank":2,"name":"Aoife Kennan","scorePct":0.7667,"basis":"In-season"}</v>
      </c>
      <c r="AH21"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{"rank":2,"name":"Stella McEvoy","weekScorePct":0.76,"attended":1,"sessionsHeld":1,"avgWorkRate":3}</v>
      </c>
      <c r="AJ21" t="str">
        <f>IF(Workings!$BO7="","","{""band"":"""&amp;Workings!$BO7&amp;""",""count"":"&amp;N(Workings!$BP7)&amp;",""players"":["&amp;IF(Workings!$BQ7="","",""""&amp;SUBSTITUTE(Workings!$BQ7,", ",""",""")&amp;"""")&amp;"]}")</f>
        <v>{"band":"Not Ready for 90 min","count":6,"players":["Naomi Adewoyin","Tara Brannigan","Semilore Adesanya","Emma Kelly","Elsie Morrison","Zara Freeman"]}</v>
      </c>
      <c r="AL21" t="str" cm="1">
        <f t="array" ref="AL21">IF($AT21="","","{""rank"":2,""name"":"""&amp;INDEX(Dashboard!$C$93:$C$112,$AT21)&amp;""",""goals"":"&amp;N(INDEX(Dashboard!$G$93:$G$112,$AT21))&amp;",""assists"":"&amp;N(INDEX(Dashboard!$H$93:$H$112,$AT21))&amp;",""apps"":"&amp;N(INDEX(Dashboard!$F$93:$F$112,$AT21))&amp;"}")</f>
        <v>{"rank":2,"name":"Naomi Adewoyin","goals":1,"assists":0,"apps":1}</v>
      </c>
      <c r="AN21" t="str" cm="1">
        <f t="array" ref="AN21">IF($AV21="","","{""rank"":2,""name"":"""&amp;INDEX(Dashboard!$C$93:$C$112,$AV21)&amp;""",""assists"":"&amp;N(INDEX(Dashboard!$H$93:$H$112,$AV21))&amp;",""goals"":"&amp;N(INDEX(Dashboard!$G$93:$G$112,$AV21))&amp;",""apps"":"&amp;N(INDEX(Dashboard!$F$93:$F$112,$AV21))&amp;"}")</f>
        <v>{"rank":2,"name":"Rama Abuowda","assists":2,"goals":0,"apps":1}</v>
      </c>
      <c r="AP21">
        <f>IF(Dashboard!$C94="","",N(Dashboard!$G94)*1000-ROW())</f>
        <v>-21</v>
      </c>
      <c r="AR21">
        <f>IF(Dashboard!$C94="","",N(Dashboard!$H94)*1000-ROW())</f>
        <v>-21</v>
      </c>
      <c r="AT21">
        <f>IFERROR(IF(LARGE($AP$20:$AP$39,2)&lt;=0,"",MATCH(LARGE($AP$20:$AP$39,2),$AP$20:$AP$39,0)),"")</f>
        <v>6</v>
      </c>
      <c r="AV21">
        <f>IFERROR(IF(LARGE($AR$20:$AR$39,2)&lt;=0,"",MATCH(LARGE($AR$20:$AR$39,2),$AR$20:$AR$39,0)),"")</f>
        <v>18</v>
      </c>
      <c r="AW21">
        <f>80+(ROWS($AW$20:AW21)-1)*27</f>
        <v>107</v>
      </c>
      <c r="AX21" t="str" cm="1">
        <f t="array" ref="AX21">IF(INDEX('Match Day Reports'!$C:$C,$AW21+4+COLUMNS($AX$20:AX21))="","","{""name"":"""&amp;INDEX('Match Day Reports'!$C:$C,$AW21+4+COLUMNS($AX$20:AX21))&amp;""",""status"":"""&amp;INDEX('Match Day Reports'!$D:$D,$AW21+4+COLUMNS($AX$20:AX21))&amp;""",""pos"":"""&amp;INDEX('Match Day Reports'!$E:$E,$AW21+4+COLUMNS($AX$20:AX21))&amp;""",""pos2"":"""&amp;INDEX('Match Day Reports'!$F:$F,$AW21+4+COLUMNS($AX$20:AX21))&amp;""",""goals"":"&amp;N(INDEX('Match Day Reports'!$G:$G,$AW21+4+COLUMNS($AX$20:AX21)))&amp;",""assists"":"&amp;N(INDEX('Match Day Reports'!$H:$H,$AW21+4+COLUMNS($AX$20:AX21)))&amp;",""rating"":"&amp;N(INDEX('Match Day Reports'!$I:$I,$AW21+4+COLUMNS($AX$20:AX21)))&amp;"}")</f>
        <v/>
      </c>
      <c r="AY21" t="str" cm="1">
        <f t="array" ref="AY21">IF(INDEX('Match Day Reports'!$C:$C,$AW21+4+COLUMNS($AX$20:AY21))="","","{""name"":"""&amp;INDEX('Match Day Reports'!$C:$C,$AW21+4+COLUMNS($AX$20:AY21))&amp;""",""status"":"""&amp;INDEX('Match Day Reports'!$D:$D,$AW21+4+COLUMNS($AX$20:AY21))&amp;""",""pos"":"""&amp;INDEX('Match Day Reports'!$E:$E,$AW21+4+COLUMNS($AX$20:AY21))&amp;""",""pos2"":"""&amp;INDEX('Match Day Reports'!$F:$F,$AW21+4+COLUMNS($AX$20:AY21))&amp;""",""goals"":"&amp;N(INDEX('Match Day Reports'!$G:$G,$AW21+4+COLUMNS($AX$20:AY21)))&amp;",""assists"":"&amp;N(INDEX('Match Day Reports'!$H:$H,$AW21+4+COLUMNS($AX$20:AY21)))&amp;",""rating"":"&amp;N(INDEX('Match Day Reports'!$I:$I,$AW21+4+COLUMNS($AX$20:AY21)))&amp;"}")</f>
        <v/>
      </c>
      <c r="AZ21" t="str" cm="1">
        <f t="array" ref="AZ21">IF(INDEX('Match Day Reports'!$C:$C,$AW21+4+COLUMNS($AX$20:AZ21))="","","{""name"":"""&amp;INDEX('Match Day Reports'!$C:$C,$AW21+4+COLUMNS($AX$20:AZ21))&amp;""",""status"":"""&amp;INDEX('Match Day Reports'!$D:$D,$AW21+4+COLUMNS($AX$20:AZ21))&amp;""",""pos"":"""&amp;INDEX('Match Day Reports'!$E:$E,$AW21+4+COLUMNS($AX$20:AZ21))&amp;""",""pos2"":"""&amp;INDEX('Match Day Reports'!$F:$F,$AW21+4+COLUMNS($AX$20:AZ21))&amp;""",""goals"":"&amp;N(INDEX('Match Day Reports'!$G:$G,$AW21+4+COLUMNS($AX$20:AZ21)))&amp;",""assists"":"&amp;N(INDEX('Match Day Reports'!$H:$H,$AW21+4+COLUMNS($AX$20:AZ21)))&amp;",""rating"":"&amp;N(INDEX('Match Day Reports'!$I:$I,$AW21+4+COLUMNS($AX$20:AZ21)))&amp;"}")</f>
        <v/>
      </c>
      <c r="BA21" t="str" cm="1">
        <f t="array" ref="BA21">IF(INDEX('Match Day Reports'!$C:$C,$AW21+4+COLUMNS($AX$20:BA21))="","","{""name"":"""&amp;INDEX('Match Day Reports'!$C:$C,$AW21+4+COLUMNS($AX$20:BA21))&amp;""",""status"":"""&amp;INDEX('Match Day Reports'!$D:$D,$AW21+4+COLUMNS($AX$20:BA21))&amp;""",""pos"":"""&amp;INDEX('Match Day Reports'!$E:$E,$AW21+4+COLUMNS($AX$20:BA21))&amp;""",""pos2"":"""&amp;INDEX('Match Day Reports'!$F:$F,$AW21+4+COLUMNS($AX$20:BA21))&amp;""",""goals"":"&amp;N(INDEX('Match Day Reports'!$G:$G,$AW21+4+COLUMNS($AX$20:BA21)))&amp;",""assists"":"&amp;N(INDEX('Match Day Reports'!$H:$H,$AW21+4+COLUMNS($AX$20:BA21)))&amp;",""rating"":"&amp;N(INDEX('Match Day Reports'!$I:$I,$AW21+4+COLUMNS($AX$20:BA21)))&amp;"}")</f>
        <v/>
      </c>
      <c r="BB21" t="str" cm="1">
        <f t="array" ref="BB21">IF(INDEX('Match Day Reports'!$C:$C,$AW21+4+COLUMNS($AX$20:BB21))="","","{""name"":"""&amp;INDEX('Match Day Reports'!$C:$C,$AW21+4+COLUMNS($AX$20:BB21))&amp;""",""status"":"""&amp;INDEX('Match Day Reports'!$D:$D,$AW21+4+COLUMNS($AX$20:BB21))&amp;""",""pos"":"""&amp;INDEX('Match Day Reports'!$E:$E,$AW21+4+COLUMNS($AX$20:BB21))&amp;""",""pos2"":"""&amp;INDEX('Match Day Reports'!$F:$F,$AW21+4+COLUMNS($AX$20:BB21))&amp;""",""goals"":"&amp;N(INDEX('Match Day Reports'!$G:$G,$AW21+4+COLUMNS($AX$20:BB21)))&amp;",""assists"":"&amp;N(INDEX('Match Day Reports'!$H:$H,$AW21+4+COLUMNS($AX$20:BB21)))&amp;",""rating"":"&amp;N(INDEX('Match Day Reports'!$I:$I,$AW21+4+COLUMNS($AX$20:BB21)))&amp;"}")</f>
        <v/>
      </c>
      <c r="BC21" t="str" cm="1">
        <f t="array" ref="BC21">IF(INDEX('Match Day Reports'!$C:$C,$AW21+4+COLUMNS($AX$20:BC21))="","","{""name"":"""&amp;INDEX('Match Day Reports'!$C:$C,$AW21+4+COLUMNS($AX$20:BC21))&amp;""",""status"":"""&amp;INDEX('Match Day Reports'!$D:$D,$AW21+4+COLUMNS($AX$20:BC21))&amp;""",""pos"":"""&amp;INDEX('Match Day Reports'!$E:$E,$AW21+4+COLUMNS($AX$20:BC21))&amp;""",""pos2"":"""&amp;INDEX('Match Day Reports'!$F:$F,$AW21+4+COLUMNS($AX$20:BC21))&amp;""",""goals"":"&amp;N(INDEX('Match Day Reports'!$G:$G,$AW21+4+COLUMNS($AX$20:BC21)))&amp;",""assists"":"&amp;N(INDEX('Match Day Reports'!$H:$H,$AW21+4+COLUMNS($AX$20:BC21)))&amp;",""rating"":"&amp;N(INDEX('Match Day Reports'!$I:$I,$AW21+4+COLUMNS($AX$20:BC21)))&amp;"}")</f>
        <v/>
      </c>
      <c r="BD21" t="str" cm="1">
        <f t="array" ref="BD21">IF(INDEX('Match Day Reports'!$C:$C,$AW21+4+COLUMNS($AX$20:BD21))="","","{""name"":"""&amp;INDEX('Match Day Reports'!$C:$C,$AW21+4+COLUMNS($AX$20:BD21))&amp;""",""status"":"""&amp;INDEX('Match Day Reports'!$D:$D,$AW21+4+COLUMNS($AX$20:BD21))&amp;""",""pos"":"""&amp;INDEX('Match Day Reports'!$E:$E,$AW21+4+COLUMNS($AX$20:BD21))&amp;""",""pos2"":"""&amp;INDEX('Match Day Reports'!$F:$F,$AW21+4+COLUMNS($AX$20:BD21))&amp;""",""goals"":"&amp;N(INDEX('Match Day Reports'!$G:$G,$AW21+4+COLUMNS($AX$20:BD21)))&amp;",""assists"":"&amp;N(INDEX('Match Day Reports'!$H:$H,$AW21+4+COLUMNS($AX$20:BD21)))&amp;",""rating"":"&amp;N(INDEX('Match Day Reports'!$I:$I,$AW21+4+COLUMNS($AX$20:BD21)))&amp;"}")</f>
        <v/>
      </c>
      <c r="BE21" t="str" cm="1">
        <f t="array" ref="BE21">IF(INDEX('Match Day Reports'!$C:$C,$AW21+4+COLUMNS($AX$20:BE21))="","","{""name"":"""&amp;INDEX('Match Day Reports'!$C:$C,$AW21+4+COLUMNS($AX$20:BE21))&amp;""",""status"":"""&amp;INDEX('Match Day Reports'!$D:$D,$AW21+4+COLUMNS($AX$20:BE21))&amp;""",""pos"":"""&amp;INDEX('Match Day Reports'!$E:$E,$AW21+4+COLUMNS($AX$20:BE21))&amp;""",""pos2"":"""&amp;INDEX('Match Day Reports'!$F:$F,$AW21+4+COLUMNS($AX$20:BE21))&amp;""",""goals"":"&amp;N(INDEX('Match Day Reports'!$G:$G,$AW21+4+COLUMNS($AX$20:BE21)))&amp;",""assists"":"&amp;N(INDEX('Match Day Reports'!$H:$H,$AW21+4+COLUMNS($AX$20:BE21)))&amp;",""rating"":"&amp;N(INDEX('Match Day Reports'!$I:$I,$AW21+4+COLUMNS($AX$20:BE21)))&amp;"}")</f>
        <v/>
      </c>
      <c r="BF21" t="str" cm="1">
        <f t="array" ref="BF21">IF(INDEX('Match Day Reports'!$C:$C,$AW21+4+COLUMNS($AX$20:BF21))="","","{""name"":"""&amp;INDEX('Match Day Reports'!$C:$C,$AW21+4+COLUMNS($AX$20:BF21))&amp;""",""status"":"""&amp;INDEX('Match Day Reports'!$D:$D,$AW21+4+COLUMNS($AX$20:BF21))&amp;""",""pos"":"""&amp;INDEX('Match Day Reports'!$E:$E,$AW21+4+COLUMNS($AX$20:BF21))&amp;""",""pos2"":"""&amp;INDEX('Match Day Reports'!$F:$F,$AW21+4+COLUMNS($AX$20:BF21))&amp;""",""goals"":"&amp;N(INDEX('Match Day Reports'!$G:$G,$AW21+4+COLUMNS($AX$20:BF21)))&amp;",""assists"":"&amp;N(INDEX('Match Day Reports'!$H:$H,$AW21+4+COLUMNS($AX$20:BF21)))&amp;",""rating"":"&amp;N(INDEX('Match Day Reports'!$I:$I,$AW21+4+COLUMNS($AX$20:BF21)))&amp;"}")</f>
        <v/>
      </c>
      <c r="BG21" t="str" cm="1">
        <f t="array" ref="BG21">IF(INDEX('Match Day Reports'!$C:$C,$AW21+4+COLUMNS($AX$20:BG21))="","","{""name"":"""&amp;INDEX('Match Day Reports'!$C:$C,$AW21+4+COLUMNS($AX$20:BG21))&amp;""",""status"":"""&amp;INDEX('Match Day Reports'!$D:$D,$AW21+4+COLUMNS($AX$20:BG21))&amp;""",""pos"":"""&amp;INDEX('Match Day Reports'!$E:$E,$AW21+4+COLUMNS($AX$20:BG21))&amp;""",""pos2"":"""&amp;INDEX('Match Day Reports'!$F:$F,$AW21+4+COLUMNS($AX$20:BG21))&amp;""",""goals"":"&amp;N(INDEX('Match Day Reports'!$G:$G,$AW21+4+COLUMNS($AX$20:BG21)))&amp;",""assists"":"&amp;N(INDEX('Match Day Reports'!$H:$H,$AW21+4+COLUMNS($AX$20:BG21)))&amp;",""rating"":"&amp;N(INDEX('Match Day Reports'!$I:$I,$AW21+4+COLUMNS($AX$20:BG21)))&amp;"}")</f>
        <v/>
      </c>
      <c r="BH21" t="str" cm="1">
        <f t="array" ref="BH21">IF(INDEX('Match Day Reports'!$C:$C,$AW21+4+COLUMNS($AX$20:BH21))="","","{""name"":"""&amp;INDEX('Match Day Reports'!$C:$C,$AW21+4+COLUMNS($AX$20:BH21))&amp;""",""status"":"""&amp;INDEX('Match Day Reports'!$D:$D,$AW21+4+COLUMNS($AX$20:BH21))&amp;""",""pos"":"""&amp;INDEX('Match Day Reports'!$E:$E,$AW21+4+COLUMNS($AX$20:BH21))&amp;""",""pos2"":"""&amp;INDEX('Match Day Reports'!$F:$F,$AW21+4+COLUMNS($AX$20:BH21))&amp;""",""goals"":"&amp;N(INDEX('Match Day Reports'!$G:$G,$AW21+4+COLUMNS($AX$20:BH21)))&amp;",""assists"":"&amp;N(INDEX('Match Day Reports'!$H:$H,$AW21+4+COLUMNS($AX$20:BH21)))&amp;",""rating"":"&amp;N(INDEX('Match Day Reports'!$I:$I,$AW21+4+COLUMNS($AX$20:BH21)))&amp;"}")</f>
        <v/>
      </c>
      <c r="BI21" t="str" cm="1">
        <f t="array" ref="BI21">IF(INDEX('Match Day Reports'!$C:$C,$AW21+4+COLUMNS($AX$20:BI21))="","","{""name"":"""&amp;INDEX('Match Day Reports'!$C:$C,$AW21+4+COLUMNS($AX$20:BI21))&amp;""",""status"":"""&amp;INDEX('Match Day Reports'!$D:$D,$AW21+4+COLUMNS($AX$20:BI21))&amp;""",""pos"":"""&amp;INDEX('Match Day Reports'!$E:$E,$AW21+4+COLUMNS($AX$20:BI21))&amp;""",""pos2"":"""&amp;INDEX('Match Day Reports'!$F:$F,$AW21+4+COLUMNS($AX$20:BI21))&amp;""",""goals"":"&amp;N(INDEX('Match Day Reports'!$G:$G,$AW21+4+COLUMNS($AX$20:BI21)))&amp;",""assists"":"&amp;N(INDEX('Match Day Reports'!$H:$H,$AW21+4+COLUMNS($AX$20:BI21)))&amp;",""rating"":"&amp;N(INDEX('Match Day Reports'!$I:$I,$AW21+4+COLUMNS($AX$20:BI21)))&amp;"}")</f>
        <v/>
      </c>
      <c r="BJ21" t="str" cm="1">
        <f t="array" ref="BJ21">IF(INDEX('Match Day Reports'!$C:$C,$AW21+4+COLUMNS($AX$20:BJ21))="","","{""name"":"""&amp;INDEX('Match Day Reports'!$C:$C,$AW21+4+COLUMNS($AX$20:BJ21))&amp;""",""status"":"""&amp;INDEX('Match Day Reports'!$D:$D,$AW21+4+COLUMNS($AX$20:BJ21))&amp;""",""pos"":"""&amp;INDEX('Match Day Reports'!$E:$E,$AW21+4+COLUMNS($AX$20:BJ21))&amp;""",""pos2"":"""&amp;INDEX('Match Day Reports'!$F:$F,$AW21+4+COLUMNS($AX$20:BJ21))&amp;""",""goals"":"&amp;N(INDEX('Match Day Reports'!$G:$G,$AW21+4+COLUMNS($AX$20:BJ21)))&amp;",""assists"":"&amp;N(INDEX('Match Day Reports'!$H:$H,$AW21+4+COLUMNS($AX$20:BJ21)))&amp;",""rating"":"&amp;N(INDEX('Match Day Reports'!$I:$I,$AW21+4+COLUMNS($AX$20:BJ21)))&amp;"}")</f>
        <v/>
      </c>
      <c r="BK21" t="str" cm="1">
        <f t="array" ref="BK21">IF(INDEX('Match Day Reports'!$C:$C,$AW21+4+COLUMNS($AX$20:BK21))="","","{""name"":"""&amp;INDEX('Match Day Reports'!$C:$C,$AW21+4+COLUMNS($AX$20:BK21))&amp;""",""status"":"""&amp;INDEX('Match Day Reports'!$D:$D,$AW21+4+COLUMNS($AX$20:BK21))&amp;""",""pos"":"""&amp;INDEX('Match Day Reports'!$E:$E,$AW21+4+COLUMNS($AX$20:BK21))&amp;""",""pos2"":"""&amp;INDEX('Match Day Reports'!$F:$F,$AW21+4+COLUMNS($AX$20:BK21))&amp;""",""goals"":"&amp;N(INDEX('Match Day Reports'!$G:$G,$AW21+4+COLUMNS($AX$20:BK21)))&amp;",""assists"":"&amp;N(INDEX('Match Day Reports'!$H:$H,$AW21+4+COLUMNS($AX$20:BK21)))&amp;",""rating"":"&amp;N(INDEX('Match Day Reports'!$I:$I,$AW21+4+COLUMNS($AX$20:BK21)))&amp;"}")</f>
        <v/>
      </c>
      <c r="BL21" t="str" cm="1">
        <f t="array" ref="BL21">IF(INDEX('Match Day Reports'!$C:$C,$AW21+4+COLUMNS($AX$20:BL21))="","","{""name"":"""&amp;INDEX('Match Day Reports'!$C:$C,$AW21+4+COLUMNS($AX$20:BL21))&amp;""",""status"":"""&amp;INDEX('Match Day Reports'!$D:$D,$AW21+4+COLUMNS($AX$20:BL21))&amp;""",""pos"":"""&amp;INDEX('Match Day Reports'!$E:$E,$AW21+4+COLUMNS($AX$20:BL21))&amp;""",""pos2"":"""&amp;INDEX('Match Day Reports'!$F:$F,$AW21+4+COLUMNS($AX$20:BL21))&amp;""",""goals"":"&amp;N(INDEX('Match Day Reports'!$G:$G,$AW21+4+COLUMNS($AX$20:BL21)))&amp;",""assists"":"&amp;N(INDEX('Match Day Reports'!$H:$H,$AW21+4+COLUMNS($AX$20:BL21)))&amp;",""rating"":"&amp;N(INDEX('Match Day Reports'!$I:$I,$AW21+4+COLUMNS($AX$20:BL21)))&amp;"}")</f>
        <v/>
      </c>
      <c r="BM21" t="str" cm="1">
        <f t="array" ref="BM21">IF(INDEX('Match Day Reports'!$C:$C,$AW21+4+COLUMNS($AX$20:BM21))="","","{""name"":"""&amp;INDEX('Match Day Reports'!$C:$C,$AW21+4+COLUMNS($AX$20:BM21))&amp;""",""status"":"""&amp;INDEX('Match Day Reports'!$D:$D,$AW21+4+COLUMNS($AX$20:BM21))&amp;""",""pos"":"""&amp;INDEX('Match Day Reports'!$E:$E,$AW21+4+COLUMNS($AX$20:BM21))&amp;""",""pos2"":"""&amp;INDEX('Match Day Reports'!$F:$F,$AW21+4+COLUMNS($AX$20:BM21))&amp;""",""goals"":"&amp;N(INDEX('Match Day Reports'!$G:$G,$AW21+4+COLUMNS($AX$20:BM21)))&amp;",""assists"":"&amp;N(INDEX('Match Day Reports'!$H:$H,$AW21+4+COLUMNS($AX$20:BM21)))&amp;",""rating"":"&amp;N(INDEX('Match Day Reports'!$I:$I,$AW21+4+COLUMNS($AX$20:BM21)))&amp;"}")</f>
        <v/>
      </c>
      <c r="BN21" t="str" cm="1">
        <f t="array" ref="BN21">IF(INDEX('Match Day Reports'!$C:$C,$AW21+4+COLUMNS($AX$20:BN21))="","","{""name"":"""&amp;INDEX('Match Day Reports'!$C:$C,$AW21+4+COLUMNS($AX$20:BN21))&amp;""",""status"":"""&amp;INDEX('Match Day Reports'!$D:$D,$AW21+4+COLUMNS($AX$20:BN21))&amp;""",""pos"":"""&amp;INDEX('Match Day Reports'!$E:$E,$AW21+4+COLUMNS($AX$20:BN21))&amp;""",""pos2"":"""&amp;INDEX('Match Day Reports'!$F:$F,$AW21+4+COLUMNS($AX$20:BN21))&amp;""",""goals"":"&amp;N(INDEX('Match Day Reports'!$G:$G,$AW21+4+COLUMNS($AX$20:BN21)))&amp;",""assists"":"&amp;N(INDEX('Match Day Reports'!$H:$H,$AW21+4+COLUMNS($AX$20:BN21)))&amp;",""rating"":"&amp;N(INDEX('Match Day Reports'!$I:$I,$AW21+4+COLUMNS($AX$20:BN21)))&amp;"}")</f>
        <v/>
      </c>
      <c r="BO21" t="str" cm="1">
        <f t="array" ref="BO21">IF(INDEX('Match Day Reports'!$C:$C,$AW21+4+COLUMNS($AX$20:BO21))="","","{""name"":"""&amp;INDEX('Match Day Reports'!$C:$C,$AW21+4+COLUMNS($AX$20:BO21))&amp;""",""status"":"""&amp;INDEX('Match Day Reports'!$D:$D,$AW21+4+COLUMNS($AX$20:BO21))&amp;""",""pos"":"""&amp;INDEX('Match Day Reports'!$E:$E,$AW21+4+COLUMNS($AX$20:BO21))&amp;""",""pos2"":"""&amp;INDEX('Match Day Reports'!$F:$F,$AW21+4+COLUMNS($AX$20:BO21))&amp;""",""goals"":"&amp;N(INDEX('Match Day Reports'!$G:$G,$AW21+4+COLUMNS($AX$20:BO21)))&amp;",""assists"":"&amp;N(INDEX('Match Day Reports'!$H:$H,$AW21+4+COLUMNS($AX$20:BO21)))&amp;",""rating"":"&amp;N(INDEX('Match Day Reports'!$I:$I,$AW21+4+COLUMNS($AX$20:BO21)))&amp;"}")</f>
        <v/>
      </c>
      <c r="BQ21" t="str">
        <f>IF('Team Selection'!$F147="","","{""slot"":"&amp;'Team Selection'!$B147&amp;",""position"":"""&amp;'Team Selection'!$C147&amp;""",""player"":"""&amp;'Team Selection'!$F147&amp;""",""fitScore"":"&amp;ROUND(N('Team Selection'!$G147),2)&amp;",""seasonScore"":"&amp;ROUND(N('Team Selection'!$H147),4)&amp;",""overallGrade"":"&amp;ROUND(N('Team Selection'!$I147),2)&amp;"}")</f>
        <v>{"slot":2,"position":"CB","player":"Stella McEvoy","fitScore":14.12,"seasonScore":0.7667,"overallGrade":11.14}</v>
      </c>
      <c r="BS21" t="str">
        <f>IF('Team Selection'!$F161="","","{""slot"":"&amp;'Team Selection'!$B161&amp;",""position"":"""&amp;'Team Selection'!$C161&amp;""",""player"":"""&amp;'Team Selection'!$F161&amp;""",""fitScore"":"&amp;ROUND(N('Team Selection'!$G161),2)&amp;",""seasonScore"":"&amp;ROUND(N('Team Selection'!$H161),4)&amp;",""overallGrade"":"&amp;ROUND(N('Team Selection'!$I161),2)&amp;"}")</f>
        <v>{"slot":2,"position":"RB","player":"Stella McEvoy","fitScore":12.67,"seasonScore":0.7667,"overallGrade":11.14}</v>
      </c>
      <c r="BU21" t="str">
        <f>IF('Team Selection'!$C175="","","{""player"":"""&amp;'Team Selection'!$C175&amp;""",""position"":"""&amp;'Team Selection'!$D175&amp;""",""overallGrade"":"&amp;ROUND(N('Team Selection'!$E175),2)&amp;",""seasonScore"":"&amp;ROUND(N('Team Selection'!$F175),4)&amp;",""status"":"""&amp;'Team Selection'!$G175&amp;"""}")</f>
        <v>{"player":"Zara Power","position":"RB","overallGrade":10.54,"seasonScore":0,"status":"Unavailable — Injured - Ankle injury - 6 week recovery plan (back 2 Oct)"}</v>
      </c>
      <c r="BW21" t="str">
        <f>IF('Team Selection'!$C198="","","{""player"":"""&amp;'Team Selection'!$C198&amp;""",""position"":"""&amp;'Team Selection'!$D198&amp;""",""overallGrade"":"&amp;ROUND(N('Team Selection'!$E198),2)&amp;",""seasonScore"":"&amp;ROUND(N('Team Selection'!$F198),4)&amp;",""status"":"""&amp;'Team Selection'!$G198&amp;"""}")</f>
        <v>{"player":"Zara Power","position":"RB","overallGrade":10.54,"seasonScore":0,"status":"Unavailable — Injured - Ankle injury - 6 week recovery plan (back 2 Oct)"}</v>
      </c>
      <c r="BZ21" cm="1">
        <f t="array" ref="BZ21">IF(Attendance!$D6="","",SUMPRODUCT((Attendance!$E$4:$CN$4="Att")*(Attendance!$E6:$CN6&lt;&gt;"")))</f>
        <v>3</v>
      </c>
      <c r="CA21" cm="1">
        <f t="array" ref="CA21">IF(Attendance!$D6="","",SUMPRODUCT((Attendance!$CP$4:$FY$4="Att")*((Attendance!$CP6:$FY6&lt;&gt;"")+(Attendance!$CQ6:$FZ6&lt;&gt;"")+(Attendance!$CR6:$GA6&lt;&gt;"")+(Attendance!$CS6:$GB6&lt;&gt;"")&gt;0)))</f>
        <v>1</v>
      </c>
    </row>
    <row r="22" spans="1:79" x14ac:dyDescent="0.45">
      <c r="A22" s="290" t="s">
        <v>430</v>
      </c>
      <c r="B22" s="312"/>
      <c r="J22" t="str">
        <f>IF(Attendance!$D7="","","{""number"":"&amp;Attendance!$C7&amp;",""name"":"""&amp;Attendance!$D7&amp;""",""position"":"""&amp;'Player Grading'!$D8&amp;""",""availability"":"""&amp;'Team Selection'!$E66&amp;""",""unavailableReason"":"""&amp;'Team Selection'!$F66&amp;""",""trainingAttendancePct"":"&amp;ROUND(N(Attendance!$GC7),4)&amp;",""avgWorkRate"":"&amp;ROUND(N(Attendance!$GD7),2)&amp;",""matchdayAttendancePct"":"&amp;ROUND(N(Attendance!$GH7),4)&amp;",""minutes"":"&amp;N(Attendance!$GI7)&amp;",""avgMinutes"":"&amp;ROUND(N(Attendance!$GJ7),1)&amp;",""avgRating"":"&amp;ROUND(N(Attendance!$GK7),2)&amp;",""motm"":"&amp;N(Attendance!$GM7)&amp;",""seasonScore"":"&amp;ROUND(N(Attendance!$GN7),4)&amp;",""comment"":"""&amp;Attendance!$GR7&amp;""",""toWorkOn"":"""&amp;Attendance!$GS7&amp;""",""sessions"":["&amp;$X22&amp;"],""matches"":["&amp;$Z22&amp;"]}")</f>
        <v>{"number":3,"name":"Zara Power","position":"RB","availability":"No","unavailableReason":"Injured - Ankle injury - 6 week recovery plan (back 2 Oct)","trainingAttendancePct":0,"avgWorkRate":0,"matchdayAttendancePct":0,"minutes":0,"avgMinutes":0,"avgRating":0,"motm":0,"seasonScore":0,"comment":"","toWorkOn":"","sessions":[[0,0],[0,0],[0,0]],"matches":[[-1,0,0,0]]}</v>
      </c>
      <c r="L22" t="str">
        <f>IF(Workings!$AE8="","","{""gw"":"&amp;Workings!$AD8&amp;",""date"":"""&amp;TEXT(Workings!$AE8,"yyyy-mm-dd")&amp;""",""opponent"":"""&amp;Workings!$AF8&amp;""",""venue"":"""&amp;Workings!$AG8&amp;""",""gf"":"&amp;N(Workings!$AH8)&amp;",""ga"":"&amp;N(Workings!$AI8)&amp;",""result"":"""&amp;Workings!$AJ8&amp;"""}")</f>
        <v/>
      </c>
      <c r="N22" t="str">
        <f t="array" ref="N22">IF(LEN(INDEX(Attendance!$E$3:$CN$3,1,(3-1)*2+1))=0,"","{""index"":3,""gw"":2,""date"":"""&amp;TEXT(INDEX(Attendance!$E$3:$CN$3,1,(3-1)*2+1),"yyyy-mm-dd")&amp;"""}")</f>
        <v/>
      </c>
      <c r="P22" t="str">
        <f>"{""band"":"""&amp;Workings!$S8&amp;""",""from"":"&amp;Workings!$T8&amp;",""to"":"&amp;Workings!$U8&amp;",""players"":"&amp;Workings!$V8&amp;"}"</f>
        <v>{"band":"Improving","from":2.01,"to":2.5,"players":0}</v>
      </c>
      <c r="R22" t="str">
        <f>IF('Team Selection'!$D27="","","{""slot"":"&amp;'Team Selection'!$B27&amp;",""position"":"""&amp;'Team Selection'!$C27&amp;""",""player"":"""&amp;'Team Selection'!$D27&amp;""",""fitScore"":"&amp;ROUND(N('Team Selection'!$E27),2)&amp;",""seasonScore"":"&amp;ROUND(N('Team Selection'!$F27),4)&amp;",""overallGrade"":"&amp;ROUND(N('Team Selection'!$G27),2)&amp;"}")</f>
        <v>{"slot":3,"position":"CB","player":"Emma Kelly","fitScore":15.92,"seasonScore":0.6056,"overallGrade":13.73}</v>
      </c>
      <c r="T22" t="str">
        <f>IF('Team Selection'!$C42="","","{""player"":"""&amp;'Team Selection'!$C42&amp;""",""position"":"""&amp;'Team Selection'!$D42&amp;""",""overallGrade"":"&amp;ROUND(N('Team Selection'!$E42),2)&amp;",""seasonScore"":"&amp;ROUND(N('Team Selection'!$F42),4)&amp;",""status"":"""&amp;'Team Selection'!$G42&amp;"""}")</f>
        <v>{"player":"Heidi Cerubini Dunne","position":"LB / RB","overallGrade":4.19,"seasonScore":0,"status":"Available"}</v>
      </c>
      <c r="V22" t="str">
        <f>IF(OR('Team Selection'!$C66="",'Team Selection'!$E66="Yes"),"","{""player"":"""&amp;'Team Selection'!$C66&amp;""",""reason"":"""&amp;'Team Selection'!$F66&amp;"""}")</f>
        <v>{"player":"Zara Power","reason":"Injured - Ankle injury - 6 week recovery plan (back 2 Oct)"}</v>
      </c>
      <c r="X22" t="str" cm="1">
        <f t="array" ref="X22">IF(Attendance!$D7="","",_xlfn.TEXTJOIN(",",TRUE(),IF((Attendance!$E$4:$CN$4="Att")*((COLUMN(Attendance!$E$4:$CN$4)-COLUMN(Attendance!$E$4))/2+1&lt;=$BZ$41),"["&amp;IF(Attendance!$E7:$CN7="Yes",1,0)&amp;","&amp;IF(Attendance!$F7:$CO7="",0,Attendance!$F7:$CO7)&amp;"]","")))</f>
        <v>[0,0],[0,0],[0,0]</v>
      </c>
      <c r="Z22" t="str" cm="1">
        <f t="array" ref="Z22">IF(Attendance!$D7="","",_xlfn.TEXTJOIN(",",TRUE(),IF((Attendance!$CP$4:$FY$4="Att")*((COLUMN(Attendance!$CP$4:$FY$4)-COLUMN(Attendance!$CP$4))/4+1&lt;=$BZ$42),"["&amp;IF(Attendance!$CP7:$FY7="Yes",1,IF(Attendance!$CP7:$FY7="No",0,-1))&amp;","&amp;IF(Attendance!$CQ7:$FZ7="",0,Attendance!$CQ7:$FZ7)&amp;","&amp;IF(Attendance!$CR7:$GA7="",0,Attendance!$CR7:$GA7)&amp;","&amp;IF(Attendance!$CS7:$GB7="Yes",1,0)&amp;"]","")))</f>
        <v>[-1,0,0,0]</v>
      </c>
      <c r="AB22" t="str" cm="1">
        <f t="array" ref="AB22">IF(AND(INDEX('Match Day Reports'!$C:$C,$AW22+2)="",COUNTIF($AX22:$BO22,"?*")=0),"","{""gw"":"&amp;ROWS($AB$20:AB22)&amp;",""date"":"""&amp;IF(INDEX('Match Day Reports'!$B:$B,$AW22+2)="","",TEXT(INDEX('Match Day Reports'!$B:$B,$AW22+2),"yyyy-mm-dd"))&amp;""""&amp;",""opponent"":"""&amp;INDEX('Match Day Reports'!$C:$C,$AW22+2)&amp;""""&amp;",""venue"":"""&amp;INDEX('Match Day Reports'!$D:$D,$AW22+2)&amp;""""&amp;",""gf"":"&amp;N(INDEX('Match Day Reports'!$E:$E,$AW22+2))&amp;",""ga"":"&amp;N(INDEX('Match Day Reports'!$F:$F,$AW22+2))&amp;",""result"":"""&amp;INDEX('Match Day Reports'!$G:$G,$AW22+2)&amp;""""&amp;",""motm"":"""&amp;INDEX('Match Day Reports'!$H:$H,$AW22+2)&amp;""""&amp;",""xi"":["&amp;_xlfn.TEXTJOIN(",",TRUE(),$AX22:$BH22)&amp;"]"&amp;",""subs"":["&amp;_xlfn.TEXTJOIN(",",TRUE(),$BI22:$BO22)&amp;"]"&amp;",""matchNotes"":"""&amp;SUBSTITUTE(SUBSTITUTE(INDEX('Match Day Reports'!$C:$C,$AW22+24),"""","'"),CHAR(10)," ")&amp;""""&amp;",""keyNotes"":"""&amp;SUBSTITUTE(SUBSTITUTE(INDEX('Match Day Reports'!$C:$C,$AW22+25),"""","'"),CHAR(10)," ")&amp;""""&amp;"}")</f>
        <v/>
      </c>
      <c r="AD22" t="str">
        <f>IF(Workings!$AO8="","","{""name"":"""&amp;Workings!$AO8&amp;""",""rank"":"&amp;N(Workings!$AX8)&amp;",""sessionsAttended"":"&amp;N(Workings!$AP8)&amp;",""sessionsHeld"":"&amp;N(Workings!$AQ8)&amp;",""attendancePct"":"&amp;ROUND(N(Workings!$AR8),4)&amp;",""avgWorkRate"":"&amp;ROUND(N(Workings!$AS8),2)&amp;",""gradePct"":"&amp;ROUND(N(Workings!$AT8),4)&amp;",""readinessBand"":"""&amp;Workings!$AU8&amp;"""}")</f>
        <v>{"name":"Zara Power","rank":16,"sessionsAttended":3,"sessionsHeld":11,"attendancePct":0.2727,"avgWorkRate":2.67,"gradePct":0.2255,"readinessBand":"Insufficient data"}</v>
      </c>
      <c r="AF22" t="str">
        <f>IF(ROW()-19&gt;MIN(5,COUNT(Workings!$BM$6:$BM$25)),"","{""rank"":"&amp;(ROW()-19)&amp;",""name"":"""&amp;IFERROR(INDEX(Workings!$BJ$6:$BJ$25,MATCH(ROW()-19,Workings!$BM$6:$BM$25,0)),"")&amp;""",""scorePct"":"&amp;ROUND(N(IFERROR(INDEX(Workings!$BK$6:$BK$25,MATCH(ROW()-19,Workings!$BM$6:$BM$25,0)),0)),4)&amp;",""basis"":"""&amp;IFERROR(INDEX(Workings!$BL$6:$BL$25,MATCH(ROW()-19,Workings!$BM$6:$BM$25,0)),"")&amp;"""}")</f>
        <v>{"rank":3,"name":"Stella McEvoy","scorePct":0.7667,"basis":"In-season"}</v>
      </c>
      <c r="AH22"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{"rank":3,"name":"Roisin Offenhausen","weekScorePct":0.76,"attended":1,"sessionsHeld":1,"avgWorkRate":3}</v>
      </c>
      <c r="AJ22" t="str">
        <f>IF(Workings!$BO8="","","{""band"":"""&amp;Workings!$BO8&amp;""",""count"":"&amp;N(Workings!$BP8)&amp;",""players"":["&amp;IF(Workings!$BQ8="","",""""&amp;SUBSTITUTE(Workings!$BQ8,", ",""",""")&amp;"""")&amp;"]}")</f>
        <v>{"band":"Nearly Ready","count":9,"players":["Aoife Kennan","Stella McEvoy","Amber Kilalee","Shauna Kavanagh","Hannah Fleming","Roma Memon","Emma Dromgoole","Mariana Soares","Rama Abuowda"]}</v>
      </c>
      <c r="AL22" t="str" cm="1">
        <f t="array" ref="AL22">IF($AT22="","","{""rank"":3,""name"":"""&amp;INDEX(Dashboard!$C$93:$C$112,$AT22)&amp;""",""goals"":"&amp;N(INDEX(Dashboard!$G$93:$G$112,$AT22))&amp;",""assists"":"&amp;N(INDEX(Dashboard!$H$93:$H$112,$AT22))&amp;",""apps"":"&amp;N(INDEX(Dashboard!$F$93:$F$112,$AT22))&amp;"}")</f>
        <v>{"rank":3,"name":"Shauna Kavanagh","goals":1,"assists":0,"apps":1}</v>
      </c>
      <c r="AN22" t="str" cm="1">
        <f t="array" ref="AN22">IF($AV22="","","{""rank"":3,""name"":"""&amp;INDEX(Dashboard!$C$93:$C$112,$AV22)&amp;""",""assists"":"&amp;N(INDEX(Dashboard!$H$93:$H$112,$AV22))&amp;",""goals"":"&amp;N(INDEX(Dashboard!$G$93:$G$112,$AV22))&amp;",""apps"":"&amp;N(INDEX(Dashboard!$F$93:$F$112,$AV22))&amp;"}")</f>
        <v>{"rank":3,"name":"Semilore Adesanya","assists":1,"goals":1,"apps":1}</v>
      </c>
      <c r="AP22">
        <f>IF(Dashboard!$C95="","",N(Dashboard!$G95)*1000-ROW())</f>
        <v>-22</v>
      </c>
      <c r="AR22">
        <f>IF(Dashboard!$C95="","",N(Dashboard!$H95)*1000-ROW())</f>
        <v>-22</v>
      </c>
      <c r="AT22">
        <f>IFERROR(IF(LARGE($AP$20:$AP$39,3)&lt;=0,"",MATCH(LARGE($AP$20:$AP$39,3),$AP$20:$AP$39,0)),"")</f>
        <v>8</v>
      </c>
      <c r="AV22">
        <f>IFERROR(IF(LARGE($AR$20:$AR$39,3)&lt;=0,"",MATCH(LARGE($AR$20:$AR$39,3),$AR$20:$AR$39,0)),"")</f>
        <v>10</v>
      </c>
      <c r="AW22">
        <f>80+(ROWS($AW$20:AW22)-1)*27</f>
        <v>134</v>
      </c>
      <c r="AX22" t="str" cm="1">
        <f t="array" ref="AX22">IF(INDEX('Match Day Reports'!$C:$C,$AW22+4+COLUMNS($AX$20:AX22))="","","{""name"":"""&amp;INDEX('Match Day Reports'!$C:$C,$AW22+4+COLUMNS($AX$20:AX22))&amp;""",""status"":"""&amp;INDEX('Match Day Reports'!$D:$D,$AW22+4+COLUMNS($AX$20:AX22))&amp;""",""pos"":"""&amp;INDEX('Match Day Reports'!$E:$E,$AW22+4+COLUMNS($AX$20:AX22))&amp;""",""pos2"":"""&amp;INDEX('Match Day Reports'!$F:$F,$AW22+4+COLUMNS($AX$20:AX22))&amp;""",""goals"":"&amp;N(INDEX('Match Day Reports'!$G:$G,$AW22+4+COLUMNS($AX$20:AX22)))&amp;",""assists"":"&amp;N(INDEX('Match Day Reports'!$H:$H,$AW22+4+COLUMNS($AX$20:AX22)))&amp;",""rating"":"&amp;N(INDEX('Match Day Reports'!$I:$I,$AW22+4+COLUMNS($AX$20:AX22)))&amp;"}")</f>
        <v/>
      </c>
      <c r="AY22" t="str" cm="1">
        <f t="array" ref="AY22">IF(INDEX('Match Day Reports'!$C:$C,$AW22+4+COLUMNS($AX$20:AY22))="","","{""name"":"""&amp;INDEX('Match Day Reports'!$C:$C,$AW22+4+COLUMNS($AX$20:AY22))&amp;""",""status"":"""&amp;INDEX('Match Day Reports'!$D:$D,$AW22+4+COLUMNS($AX$20:AY22))&amp;""",""pos"":"""&amp;INDEX('Match Day Reports'!$E:$E,$AW22+4+COLUMNS($AX$20:AY22))&amp;""",""pos2"":"""&amp;INDEX('Match Day Reports'!$F:$F,$AW22+4+COLUMNS($AX$20:AY22))&amp;""",""goals"":"&amp;N(INDEX('Match Day Reports'!$G:$G,$AW22+4+COLUMNS($AX$20:AY22)))&amp;",""assists"":"&amp;N(INDEX('Match Day Reports'!$H:$H,$AW22+4+COLUMNS($AX$20:AY22)))&amp;",""rating"":"&amp;N(INDEX('Match Day Reports'!$I:$I,$AW22+4+COLUMNS($AX$20:AY22)))&amp;"}")</f>
        <v/>
      </c>
      <c r="AZ22" t="str" cm="1">
        <f t="array" ref="AZ22">IF(INDEX('Match Day Reports'!$C:$C,$AW22+4+COLUMNS($AX$20:AZ22))="","","{""name"":"""&amp;INDEX('Match Day Reports'!$C:$C,$AW22+4+COLUMNS($AX$20:AZ22))&amp;""",""status"":"""&amp;INDEX('Match Day Reports'!$D:$D,$AW22+4+COLUMNS($AX$20:AZ22))&amp;""",""pos"":"""&amp;INDEX('Match Day Reports'!$E:$E,$AW22+4+COLUMNS($AX$20:AZ22))&amp;""",""pos2"":"""&amp;INDEX('Match Day Reports'!$F:$F,$AW22+4+COLUMNS($AX$20:AZ22))&amp;""",""goals"":"&amp;N(INDEX('Match Day Reports'!$G:$G,$AW22+4+COLUMNS($AX$20:AZ22)))&amp;",""assists"":"&amp;N(INDEX('Match Day Reports'!$H:$H,$AW22+4+COLUMNS($AX$20:AZ22)))&amp;",""rating"":"&amp;N(INDEX('Match Day Reports'!$I:$I,$AW22+4+COLUMNS($AX$20:AZ22)))&amp;"}")</f>
        <v/>
      </c>
      <c r="BA22" t="str" cm="1">
        <f t="array" ref="BA22">IF(INDEX('Match Day Reports'!$C:$C,$AW22+4+COLUMNS($AX$20:BA22))="","","{""name"":"""&amp;INDEX('Match Day Reports'!$C:$C,$AW22+4+COLUMNS($AX$20:BA22))&amp;""",""status"":"""&amp;INDEX('Match Day Reports'!$D:$D,$AW22+4+COLUMNS($AX$20:BA22))&amp;""",""pos"":"""&amp;INDEX('Match Day Reports'!$E:$E,$AW22+4+COLUMNS($AX$20:BA22))&amp;""",""pos2"":"""&amp;INDEX('Match Day Reports'!$F:$F,$AW22+4+COLUMNS($AX$20:BA22))&amp;""",""goals"":"&amp;N(INDEX('Match Day Reports'!$G:$G,$AW22+4+COLUMNS($AX$20:BA22)))&amp;",""assists"":"&amp;N(INDEX('Match Day Reports'!$H:$H,$AW22+4+COLUMNS($AX$20:BA22)))&amp;",""rating"":"&amp;N(INDEX('Match Day Reports'!$I:$I,$AW22+4+COLUMNS($AX$20:BA22)))&amp;"}")</f>
        <v/>
      </c>
      <c r="BB22" t="str" cm="1">
        <f t="array" ref="BB22">IF(INDEX('Match Day Reports'!$C:$C,$AW22+4+COLUMNS($AX$20:BB22))="","","{""name"":"""&amp;INDEX('Match Day Reports'!$C:$C,$AW22+4+COLUMNS($AX$20:BB22))&amp;""",""status"":"""&amp;INDEX('Match Day Reports'!$D:$D,$AW22+4+COLUMNS($AX$20:BB22))&amp;""",""pos"":"""&amp;INDEX('Match Day Reports'!$E:$E,$AW22+4+COLUMNS($AX$20:BB22))&amp;""",""pos2"":"""&amp;INDEX('Match Day Reports'!$F:$F,$AW22+4+COLUMNS($AX$20:BB22))&amp;""",""goals"":"&amp;N(INDEX('Match Day Reports'!$G:$G,$AW22+4+COLUMNS($AX$20:BB22)))&amp;",""assists"":"&amp;N(INDEX('Match Day Reports'!$H:$H,$AW22+4+COLUMNS($AX$20:BB22)))&amp;",""rating"":"&amp;N(INDEX('Match Day Reports'!$I:$I,$AW22+4+COLUMNS($AX$20:BB22)))&amp;"}")</f>
        <v/>
      </c>
      <c r="BC22" t="str" cm="1">
        <f t="array" ref="BC22">IF(INDEX('Match Day Reports'!$C:$C,$AW22+4+COLUMNS($AX$20:BC22))="","","{""name"":"""&amp;INDEX('Match Day Reports'!$C:$C,$AW22+4+COLUMNS($AX$20:BC22))&amp;""",""status"":"""&amp;INDEX('Match Day Reports'!$D:$D,$AW22+4+COLUMNS($AX$20:BC22))&amp;""",""pos"":"""&amp;INDEX('Match Day Reports'!$E:$E,$AW22+4+COLUMNS($AX$20:BC22))&amp;""",""pos2"":"""&amp;INDEX('Match Day Reports'!$F:$F,$AW22+4+COLUMNS($AX$20:BC22))&amp;""",""goals"":"&amp;N(INDEX('Match Day Reports'!$G:$G,$AW22+4+COLUMNS($AX$20:BC22)))&amp;",""assists"":"&amp;N(INDEX('Match Day Reports'!$H:$H,$AW22+4+COLUMNS($AX$20:BC22)))&amp;",""rating"":"&amp;N(INDEX('Match Day Reports'!$I:$I,$AW22+4+COLUMNS($AX$20:BC22)))&amp;"}")</f>
        <v/>
      </c>
      <c r="BD22" t="str" cm="1">
        <f t="array" ref="BD22">IF(INDEX('Match Day Reports'!$C:$C,$AW22+4+COLUMNS($AX$20:BD22))="","","{""name"":"""&amp;INDEX('Match Day Reports'!$C:$C,$AW22+4+COLUMNS($AX$20:BD22))&amp;""",""status"":"""&amp;INDEX('Match Day Reports'!$D:$D,$AW22+4+COLUMNS($AX$20:BD22))&amp;""",""pos"":"""&amp;INDEX('Match Day Reports'!$E:$E,$AW22+4+COLUMNS($AX$20:BD22))&amp;""",""pos2"":"""&amp;INDEX('Match Day Reports'!$F:$F,$AW22+4+COLUMNS($AX$20:BD22))&amp;""",""goals"":"&amp;N(INDEX('Match Day Reports'!$G:$G,$AW22+4+COLUMNS($AX$20:BD22)))&amp;",""assists"":"&amp;N(INDEX('Match Day Reports'!$H:$H,$AW22+4+COLUMNS($AX$20:BD22)))&amp;",""rating"":"&amp;N(INDEX('Match Day Reports'!$I:$I,$AW22+4+COLUMNS($AX$20:BD22)))&amp;"}")</f>
        <v/>
      </c>
      <c r="BE22" t="str" cm="1">
        <f t="array" ref="BE22">IF(INDEX('Match Day Reports'!$C:$C,$AW22+4+COLUMNS($AX$20:BE22))="","","{""name"":"""&amp;INDEX('Match Day Reports'!$C:$C,$AW22+4+COLUMNS($AX$20:BE22))&amp;""",""status"":"""&amp;INDEX('Match Day Reports'!$D:$D,$AW22+4+COLUMNS($AX$20:BE22))&amp;""",""pos"":"""&amp;INDEX('Match Day Reports'!$E:$E,$AW22+4+COLUMNS($AX$20:BE22))&amp;""",""pos2"":"""&amp;INDEX('Match Day Reports'!$F:$F,$AW22+4+COLUMNS($AX$20:BE22))&amp;""",""goals"":"&amp;N(INDEX('Match Day Reports'!$G:$G,$AW22+4+COLUMNS($AX$20:BE22)))&amp;",""assists"":"&amp;N(INDEX('Match Day Reports'!$H:$H,$AW22+4+COLUMNS($AX$20:BE22)))&amp;",""rating"":"&amp;N(INDEX('Match Day Reports'!$I:$I,$AW22+4+COLUMNS($AX$20:BE22)))&amp;"}")</f>
        <v/>
      </c>
      <c r="BF22" t="str" cm="1">
        <f t="array" ref="BF22">IF(INDEX('Match Day Reports'!$C:$C,$AW22+4+COLUMNS($AX$20:BF22))="","","{""name"":"""&amp;INDEX('Match Day Reports'!$C:$C,$AW22+4+COLUMNS($AX$20:BF22))&amp;""",""status"":"""&amp;INDEX('Match Day Reports'!$D:$D,$AW22+4+COLUMNS($AX$20:BF22))&amp;""",""pos"":"""&amp;INDEX('Match Day Reports'!$E:$E,$AW22+4+COLUMNS($AX$20:BF22))&amp;""",""pos2"":"""&amp;INDEX('Match Day Reports'!$F:$F,$AW22+4+COLUMNS($AX$20:BF22))&amp;""",""goals"":"&amp;N(INDEX('Match Day Reports'!$G:$G,$AW22+4+COLUMNS($AX$20:BF22)))&amp;",""assists"":"&amp;N(INDEX('Match Day Reports'!$H:$H,$AW22+4+COLUMNS($AX$20:BF22)))&amp;",""rating"":"&amp;N(INDEX('Match Day Reports'!$I:$I,$AW22+4+COLUMNS($AX$20:BF22)))&amp;"}")</f>
        <v/>
      </c>
      <c r="BG22" t="str" cm="1">
        <f t="array" ref="BG22">IF(INDEX('Match Day Reports'!$C:$C,$AW22+4+COLUMNS($AX$20:BG22))="","","{""name"":"""&amp;INDEX('Match Day Reports'!$C:$C,$AW22+4+COLUMNS($AX$20:BG22))&amp;""",""status"":"""&amp;INDEX('Match Day Reports'!$D:$D,$AW22+4+COLUMNS($AX$20:BG22))&amp;""",""pos"":"""&amp;INDEX('Match Day Reports'!$E:$E,$AW22+4+COLUMNS($AX$20:BG22))&amp;""",""pos2"":"""&amp;INDEX('Match Day Reports'!$F:$F,$AW22+4+COLUMNS($AX$20:BG22))&amp;""",""goals"":"&amp;N(INDEX('Match Day Reports'!$G:$G,$AW22+4+COLUMNS($AX$20:BG22)))&amp;",""assists"":"&amp;N(INDEX('Match Day Reports'!$H:$H,$AW22+4+COLUMNS($AX$20:BG22)))&amp;",""rating"":"&amp;N(INDEX('Match Day Reports'!$I:$I,$AW22+4+COLUMNS($AX$20:BG22)))&amp;"}")</f>
        <v/>
      </c>
      <c r="BH22" t="str" cm="1">
        <f t="array" ref="BH22">IF(INDEX('Match Day Reports'!$C:$C,$AW22+4+COLUMNS($AX$20:BH22))="","","{""name"":"""&amp;INDEX('Match Day Reports'!$C:$C,$AW22+4+COLUMNS($AX$20:BH22))&amp;""",""status"":"""&amp;INDEX('Match Day Reports'!$D:$D,$AW22+4+COLUMNS($AX$20:BH22))&amp;""",""pos"":"""&amp;INDEX('Match Day Reports'!$E:$E,$AW22+4+COLUMNS($AX$20:BH22))&amp;""",""pos2"":"""&amp;INDEX('Match Day Reports'!$F:$F,$AW22+4+COLUMNS($AX$20:BH22))&amp;""",""goals"":"&amp;N(INDEX('Match Day Reports'!$G:$G,$AW22+4+COLUMNS($AX$20:BH22)))&amp;",""assists"":"&amp;N(INDEX('Match Day Reports'!$H:$H,$AW22+4+COLUMNS($AX$20:BH22)))&amp;",""rating"":"&amp;N(INDEX('Match Day Reports'!$I:$I,$AW22+4+COLUMNS($AX$20:BH22)))&amp;"}")</f>
        <v/>
      </c>
      <c r="BI22" t="str" cm="1">
        <f t="array" ref="BI22">IF(INDEX('Match Day Reports'!$C:$C,$AW22+4+COLUMNS($AX$20:BI22))="","","{""name"":"""&amp;INDEX('Match Day Reports'!$C:$C,$AW22+4+COLUMNS($AX$20:BI22))&amp;""",""status"":"""&amp;INDEX('Match Day Reports'!$D:$D,$AW22+4+COLUMNS($AX$20:BI22))&amp;""",""pos"":"""&amp;INDEX('Match Day Reports'!$E:$E,$AW22+4+COLUMNS($AX$20:BI22))&amp;""",""pos2"":"""&amp;INDEX('Match Day Reports'!$F:$F,$AW22+4+COLUMNS($AX$20:BI22))&amp;""",""goals"":"&amp;N(INDEX('Match Day Reports'!$G:$G,$AW22+4+COLUMNS($AX$20:BI22)))&amp;",""assists"":"&amp;N(INDEX('Match Day Reports'!$H:$H,$AW22+4+COLUMNS($AX$20:BI22)))&amp;",""rating"":"&amp;N(INDEX('Match Day Reports'!$I:$I,$AW22+4+COLUMNS($AX$20:BI22)))&amp;"}")</f>
        <v/>
      </c>
      <c r="BJ22" t="str" cm="1">
        <f t="array" ref="BJ22">IF(INDEX('Match Day Reports'!$C:$C,$AW22+4+COLUMNS($AX$20:BJ22))="","","{""name"":"""&amp;INDEX('Match Day Reports'!$C:$C,$AW22+4+COLUMNS($AX$20:BJ22))&amp;""",""status"":"""&amp;INDEX('Match Day Reports'!$D:$D,$AW22+4+COLUMNS($AX$20:BJ22))&amp;""",""pos"":"""&amp;INDEX('Match Day Reports'!$E:$E,$AW22+4+COLUMNS($AX$20:BJ22))&amp;""",""pos2"":"""&amp;INDEX('Match Day Reports'!$F:$F,$AW22+4+COLUMNS($AX$20:BJ22))&amp;""",""goals"":"&amp;N(INDEX('Match Day Reports'!$G:$G,$AW22+4+COLUMNS($AX$20:BJ22)))&amp;",""assists"":"&amp;N(INDEX('Match Day Reports'!$H:$H,$AW22+4+COLUMNS($AX$20:BJ22)))&amp;",""rating"":"&amp;N(INDEX('Match Day Reports'!$I:$I,$AW22+4+COLUMNS($AX$20:BJ22)))&amp;"}")</f>
        <v/>
      </c>
      <c r="BK22" t="str" cm="1">
        <f t="array" ref="BK22">IF(INDEX('Match Day Reports'!$C:$C,$AW22+4+COLUMNS($AX$20:BK22))="","","{""name"":"""&amp;INDEX('Match Day Reports'!$C:$C,$AW22+4+COLUMNS($AX$20:BK22))&amp;""",""status"":"""&amp;INDEX('Match Day Reports'!$D:$D,$AW22+4+COLUMNS($AX$20:BK22))&amp;""",""pos"":"""&amp;INDEX('Match Day Reports'!$E:$E,$AW22+4+COLUMNS($AX$20:BK22))&amp;""",""pos2"":"""&amp;INDEX('Match Day Reports'!$F:$F,$AW22+4+COLUMNS($AX$20:BK22))&amp;""",""goals"":"&amp;N(INDEX('Match Day Reports'!$G:$G,$AW22+4+COLUMNS($AX$20:BK22)))&amp;",""assists"":"&amp;N(INDEX('Match Day Reports'!$H:$H,$AW22+4+COLUMNS($AX$20:BK22)))&amp;",""rating"":"&amp;N(INDEX('Match Day Reports'!$I:$I,$AW22+4+COLUMNS($AX$20:BK22)))&amp;"}")</f>
        <v/>
      </c>
      <c r="BL22" t="str" cm="1">
        <f t="array" ref="BL22">IF(INDEX('Match Day Reports'!$C:$C,$AW22+4+COLUMNS($AX$20:BL22))="","","{""name"":"""&amp;INDEX('Match Day Reports'!$C:$C,$AW22+4+COLUMNS($AX$20:BL22))&amp;""",""status"":"""&amp;INDEX('Match Day Reports'!$D:$D,$AW22+4+COLUMNS($AX$20:BL22))&amp;""",""pos"":"""&amp;INDEX('Match Day Reports'!$E:$E,$AW22+4+COLUMNS($AX$20:BL22))&amp;""",""pos2"":"""&amp;INDEX('Match Day Reports'!$F:$F,$AW22+4+COLUMNS($AX$20:BL22))&amp;""",""goals"":"&amp;N(INDEX('Match Day Reports'!$G:$G,$AW22+4+COLUMNS($AX$20:BL22)))&amp;",""assists"":"&amp;N(INDEX('Match Day Reports'!$H:$H,$AW22+4+COLUMNS($AX$20:BL22)))&amp;",""rating"":"&amp;N(INDEX('Match Day Reports'!$I:$I,$AW22+4+COLUMNS($AX$20:BL22)))&amp;"}")</f>
        <v/>
      </c>
      <c r="BM22" t="str" cm="1">
        <f t="array" ref="BM22">IF(INDEX('Match Day Reports'!$C:$C,$AW22+4+COLUMNS($AX$20:BM22))="","","{""name"":"""&amp;INDEX('Match Day Reports'!$C:$C,$AW22+4+COLUMNS($AX$20:BM22))&amp;""",""status"":"""&amp;INDEX('Match Day Reports'!$D:$D,$AW22+4+COLUMNS($AX$20:BM22))&amp;""",""pos"":"""&amp;INDEX('Match Day Reports'!$E:$E,$AW22+4+COLUMNS($AX$20:BM22))&amp;""",""pos2"":"""&amp;INDEX('Match Day Reports'!$F:$F,$AW22+4+COLUMNS($AX$20:BM22))&amp;""",""goals"":"&amp;N(INDEX('Match Day Reports'!$G:$G,$AW22+4+COLUMNS($AX$20:BM22)))&amp;",""assists"":"&amp;N(INDEX('Match Day Reports'!$H:$H,$AW22+4+COLUMNS($AX$20:BM22)))&amp;",""rating"":"&amp;N(INDEX('Match Day Reports'!$I:$I,$AW22+4+COLUMNS($AX$20:BM22)))&amp;"}")</f>
        <v/>
      </c>
      <c r="BN22" t="str" cm="1">
        <f t="array" ref="BN22">IF(INDEX('Match Day Reports'!$C:$C,$AW22+4+COLUMNS($AX$20:BN22))="","","{""name"":"""&amp;INDEX('Match Day Reports'!$C:$C,$AW22+4+COLUMNS($AX$20:BN22))&amp;""",""status"":"""&amp;INDEX('Match Day Reports'!$D:$D,$AW22+4+COLUMNS($AX$20:BN22))&amp;""",""pos"":"""&amp;INDEX('Match Day Reports'!$E:$E,$AW22+4+COLUMNS($AX$20:BN22))&amp;""",""pos2"":"""&amp;INDEX('Match Day Reports'!$F:$F,$AW22+4+COLUMNS($AX$20:BN22))&amp;""",""goals"":"&amp;N(INDEX('Match Day Reports'!$G:$G,$AW22+4+COLUMNS($AX$20:BN22)))&amp;",""assists"":"&amp;N(INDEX('Match Day Reports'!$H:$H,$AW22+4+COLUMNS($AX$20:BN22)))&amp;",""rating"":"&amp;N(INDEX('Match Day Reports'!$I:$I,$AW22+4+COLUMNS($AX$20:BN22)))&amp;"}")</f>
        <v/>
      </c>
      <c r="BO22" t="str" cm="1">
        <f t="array" ref="BO22">IF(INDEX('Match Day Reports'!$C:$C,$AW22+4+COLUMNS($AX$20:BO22))="","","{""name"":"""&amp;INDEX('Match Day Reports'!$C:$C,$AW22+4+COLUMNS($AX$20:BO22))&amp;""",""status"":"""&amp;INDEX('Match Day Reports'!$D:$D,$AW22+4+COLUMNS($AX$20:BO22))&amp;""",""pos"":"""&amp;INDEX('Match Day Reports'!$E:$E,$AW22+4+COLUMNS($AX$20:BO22))&amp;""",""pos2"":"""&amp;INDEX('Match Day Reports'!$F:$F,$AW22+4+COLUMNS($AX$20:BO22))&amp;""",""goals"":"&amp;N(INDEX('Match Day Reports'!$G:$G,$AW22+4+COLUMNS($AX$20:BO22)))&amp;",""assists"":"&amp;N(INDEX('Match Day Reports'!$H:$H,$AW22+4+COLUMNS($AX$20:BO22)))&amp;",""rating"":"&amp;N(INDEX('Match Day Reports'!$I:$I,$AW22+4+COLUMNS($AX$20:BO22)))&amp;"}")</f>
        <v/>
      </c>
      <c r="BQ22" t="str">
        <f>IF('Team Selection'!$F148="","","{""slot"":"&amp;'Team Selection'!$B148&amp;",""position"":"""&amp;'Team Selection'!$C148&amp;""",""player"":"""&amp;'Team Selection'!$F148&amp;""",""fitScore"":"&amp;ROUND(N('Team Selection'!$G148),2)&amp;",""seasonScore"":"&amp;ROUND(N('Team Selection'!$H148),4)&amp;",""overallGrade"":"&amp;ROUND(N('Team Selection'!$I148),2)&amp;"}")</f>
        <v>{"slot":3,"position":"CB","player":"Emma Kelly","fitScore":15.92,"seasonScore":0.6056,"overallGrade":13.73}</v>
      </c>
      <c r="BS22" t="str">
        <f>IF('Team Selection'!$F162="","","{""slot"":"&amp;'Team Selection'!$B162&amp;",""position"":"""&amp;'Team Selection'!$C162&amp;""",""player"":"""&amp;'Team Selection'!$F162&amp;""",""fitScore"":"&amp;ROUND(N('Team Selection'!$G162),2)&amp;",""seasonScore"":"&amp;ROUND(N('Team Selection'!$H162),4)&amp;",""overallGrade"":"&amp;ROUND(N('Team Selection'!$I162),2)&amp;"}")</f>
        <v>{"slot":3,"position":"CB","player":"Emma Kelly","fitScore":15.92,"seasonScore":0.6056,"overallGrade":13.73}</v>
      </c>
      <c r="BU22" t="str">
        <f>IF('Team Selection'!$C176="","","{""player"":"""&amp;'Team Selection'!$C176&amp;""",""position"":"""&amp;'Team Selection'!$D176&amp;""",""overallGrade"":"&amp;ROUND(N('Team Selection'!$E176),2)&amp;",""seasonScore"":"&amp;ROUND(N('Team Selection'!$F176),4)&amp;",""status"":"""&amp;'Team Selection'!$G176&amp;"""}")</f>
        <v>{"player":"Heidi Cerubini Dunne","position":"LB / RB","overallGrade":4.19,"seasonScore":0,"status":"Available"}</v>
      </c>
      <c r="BW22" t="str">
        <f>IF('Team Selection'!$C199="","","{""player"":"""&amp;'Team Selection'!$C199&amp;""",""position"":"""&amp;'Team Selection'!$D199&amp;""",""overallGrade"":"&amp;ROUND(N('Team Selection'!$E199),2)&amp;",""seasonScore"":"&amp;ROUND(N('Team Selection'!$F199),4)&amp;",""status"":"""&amp;'Team Selection'!$G199&amp;"""}")</f>
        <v>{"player":"Heidi Cerubini Dunne","position":"LB / RB","overallGrade":4.19,"seasonScore":0,"status":"Available"}</v>
      </c>
      <c r="BZ22" cm="1">
        <f t="array" ref="BZ22">IF(Attendance!$D7="","",SUMPRODUCT((Attendance!$E$4:$CN$4="Att")*(Attendance!$E7:$CN7&lt;&gt;"")))</f>
        <v>3</v>
      </c>
      <c r="CA22" cm="1">
        <f t="array" ref="CA22">IF(Attendance!$D7="","",SUMPRODUCT((Attendance!$CP$4:$FY$4="Att")*((Attendance!$CP7:$FY7&lt;&gt;"")+(Attendance!$CQ7:$FZ7&lt;&gt;"")+(Attendance!$CR7:$GA7&lt;&gt;"")+(Attendance!$CS7:$GB7&lt;&gt;"")&gt;0)))</f>
        <v>0</v>
      </c>
    </row>
    <row r="23" spans="1:79" x14ac:dyDescent="0.45">
      <c r="J23" t="str">
        <f>IF(Attendance!$D8="","","{""number"":"&amp;Attendance!$C8&amp;",""name"":"""&amp;Attendance!$D8&amp;""",""position"":"""&amp;'Player Grading'!$D9&amp;""",""availability"":"""&amp;'Team Selection'!$E67&amp;""",""unavailableReason"":"""&amp;'Team Selection'!$F67&amp;""",""trainingAttendancePct"":"&amp;ROUND(N(Attendance!$GC8),4)&amp;",""avgWorkRate"":"&amp;ROUND(N(Attendance!$GD8),2)&amp;",""matchdayAttendancePct"":"&amp;ROUND(N(Attendance!$GH8),4)&amp;",""minutes"":"&amp;N(Attendance!$GI8)&amp;",""avgMinutes"":"&amp;ROUND(N(Attendance!$GJ8),1)&amp;",""avgRating"":"&amp;ROUND(N(Attendance!$GK8),2)&amp;",""motm"":"&amp;N(Attendance!$GM8)&amp;",""seasonScore"":"&amp;ROUND(N(Attendance!$GN8),4)&amp;",""comment"":"""&amp;Attendance!$GR8&amp;""",""toWorkOn"":"""&amp;Attendance!$GS8&amp;""",""sessions"":["&amp;$X23&amp;"],""matches"":["&amp;$Z23&amp;"]}")</f>
        <v>{"number":4,"name":"Heidi Cerubini Dunne","position":"LB / RB","availability":"Yes","unavailableReason":"","trainingAttendancePct":0,"avgWorkRate":0,"matchdayAttendancePct":0,"minutes":0,"avgMinutes":0,"avgRating":0,"motm":0,"seasonScore":0,"comment":"","toWorkOn":"","sessions":[[0,0],[0,0],[0,0]],"matches":[[-1,0,0,0]]}</v>
      </c>
      <c r="L23" t="str">
        <f>IF(Workings!$AE9="","","{""gw"":"&amp;Workings!$AD9&amp;",""date"":"""&amp;TEXT(Workings!$AE9,"yyyy-mm-dd")&amp;""",""opponent"":"""&amp;Workings!$AF9&amp;""",""venue"":"""&amp;Workings!$AG9&amp;""",""gf"":"&amp;N(Workings!$AH9)&amp;",""ga"":"&amp;N(Workings!$AI9)&amp;",""result"":"""&amp;Workings!$AJ9&amp;"""}")</f>
        <v/>
      </c>
      <c r="N23" t="str">
        <f t="array" ref="N23">IF(LEN(INDEX(Attendance!$E$3:$CN$3,1,(4-1)*2+1))=0,"","{""index"":4,""gw"":2,""date"":"""&amp;TEXT(INDEX(Attendance!$E$3:$CN$3,1,(4-1)*2+1),"yyyy-mm-dd")&amp;"""}")</f>
        <v/>
      </c>
      <c r="P23" t="str">
        <f>"{""band"":"""&amp;Workings!$S9&amp;""",""from"":"&amp;Workings!$T9&amp;",""to"":"&amp;Workings!$U9&amp;",""players"":"&amp;Workings!$V9&amp;"}"</f>
        <v>{"band":"Nearly Ready","from":2.51,"to":3,"players":9}</v>
      </c>
      <c r="R23" t="str">
        <f>IF('Team Selection'!$D28="","","{""slot"":"&amp;'Team Selection'!$B28&amp;",""position"":"""&amp;'Team Selection'!$C28&amp;""",""player"":"""&amp;'Team Selection'!$D28&amp;""",""fitScore"":"&amp;ROUND(N('Team Selection'!$E28),2)&amp;",""seasonScore"":"&amp;ROUND(N('Team Selection'!$F28),4)&amp;",""overallGrade"":"&amp;ROUND(N('Team Selection'!$G28),2)&amp;"}")</f>
        <v>{"slot":4,"position":"CB","player":"Mariana Soares","fitScore":13.48,"seasonScore":0.7667,"overallGrade":10.49}</v>
      </c>
      <c r="T23" t="str">
        <f>IF('Team Selection'!$C43="","","{""player"":"""&amp;'Team Selection'!$C43&amp;""",""position"":"""&amp;'Team Selection'!$D43&amp;""",""overallGrade"":"&amp;ROUND(N('Team Selection'!$E43),2)&amp;",""seasonScore"":"&amp;ROUND(N('Team Selection'!$F43),4)&amp;",""status"":"""&amp;'Team Selection'!$G43&amp;"""}")</f>
        <v>{"player":"Naomi Adewoyin","position":"CM / ACM","overallGrade":10.99,"seasonScore":0.7667,"status":"Available"}</v>
      </c>
      <c r="V23" t="str">
        <f>IF(OR('Team Selection'!$C67="",'Team Selection'!$E67="Yes"),"","{""player"":"""&amp;'Team Selection'!$C67&amp;""",""reason"":"""&amp;'Team Selection'!$F67&amp;"""}")</f>
        <v/>
      </c>
      <c r="X23" t="str" cm="1">
        <f t="array" ref="X23">IF(Attendance!$D8="","",_xlfn.TEXTJOIN(",",TRUE(),IF((Attendance!$E$4:$CN$4="Att")*((COLUMN(Attendance!$E$4:$CN$4)-COLUMN(Attendance!$E$4))/2+1&lt;=$BZ$41),"["&amp;IF(Attendance!$E8:$CN8="Yes",1,0)&amp;","&amp;IF(Attendance!$F8:$CO8="",0,Attendance!$F8:$CO8)&amp;"]","")))</f>
        <v>[0,0],[0,0],[0,0]</v>
      </c>
      <c r="Z23" t="str" cm="1">
        <f t="array" ref="Z23">IF(Attendance!$D8="","",_xlfn.TEXTJOIN(",",TRUE(),IF((Attendance!$CP$4:$FY$4="Att")*((COLUMN(Attendance!$CP$4:$FY$4)-COLUMN(Attendance!$CP$4))/4+1&lt;=$BZ$42),"["&amp;IF(Attendance!$CP8:$FY8="Yes",1,IF(Attendance!$CP8:$FY8="No",0,-1))&amp;","&amp;IF(Attendance!$CQ8:$FZ8="",0,Attendance!$CQ8:$FZ8)&amp;","&amp;IF(Attendance!$CR8:$GA8="",0,Attendance!$CR8:$GA8)&amp;","&amp;IF(Attendance!$CS8:$GB8="Yes",1,0)&amp;"]","")))</f>
        <v>[-1,0,0,0]</v>
      </c>
      <c r="AB23" t="str" cm="1">
        <f t="array" ref="AB23">IF(AND(INDEX('Match Day Reports'!$C:$C,$AW23+2)="",COUNTIF($AX23:$BO23,"?*")=0),"","{""gw"":"&amp;ROWS($AB$20:AB23)&amp;",""date"":"""&amp;IF(INDEX('Match Day Reports'!$B:$B,$AW23+2)="","",TEXT(INDEX('Match Day Reports'!$B:$B,$AW23+2),"yyyy-mm-dd"))&amp;""""&amp;",""opponent"":"""&amp;INDEX('Match Day Reports'!$C:$C,$AW23+2)&amp;""""&amp;",""venue"":"""&amp;INDEX('Match Day Reports'!$D:$D,$AW23+2)&amp;""""&amp;",""gf"":"&amp;N(INDEX('Match Day Reports'!$E:$E,$AW23+2))&amp;",""ga"":"&amp;N(INDEX('Match Day Reports'!$F:$F,$AW23+2))&amp;",""result"":"""&amp;INDEX('Match Day Reports'!$G:$G,$AW23+2)&amp;""""&amp;",""motm"":"""&amp;INDEX('Match Day Reports'!$H:$H,$AW23+2)&amp;""""&amp;",""xi"":["&amp;_xlfn.TEXTJOIN(",",TRUE(),$AX23:$BH23)&amp;"]"&amp;",""subs"":["&amp;_xlfn.TEXTJOIN(",",TRUE(),$BI23:$BO23)&amp;"]"&amp;",""matchNotes"":"""&amp;SUBSTITUTE(SUBSTITUTE(INDEX('Match Day Reports'!$C:$C,$AW23+24),"""","'"),CHAR(10)," ")&amp;""""&amp;",""keyNotes"":"""&amp;SUBSTITUTE(SUBSTITUTE(INDEX('Match Day Reports'!$C:$C,$AW23+25),"""","'"),CHAR(10)," ")&amp;""""&amp;"}")</f>
        <v/>
      </c>
      <c r="AD23" t="str">
        <f>IF(Workings!$AO9="","","{""name"":"""&amp;Workings!$AO9&amp;""",""rank"":"&amp;N(Workings!$AX9)&amp;",""sessionsAttended"":"&amp;N(Workings!$AP9)&amp;",""sessionsHeld"":"&amp;N(Workings!$AQ9)&amp;",""attendancePct"":"&amp;ROUND(N(Workings!$AR9),4)&amp;",""avgWorkRate"":"&amp;ROUND(N(Workings!$AS9),2)&amp;",""gradePct"":"&amp;ROUND(N(Workings!$AT9),4)&amp;",""readinessBand"":"""&amp;Workings!$AU9&amp;"""}")</f>
        <v>{"name":"Heidi Cerubini Dunne","rank":17,"sessionsAttended":3,"sessionsHeld":11,"attendancePct":0.2727,"avgWorkRate":2,"gradePct":0.1964,"readinessBand":"Insufficient data"}</v>
      </c>
      <c r="AF23" t="str">
        <f>IF(ROW()-19&gt;MIN(5,COUNT(Workings!$BM$6:$BM$25)),"","{""rank"":"&amp;(ROW()-19)&amp;",""name"":"""&amp;IFERROR(INDEX(Workings!$BJ$6:$BJ$25,MATCH(ROW()-19,Workings!$BM$6:$BM$25,0)),"")&amp;""",""scorePct"":"&amp;ROUND(N(IFERROR(INDEX(Workings!$BK$6:$BK$25,MATCH(ROW()-19,Workings!$BM$6:$BM$25,0)),0)),4)&amp;",""basis"":"""&amp;IFERROR(INDEX(Workings!$BL$6:$BL$25,MATCH(ROW()-19,Workings!$BM$6:$BM$25,0)),"")&amp;"""}")</f>
        <v>{"rank":4,"name":"Naomi Adewoyin","scorePct":0.7667,"basis":"In-season"}</v>
      </c>
      <c r="AH23"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{"rank":4,"name":"Naomi Adewoyin","weekScorePct":0.76,"attended":1,"sessionsHeld":1,"avgWorkRate":3}</v>
      </c>
      <c r="AJ23" t="str">
        <f>IF(Workings!$BO9="","","{""band"":"""&amp;Workings!$BO9&amp;""",""count"":"&amp;N(Workings!$BP9)&amp;",""players"":["&amp;IF(Workings!$BQ9="","",""""&amp;SUBSTITUTE(Workings!$BQ9,", ",""",""")&amp;"""")&amp;"]}")</f>
        <v>{"band":"Improving","count":0,"players":[]}</v>
      </c>
      <c r="AL23" t="str" cm="1">
        <f t="array" ref="AL23">IF($AT23="","","{""rank"":4,""name"":"""&amp;INDEX(Dashboard!$C$93:$C$112,$AT23)&amp;""",""goals"":"&amp;N(INDEX(Dashboard!$G$93:$G$112,$AT23))&amp;",""assists"":"&amp;N(INDEX(Dashboard!$H$93:$H$112,$AT23))&amp;",""apps"":"&amp;N(INDEX(Dashboard!$F$93:$F$112,$AT23))&amp;"}")</f>
        <v>{"rank":4,"name":"Semilore Adesanya","goals":1,"assists":1,"apps":1}</v>
      </c>
      <c r="AN23" t="str" cm="1">
        <f t="array" ref="AN23">IF($AV23="","","{""rank"":4,""name"":"""&amp;INDEX(Dashboard!$C$93:$C$112,$AV23)&amp;""",""assists"":"&amp;N(INDEX(Dashboard!$H$93:$H$112,$AV23))&amp;",""goals"":"&amp;N(INDEX(Dashboard!$G$93:$G$112,$AV23))&amp;",""apps"":"&amp;N(INDEX(Dashboard!$F$93:$F$112,$AV23))&amp;"}")</f>
        <v/>
      </c>
      <c r="AP23">
        <f>IF(Dashboard!$C96="","",N(Dashboard!$G96)*1000-ROW())</f>
        <v>-23</v>
      </c>
      <c r="AR23">
        <f>IF(Dashboard!$C96="","",N(Dashboard!$H96)*1000-ROW())</f>
        <v>-23</v>
      </c>
      <c r="AT23">
        <f>IFERROR(IF(LARGE($AP$20:$AP$39,4)&lt;=0,"",MATCH(LARGE($AP$20:$AP$39,4),$AP$20:$AP$39,0)),"")</f>
        <v>10</v>
      </c>
      <c r="AV23" t="str">
        <f>IFERROR(IF(LARGE($AR$20:$AR$39,4)&lt;=0,"",MATCH(LARGE($AR$20:$AR$39,4),$AR$20:$AR$39,0)),"")</f>
        <v/>
      </c>
      <c r="AW23">
        <f>80+(ROWS($AW$20:AW23)-1)*27</f>
        <v>161</v>
      </c>
      <c r="AX23" t="str" cm="1">
        <f t="array" ref="AX23">IF(INDEX('Match Day Reports'!$C:$C,$AW23+4+COLUMNS($AX$20:AX23))="","","{""name"":"""&amp;INDEX('Match Day Reports'!$C:$C,$AW23+4+COLUMNS($AX$20:AX23))&amp;""",""status"":"""&amp;INDEX('Match Day Reports'!$D:$D,$AW23+4+COLUMNS($AX$20:AX23))&amp;""",""pos"":"""&amp;INDEX('Match Day Reports'!$E:$E,$AW23+4+COLUMNS($AX$20:AX23))&amp;""",""pos2"":"""&amp;INDEX('Match Day Reports'!$F:$F,$AW23+4+COLUMNS($AX$20:AX23))&amp;""",""goals"":"&amp;N(INDEX('Match Day Reports'!$G:$G,$AW23+4+COLUMNS($AX$20:AX23)))&amp;",""assists"":"&amp;N(INDEX('Match Day Reports'!$H:$H,$AW23+4+COLUMNS($AX$20:AX23)))&amp;",""rating"":"&amp;N(INDEX('Match Day Reports'!$I:$I,$AW23+4+COLUMNS($AX$20:AX23)))&amp;"}")</f>
        <v/>
      </c>
      <c r="AY23" t="str" cm="1">
        <f t="array" ref="AY23">IF(INDEX('Match Day Reports'!$C:$C,$AW23+4+COLUMNS($AX$20:AY23))="","","{""name"":"""&amp;INDEX('Match Day Reports'!$C:$C,$AW23+4+COLUMNS($AX$20:AY23))&amp;""",""status"":"""&amp;INDEX('Match Day Reports'!$D:$D,$AW23+4+COLUMNS($AX$20:AY23))&amp;""",""pos"":"""&amp;INDEX('Match Day Reports'!$E:$E,$AW23+4+COLUMNS($AX$20:AY23))&amp;""",""pos2"":"""&amp;INDEX('Match Day Reports'!$F:$F,$AW23+4+COLUMNS($AX$20:AY23))&amp;""",""goals"":"&amp;N(INDEX('Match Day Reports'!$G:$G,$AW23+4+COLUMNS($AX$20:AY23)))&amp;",""assists"":"&amp;N(INDEX('Match Day Reports'!$H:$H,$AW23+4+COLUMNS($AX$20:AY23)))&amp;",""rating"":"&amp;N(INDEX('Match Day Reports'!$I:$I,$AW23+4+COLUMNS($AX$20:AY23)))&amp;"}")</f>
        <v/>
      </c>
      <c r="AZ23" t="str" cm="1">
        <f t="array" ref="AZ23">IF(INDEX('Match Day Reports'!$C:$C,$AW23+4+COLUMNS($AX$20:AZ23))="","","{""name"":"""&amp;INDEX('Match Day Reports'!$C:$C,$AW23+4+COLUMNS($AX$20:AZ23))&amp;""",""status"":"""&amp;INDEX('Match Day Reports'!$D:$D,$AW23+4+COLUMNS($AX$20:AZ23))&amp;""",""pos"":"""&amp;INDEX('Match Day Reports'!$E:$E,$AW23+4+COLUMNS($AX$20:AZ23))&amp;""",""pos2"":"""&amp;INDEX('Match Day Reports'!$F:$F,$AW23+4+COLUMNS($AX$20:AZ23))&amp;""",""goals"":"&amp;N(INDEX('Match Day Reports'!$G:$G,$AW23+4+COLUMNS($AX$20:AZ23)))&amp;",""assists"":"&amp;N(INDEX('Match Day Reports'!$H:$H,$AW23+4+COLUMNS($AX$20:AZ23)))&amp;",""rating"":"&amp;N(INDEX('Match Day Reports'!$I:$I,$AW23+4+COLUMNS($AX$20:AZ23)))&amp;"}")</f>
        <v/>
      </c>
      <c r="BA23" t="str" cm="1">
        <f t="array" ref="BA23">IF(INDEX('Match Day Reports'!$C:$C,$AW23+4+COLUMNS($AX$20:BA23))="","","{""name"":"""&amp;INDEX('Match Day Reports'!$C:$C,$AW23+4+COLUMNS($AX$20:BA23))&amp;""",""status"":"""&amp;INDEX('Match Day Reports'!$D:$D,$AW23+4+COLUMNS($AX$20:BA23))&amp;""",""pos"":"""&amp;INDEX('Match Day Reports'!$E:$E,$AW23+4+COLUMNS($AX$20:BA23))&amp;""",""pos2"":"""&amp;INDEX('Match Day Reports'!$F:$F,$AW23+4+COLUMNS($AX$20:BA23))&amp;""",""goals"":"&amp;N(INDEX('Match Day Reports'!$G:$G,$AW23+4+COLUMNS($AX$20:BA23)))&amp;",""assists"":"&amp;N(INDEX('Match Day Reports'!$H:$H,$AW23+4+COLUMNS($AX$20:BA23)))&amp;",""rating"":"&amp;N(INDEX('Match Day Reports'!$I:$I,$AW23+4+COLUMNS($AX$20:BA23)))&amp;"}")</f>
        <v/>
      </c>
      <c r="BB23" t="str" cm="1">
        <f t="array" ref="BB23">IF(INDEX('Match Day Reports'!$C:$C,$AW23+4+COLUMNS($AX$20:BB23))="","","{""name"":"""&amp;INDEX('Match Day Reports'!$C:$C,$AW23+4+COLUMNS($AX$20:BB23))&amp;""",""status"":"""&amp;INDEX('Match Day Reports'!$D:$D,$AW23+4+COLUMNS($AX$20:BB23))&amp;""",""pos"":"""&amp;INDEX('Match Day Reports'!$E:$E,$AW23+4+COLUMNS($AX$20:BB23))&amp;""",""pos2"":"""&amp;INDEX('Match Day Reports'!$F:$F,$AW23+4+COLUMNS($AX$20:BB23))&amp;""",""goals"":"&amp;N(INDEX('Match Day Reports'!$G:$G,$AW23+4+COLUMNS($AX$20:BB23)))&amp;",""assists"":"&amp;N(INDEX('Match Day Reports'!$H:$H,$AW23+4+COLUMNS($AX$20:BB23)))&amp;",""rating"":"&amp;N(INDEX('Match Day Reports'!$I:$I,$AW23+4+COLUMNS($AX$20:BB23)))&amp;"}")</f>
        <v/>
      </c>
      <c r="BC23" t="str" cm="1">
        <f t="array" ref="BC23">IF(INDEX('Match Day Reports'!$C:$C,$AW23+4+COLUMNS($AX$20:BC23))="","","{""name"":"""&amp;INDEX('Match Day Reports'!$C:$C,$AW23+4+COLUMNS($AX$20:BC23))&amp;""",""status"":"""&amp;INDEX('Match Day Reports'!$D:$D,$AW23+4+COLUMNS($AX$20:BC23))&amp;""",""pos"":"""&amp;INDEX('Match Day Reports'!$E:$E,$AW23+4+COLUMNS($AX$20:BC23))&amp;""",""pos2"":"""&amp;INDEX('Match Day Reports'!$F:$F,$AW23+4+COLUMNS($AX$20:BC23))&amp;""",""goals"":"&amp;N(INDEX('Match Day Reports'!$G:$G,$AW23+4+COLUMNS($AX$20:BC23)))&amp;",""assists"":"&amp;N(INDEX('Match Day Reports'!$H:$H,$AW23+4+COLUMNS($AX$20:BC23)))&amp;",""rating"":"&amp;N(INDEX('Match Day Reports'!$I:$I,$AW23+4+COLUMNS($AX$20:BC23)))&amp;"}")</f>
        <v/>
      </c>
      <c r="BD23" t="str" cm="1">
        <f t="array" ref="BD23">IF(INDEX('Match Day Reports'!$C:$C,$AW23+4+COLUMNS($AX$20:BD23))="","","{""name"":"""&amp;INDEX('Match Day Reports'!$C:$C,$AW23+4+COLUMNS($AX$20:BD23))&amp;""",""status"":"""&amp;INDEX('Match Day Reports'!$D:$D,$AW23+4+COLUMNS($AX$20:BD23))&amp;""",""pos"":"""&amp;INDEX('Match Day Reports'!$E:$E,$AW23+4+COLUMNS($AX$20:BD23))&amp;""",""pos2"":"""&amp;INDEX('Match Day Reports'!$F:$F,$AW23+4+COLUMNS($AX$20:BD23))&amp;""",""goals"":"&amp;N(INDEX('Match Day Reports'!$G:$G,$AW23+4+COLUMNS($AX$20:BD23)))&amp;",""assists"":"&amp;N(INDEX('Match Day Reports'!$H:$H,$AW23+4+COLUMNS($AX$20:BD23)))&amp;",""rating"":"&amp;N(INDEX('Match Day Reports'!$I:$I,$AW23+4+COLUMNS($AX$20:BD23)))&amp;"}")</f>
        <v/>
      </c>
      <c r="BE23" t="str" cm="1">
        <f t="array" ref="BE23">IF(INDEX('Match Day Reports'!$C:$C,$AW23+4+COLUMNS($AX$20:BE23))="","","{""name"":"""&amp;INDEX('Match Day Reports'!$C:$C,$AW23+4+COLUMNS($AX$20:BE23))&amp;""",""status"":"""&amp;INDEX('Match Day Reports'!$D:$D,$AW23+4+COLUMNS($AX$20:BE23))&amp;""",""pos"":"""&amp;INDEX('Match Day Reports'!$E:$E,$AW23+4+COLUMNS($AX$20:BE23))&amp;""",""pos2"":"""&amp;INDEX('Match Day Reports'!$F:$F,$AW23+4+COLUMNS($AX$20:BE23))&amp;""",""goals"":"&amp;N(INDEX('Match Day Reports'!$G:$G,$AW23+4+COLUMNS($AX$20:BE23)))&amp;",""assists"":"&amp;N(INDEX('Match Day Reports'!$H:$H,$AW23+4+COLUMNS($AX$20:BE23)))&amp;",""rating"":"&amp;N(INDEX('Match Day Reports'!$I:$I,$AW23+4+COLUMNS($AX$20:BE23)))&amp;"}")</f>
        <v/>
      </c>
      <c r="BF23" t="str" cm="1">
        <f t="array" ref="BF23">IF(INDEX('Match Day Reports'!$C:$C,$AW23+4+COLUMNS($AX$20:BF23))="","","{""name"":"""&amp;INDEX('Match Day Reports'!$C:$C,$AW23+4+COLUMNS($AX$20:BF23))&amp;""",""status"":"""&amp;INDEX('Match Day Reports'!$D:$D,$AW23+4+COLUMNS($AX$20:BF23))&amp;""",""pos"":"""&amp;INDEX('Match Day Reports'!$E:$E,$AW23+4+COLUMNS($AX$20:BF23))&amp;""",""pos2"":"""&amp;INDEX('Match Day Reports'!$F:$F,$AW23+4+COLUMNS($AX$20:BF23))&amp;""",""goals"":"&amp;N(INDEX('Match Day Reports'!$G:$G,$AW23+4+COLUMNS($AX$20:BF23)))&amp;",""assists"":"&amp;N(INDEX('Match Day Reports'!$H:$H,$AW23+4+COLUMNS($AX$20:BF23)))&amp;",""rating"":"&amp;N(INDEX('Match Day Reports'!$I:$I,$AW23+4+COLUMNS($AX$20:BF23)))&amp;"}")</f>
        <v/>
      </c>
      <c r="BG23" t="str" cm="1">
        <f t="array" ref="BG23">IF(INDEX('Match Day Reports'!$C:$C,$AW23+4+COLUMNS($AX$20:BG23))="","","{""name"":"""&amp;INDEX('Match Day Reports'!$C:$C,$AW23+4+COLUMNS($AX$20:BG23))&amp;""",""status"":"""&amp;INDEX('Match Day Reports'!$D:$D,$AW23+4+COLUMNS($AX$20:BG23))&amp;""",""pos"":"""&amp;INDEX('Match Day Reports'!$E:$E,$AW23+4+COLUMNS($AX$20:BG23))&amp;""",""pos2"":"""&amp;INDEX('Match Day Reports'!$F:$F,$AW23+4+COLUMNS($AX$20:BG23))&amp;""",""goals"":"&amp;N(INDEX('Match Day Reports'!$G:$G,$AW23+4+COLUMNS($AX$20:BG23)))&amp;",""assists"":"&amp;N(INDEX('Match Day Reports'!$H:$H,$AW23+4+COLUMNS($AX$20:BG23)))&amp;",""rating"":"&amp;N(INDEX('Match Day Reports'!$I:$I,$AW23+4+COLUMNS($AX$20:BG23)))&amp;"}")</f>
        <v/>
      </c>
      <c r="BH23" t="str" cm="1">
        <f t="array" ref="BH23">IF(INDEX('Match Day Reports'!$C:$C,$AW23+4+COLUMNS($AX$20:BH23))="","","{""name"":"""&amp;INDEX('Match Day Reports'!$C:$C,$AW23+4+COLUMNS($AX$20:BH23))&amp;""",""status"":"""&amp;INDEX('Match Day Reports'!$D:$D,$AW23+4+COLUMNS($AX$20:BH23))&amp;""",""pos"":"""&amp;INDEX('Match Day Reports'!$E:$E,$AW23+4+COLUMNS($AX$20:BH23))&amp;""",""pos2"":"""&amp;INDEX('Match Day Reports'!$F:$F,$AW23+4+COLUMNS($AX$20:BH23))&amp;""",""goals"":"&amp;N(INDEX('Match Day Reports'!$G:$G,$AW23+4+COLUMNS($AX$20:BH23)))&amp;",""assists"":"&amp;N(INDEX('Match Day Reports'!$H:$H,$AW23+4+COLUMNS($AX$20:BH23)))&amp;",""rating"":"&amp;N(INDEX('Match Day Reports'!$I:$I,$AW23+4+COLUMNS($AX$20:BH23)))&amp;"}")</f>
        <v/>
      </c>
      <c r="BI23" t="str" cm="1">
        <f t="array" ref="BI23">IF(INDEX('Match Day Reports'!$C:$C,$AW23+4+COLUMNS($AX$20:BI23))="","","{""name"":"""&amp;INDEX('Match Day Reports'!$C:$C,$AW23+4+COLUMNS($AX$20:BI23))&amp;""",""status"":"""&amp;INDEX('Match Day Reports'!$D:$D,$AW23+4+COLUMNS($AX$20:BI23))&amp;""",""pos"":"""&amp;INDEX('Match Day Reports'!$E:$E,$AW23+4+COLUMNS($AX$20:BI23))&amp;""",""pos2"":"""&amp;INDEX('Match Day Reports'!$F:$F,$AW23+4+COLUMNS($AX$20:BI23))&amp;""",""goals"":"&amp;N(INDEX('Match Day Reports'!$G:$G,$AW23+4+COLUMNS($AX$20:BI23)))&amp;",""assists"":"&amp;N(INDEX('Match Day Reports'!$H:$H,$AW23+4+COLUMNS($AX$20:BI23)))&amp;",""rating"":"&amp;N(INDEX('Match Day Reports'!$I:$I,$AW23+4+COLUMNS($AX$20:BI23)))&amp;"}")</f>
        <v/>
      </c>
      <c r="BJ23" t="str" cm="1">
        <f t="array" ref="BJ23">IF(INDEX('Match Day Reports'!$C:$C,$AW23+4+COLUMNS($AX$20:BJ23))="","","{""name"":"""&amp;INDEX('Match Day Reports'!$C:$C,$AW23+4+COLUMNS($AX$20:BJ23))&amp;""",""status"":"""&amp;INDEX('Match Day Reports'!$D:$D,$AW23+4+COLUMNS($AX$20:BJ23))&amp;""",""pos"":"""&amp;INDEX('Match Day Reports'!$E:$E,$AW23+4+COLUMNS($AX$20:BJ23))&amp;""",""pos2"":"""&amp;INDEX('Match Day Reports'!$F:$F,$AW23+4+COLUMNS($AX$20:BJ23))&amp;""",""goals"":"&amp;N(INDEX('Match Day Reports'!$G:$G,$AW23+4+COLUMNS($AX$20:BJ23)))&amp;",""assists"":"&amp;N(INDEX('Match Day Reports'!$H:$H,$AW23+4+COLUMNS($AX$20:BJ23)))&amp;",""rating"":"&amp;N(INDEX('Match Day Reports'!$I:$I,$AW23+4+COLUMNS($AX$20:BJ23)))&amp;"}")</f>
        <v/>
      </c>
      <c r="BK23" t="str" cm="1">
        <f t="array" ref="BK23">IF(INDEX('Match Day Reports'!$C:$C,$AW23+4+COLUMNS($AX$20:BK23))="","","{""name"":"""&amp;INDEX('Match Day Reports'!$C:$C,$AW23+4+COLUMNS($AX$20:BK23))&amp;""",""status"":"""&amp;INDEX('Match Day Reports'!$D:$D,$AW23+4+COLUMNS($AX$20:BK23))&amp;""",""pos"":"""&amp;INDEX('Match Day Reports'!$E:$E,$AW23+4+COLUMNS($AX$20:BK23))&amp;""",""pos2"":"""&amp;INDEX('Match Day Reports'!$F:$F,$AW23+4+COLUMNS($AX$20:BK23))&amp;""",""goals"":"&amp;N(INDEX('Match Day Reports'!$G:$G,$AW23+4+COLUMNS($AX$20:BK23)))&amp;",""assists"":"&amp;N(INDEX('Match Day Reports'!$H:$H,$AW23+4+COLUMNS($AX$20:BK23)))&amp;",""rating"":"&amp;N(INDEX('Match Day Reports'!$I:$I,$AW23+4+COLUMNS($AX$20:BK23)))&amp;"}")</f>
        <v/>
      </c>
      <c r="BL23" t="str" cm="1">
        <f t="array" ref="BL23">IF(INDEX('Match Day Reports'!$C:$C,$AW23+4+COLUMNS($AX$20:BL23))="","","{""name"":"""&amp;INDEX('Match Day Reports'!$C:$C,$AW23+4+COLUMNS($AX$20:BL23))&amp;""",""status"":"""&amp;INDEX('Match Day Reports'!$D:$D,$AW23+4+COLUMNS($AX$20:BL23))&amp;""",""pos"":"""&amp;INDEX('Match Day Reports'!$E:$E,$AW23+4+COLUMNS($AX$20:BL23))&amp;""",""pos2"":"""&amp;INDEX('Match Day Reports'!$F:$F,$AW23+4+COLUMNS($AX$20:BL23))&amp;""",""goals"":"&amp;N(INDEX('Match Day Reports'!$G:$G,$AW23+4+COLUMNS($AX$20:BL23)))&amp;",""assists"":"&amp;N(INDEX('Match Day Reports'!$H:$H,$AW23+4+COLUMNS($AX$20:BL23)))&amp;",""rating"":"&amp;N(INDEX('Match Day Reports'!$I:$I,$AW23+4+COLUMNS($AX$20:BL23)))&amp;"}")</f>
        <v/>
      </c>
      <c r="BM23" t="str" cm="1">
        <f t="array" ref="BM23">IF(INDEX('Match Day Reports'!$C:$C,$AW23+4+COLUMNS($AX$20:BM23))="","","{""name"":"""&amp;INDEX('Match Day Reports'!$C:$C,$AW23+4+COLUMNS($AX$20:BM23))&amp;""",""status"":"""&amp;INDEX('Match Day Reports'!$D:$D,$AW23+4+COLUMNS($AX$20:BM23))&amp;""",""pos"":"""&amp;INDEX('Match Day Reports'!$E:$E,$AW23+4+COLUMNS($AX$20:BM23))&amp;""",""pos2"":"""&amp;INDEX('Match Day Reports'!$F:$F,$AW23+4+COLUMNS($AX$20:BM23))&amp;""",""goals"":"&amp;N(INDEX('Match Day Reports'!$G:$G,$AW23+4+COLUMNS($AX$20:BM23)))&amp;",""assists"":"&amp;N(INDEX('Match Day Reports'!$H:$H,$AW23+4+COLUMNS($AX$20:BM23)))&amp;",""rating"":"&amp;N(INDEX('Match Day Reports'!$I:$I,$AW23+4+COLUMNS($AX$20:BM23)))&amp;"}")</f>
        <v/>
      </c>
      <c r="BN23" t="str" cm="1">
        <f t="array" ref="BN23">IF(INDEX('Match Day Reports'!$C:$C,$AW23+4+COLUMNS($AX$20:BN23))="","","{""name"":"""&amp;INDEX('Match Day Reports'!$C:$C,$AW23+4+COLUMNS($AX$20:BN23))&amp;""",""status"":"""&amp;INDEX('Match Day Reports'!$D:$D,$AW23+4+COLUMNS($AX$20:BN23))&amp;""",""pos"":"""&amp;INDEX('Match Day Reports'!$E:$E,$AW23+4+COLUMNS($AX$20:BN23))&amp;""",""pos2"":"""&amp;INDEX('Match Day Reports'!$F:$F,$AW23+4+COLUMNS($AX$20:BN23))&amp;""",""goals"":"&amp;N(INDEX('Match Day Reports'!$G:$G,$AW23+4+COLUMNS($AX$20:BN23)))&amp;",""assists"":"&amp;N(INDEX('Match Day Reports'!$H:$H,$AW23+4+COLUMNS($AX$20:BN23)))&amp;",""rating"":"&amp;N(INDEX('Match Day Reports'!$I:$I,$AW23+4+COLUMNS($AX$20:BN23)))&amp;"}")</f>
        <v/>
      </c>
      <c r="BO23" t="str" cm="1">
        <f t="array" ref="BO23">IF(INDEX('Match Day Reports'!$C:$C,$AW23+4+COLUMNS($AX$20:BO23))="","","{""name"":"""&amp;INDEX('Match Day Reports'!$C:$C,$AW23+4+COLUMNS($AX$20:BO23))&amp;""",""status"":"""&amp;INDEX('Match Day Reports'!$D:$D,$AW23+4+COLUMNS($AX$20:BO23))&amp;""",""pos"":"""&amp;INDEX('Match Day Reports'!$E:$E,$AW23+4+COLUMNS($AX$20:BO23))&amp;""",""pos2"":"""&amp;INDEX('Match Day Reports'!$F:$F,$AW23+4+COLUMNS($AX$20:BO23))&amp;""",""goals"":"&amp;N(INDEX('Match Day Reports'!$G:$G,$AW23+4+COLUMNS($AX$20:BO23)))&amp;",""assists"":"&amp;N(INDEX('Match Day Reports'!$H:$H,$AW23+4+COLUMNS($AX$20:BO23)))&amp;",""rating"":"&amp;N(INDEX('Match Day Reports'!$I:$I,$AW23+4+COLUMNS($AX$20:BO23)))&amp;"}")</f>
        <v/>
      </c>
      <c r="BQ23" t="str">
        <f>IF('Team Selection'!$F149="","","{""slot"":"&amp;'Team Selection'!$B149&amp;",""position"":"""&amp;'Team Selection'!$C149&amp;""",""player"":"""&amp;'Team Selection'!$F149&amp;""",""fitScore"":"&amp;ROUND(N('Team Selection'!$G149),2)&amp;",""seasonScore"":"&amp;ROUND(N('Team Selection'!$H149),4)&amp;",""overallGrade"":"&amp;ROUND(N('Team Selection'!$I149),2)&amp;"}")</f>
        <v>{"slot":4,"position":"CB","player":"Mariana Soares","fitScore":13.48,"seasonScore":0.7667,"overallGrade":10.49}</v>
      </c>
      <c r="BS23" t="str">
        <f>IF('Team Selection'!$F163="","","{""slot"":"&amp;'Team Selection'!$B163&amp;",""position"":"""&amp;'Team Selection'!$C163&amp;""",""player"":"""&amp;'Team Selection'!$F163&amp;""",""fitScore"":"&amp;ROUND(N('Team Selection'!$G163),2)&amp;",""seasonScore"":"&amp;ROUND(N('Team Selection'!$H163),4)&amp;",""overallGrade"":"&amp;ROUND(N('Team Selection'!$I163),2)&amp;"}")</f>
        <v>{"slot":4,"position":"CB","player":"Semilore Adesanya","fitScore":14.69,"seasonScore":0.6861,"overallGrade":12.76}</v>
      </c>
      <c r="BU23" t="str">
        <f>IF('Team Selection'!$C177="","","{""player"":"""&amp;'Team Selection'!$C177&amp;""",""position"":"""&amp;'Team Selection'!$D177&amp;""",""overallGrade"":"&amp;ROUND(N('Team Selection'!$E177),2)&amp;",""seasonScore"":"&amp;ROUND(N('Team Selection'!$F177),4)&amp;",""status"":"""&amp;'Team Selection'!$G177&amp;"""}")</f>
        <v>{"player":"Naomi Adewoyin","position":"CM / ACM","overallGrade":10.99,"seasonScore":0.7667,"status":"Available"}</v>
      </c>
      <c r="BW23" t="str">
        <f>IF('Team Selection'!$C200="","","{""player"":"""&amp;'Team Selection'!$C200&amp;""",""position"":"""&amp;'Team Selection'!$D200&amp;""",""overallGrade"":"&amp;ROUND(N('Team Selection'!$E200),2)&amp;",""seasonScore"":"&amp;ROUND(N('Team Selection'!$F200),4)&amp;",""status"":"""&amp;'Team Selection'!$G200&amp;"""}")</f>
        <v>{"player":"Shauna Kavanagh","position":"ST / RW","overallGrade":7.73,"seasonScore":0.7278,"status":"Available"}</v>
      </c>
      <c r="BZ23" cm="1">
        <f t="array" ref="BZ23">IF(Attendance!$D8="","",SUMPRODUCT((Attendance!$E$4:$CN$4="Att")*(Attendance!$E8:$CN8&lt;&gt;"")))</f>
        <v>3</v>
      </c>
      <c r="CA23" cm="1">
        <f t="array" ref="CA23">IF(Attendance!$D8="","",SUMPRODUCT((Attendance!$CP$4:$FY$4="Att")*((Attendance!$CP8:$FY8&lt;&gt;"")+(Attendance!$CQ8:$FZ8&lt;&gt;"")+(Attendance!$CR8:$GA8&lt;&gt;"")+(Attendance!$CS8:$GB8&lt;&gt;"")&gt;0)))</f>
        <v>0</v>
      </c>
    </row>
    <row r="24" spans="1:79" x14ac:dyDescent="0.45">
      <c r="A24" s="316" t="s">
        <v>32</v>
      </c>
      <c r="B24" s="317" t="s">
        <v>431</v>
      </c>
      <c r="C24" s="317" t="s">
        <v>432</v>
      </c>
      <c r="D24" s="317" t="s">
        <v>316</v>
      </c>
      <c r="E24" s="313" t="s">
        <v>433</v>
      </c>
      <c r="F24" s="313" t="s">
        <v>434</v>
      </c>
      <c r="J24" t="str">
        <f>IF(Attendance!$D9="","","{""number"":"&amp;Attendance!$C9&amp;",""name"":"""&amp;Attendance!$D9&amp;""",""position"":"""&amp;'Player Grading'!$D10&amp;""",""availability"":"""&amp;'Team Selection'!$E68&amp;""",""unavailableReason"":"""&amp;'Team Selection'!$F68&amp;""",""trainingAttendancePct"":"&amp;ROUND(N(Attendance!$GC9),4)&amp;",""avgWorkRate"":"&amp;ROUND(N(Attendance!$GD9),2)&amp;",""matchdayAttendancePct"":"&amp;ROUND(N(Attendance!$GH9),4)&amp;",""minutes"":"&amp;N(Attendance!$GI9)&amp;",""avgMinutes"":"&amp;ROUND(N(Attendance!$GJ9),1)&amp;",""avgRating"":"&amp;ROUND(N(Attendance!$GK9),2)&amp;",""motm"":"&amp;N(Attendance!$GM9)&amp;",""seasonScore"":"&amp;ROUND(N(Attendance!$GN9),4)&amp;",""comment"":"""&amp;Attendance!$GR9&amp;""",""toWorkOn"":"""&amp;Attendance!$GS9&amp;""",""sessions"":["&amp;$X24&amp;"],""matches"":["&amp;$Z24&amp;"]}")</f>
        <v>{"number":5,"name":"Roisin Offenhausen","position":"RW / CM / ST","availability":"Yes","unavailableReason":"","trainingAttendancePct":1,"avgWorkRate":3.67,"matchdayAttendancePct":0,"minutes":0,"avgMinutes":0,"avgRating":10,"motm":1,"seasonScore":0.8444,"comment":"","toWorkOn":"","sessions":[[1,3],[1,3],[1,5]],"matches":[[-1,0,10,1]]}</v>
      </c>
      <c r="L24" t="str">
        <f>IF(Workings!$AE10="","","{""gw"":"&amp;Workings!$AD10&amp;",""date"":"""&amp;TEXT(Workings!$AE10,"yyyy-mm-dd")&amp;""",""opponent"":"""&amp;Workings!$AF10&amp;""",""venue"":"""&amp;Workings!$AG10&amp;""",""gf"":"&amp;N(Workings!$AH10)&amp;",""ga"":"&amp;N(Workings!$AI10)&amp;",""result"":"""&amp;Workings!$AJ10&amp;"""}")</f>
        <v/>
      </c>
      <c r="N24" t="str">
        <f t="array" ref="N24">IF(LEN(INDEX(Attendance!$E$3:$CN$3,1,(5-1)*2+1))=0,"","{""index"":5,""gw"":3,""date"":"""&amp;TEXT(INDEX(Attendance!$E$3:$CN$3,1,(5-1)*2+1),"yyyy-mm-dd")&amp;"""}")</f>
        <v/>
      </c>
      <c r="P24" t="str">
        <f>"{""band"":"""&amp;Workings!$S10&amp;""",""from"":"&amp;Workings!$T10&amp;",""to"":"&amp;Workings!$U10&amp;",""players"":"&amp;Workings!$V10&amp;"}"</f>
        <v>{"band":"Not Ready for 90 min","from":3.01,"to":3.49,"players":6}</v>
      </c>
      <c r="R24" t="str">
        <f>IF('Team Selection'!$D29="","","{""slot"":"&amp;'Team Selection'!$B29&amp;",""position"":"""&amp;'Team Selection'!$C29&amp;""",""player"":"""&amp;'Team Selection'!$D29&amp;""",""fitScore"":"&amp;ROUND(N('Team Selection'!$E29),2)&amp;",""seasonScore"":"&amp;ROUND(N('Team Selection'!$F29),4)&amp;",""overallGrade"":"&amp;ROUND(N('Team Selection'!$G29),2)&amp;"}")</f>
        <v>{"slot":5,"position":"RWB","player":"Rama Abuowda","fitScore":0,"seasonScore":0.7667,"overallGrade":13.63}</v>
      </c>
      <c r="T24" t="str">
        <f>IF('Team Selection'!$C44="","","{""player"":"""&amp;'Team Selection'!$C44&amp;""",""position"":"""&amp;'Team Selection'!$D44&amp;""",""overallGrade"":"&amp;ROUND(N('Team Selection'!$E44),2)&amp;",""seasonScore"":"&amp;ROUND(N('Team Selection'!$F44),4)&amp;",""status"":"""&amp;'Team Selection'!$G44&amp;"""}")</f>
        <v>{"player":"Shauna Kavanagh","position":"ST / RW","overallGrade":7.73,"seasonScore":0.7278,"status":"Available"}</v>
      </c>
      <c r="V24" t="str">
        <f>IF(OR('Team Selection'!$C68="",'Team Selection'!$E68="Yes"),"","{""player"":"""&amp;'Team Selection'!$C68&amp;""",""reason"":"""&amp;'Team Selection'!$F68&amp;"""}")</f>
        <v/>
      </c>
      <c r="X24" t="str" cm="1">
        <f t="array" ref="X24">IF(Attendance!$D9="","",_xlfn.TEXTJOIN(",",TRUE(),IF((Attendance!$E$4:$CN$4="Att")*((COLUMN(Attendance!$E$4:$CN$4)-COLUMN(Attendance!$E$4))/2+1&lt;=$BZ$41),"["&amp;IF(Attendance!$E9:$CN9="Yes",1,0)&amp;","&amp;IF(Attendance!$F9:$CO9="",0,Attendance!$F9:$CO9)&amp;"]","")))</f>
        <v>[1,3],[1,3],[1,5]</v>
      </c>
      <c r="Z24" t="str" cm="1">
        <f t="array" ref="Z24">IF(Attendance!$D9="","",_xlfn.TEXTJOIN(",",TRUE(),IF((Attendance!$CP$4:$FY$4="Att")*((COLUMN(Attendance!$CP$4:$FY$4)-COLUMN(Attendance!$CP$4))/4+1&lt;=$BZ$42),"["&amp;IF(Attendance!$CP9:$FY9="Yes",1,IF(Attendance!$CP9:$FY9="No",0,-1))&amp;","&amp;IF(Attendance!$CQ9:$FZ9="",0,Attendance!$CQ9:$FZ9)&amp;","&amp;IF(Attendance!$CR9:$GA9="",0,Attendance!$CR9:$GA9)&amp;","&amp;IF(Attendance!$CS9:$GB9="Yes",1,0)&amp;"]","")))</f>
        <v>[-1,0,10,1]</v>
      </c>
      <c r="AB24" t="str" cm="1">
        <f t="array" ref="AB24">IF(AND(INDEX('Match Day Reports'!$C:$C,$AW24+2)="",COUNTIF($AX24:$BO24,"?*")=0),"","{""gw"":"&amp;ROWS($AB$20:AB24)&amp;",""date"":"""&amp;IF(INDEX('Match Day Reports'!$B:$B,$AW24+2)="","",TEXT(INDEX('Match Day Reports'!$B:$B,$AW24+2),"yyyy-mm-dd"))&amp;""""&amp;",""opponent"":"""&amp;INDEX('Match Day Reports'!$C:$C,$AW24+2)&amp;""""&amp;",""venue"":"""&amp;INDEX('Match Day Reports'!$D:$D,$AW24+2)&amp;""""&amp;",""gf"":"&amp;N(INDEX('Match Day Reports'!$E:$E,$AW24+2))&amp;",""ga"":"&amp;N(INDEX('Match Day Reports'!$F:$F,$AW24+2))&amp;",""result"":"""&amp;INDEX('Match Day Reports'!$G:$G,$AW24+2)&amp;""""&amp;",""motm"":"""&amp;INDEX('Match Day Reports'!$H:$H,$AW24+2)&amp;""""&amp;",""xi"":["&amp;_xlfn.TEXTJOIN(",",TRUE(),$AX24:$BH24)&amp;"]"&amp;",""subs"":["&amp;_xlfn.TEXTJOIN(",",TRUE(),$BI24:$BO24)&amp;"]"&amp;",""matchNotes"":"""&amp;SUBSTITUTE(SUBSTITUTE(INDEX('Match Day Reports'!$C:$C,$AW24+24),"""","'"),CHAR(10)," ")&amp;""""&amp;",""keyNotes"":"""&amp;SUBSTITUTE(SUBSTITUTE(INDEX('Match Day Reports'!$C:$C,$AW24+25),"""","'"),CHAR(10)," ")&amp;""""&amp;"}")</f>
        <v/>
      </c>
      <c r="AD24" t="str">
        <f>IF(Workings!$AO10="","","{""name"":"""&amp;Workings!$AO10&amp;""",""rank"":"&amp;N(Workings!$AX10)&amp;",""sessionsAttended"":"&amp;N(Workings!$AP10)&amp;",""sessionsHeld"":"&amp;N(Workings!$AQ10)&amp;",""attendancePct"":"&amp;ROUND(N(Workings!$AR10),4)&amp;",""avgWorkRate"":"&amp;ROUND(N(Workings!$AS10),2)&amp;",""gradePct"":"&amp;ROUND(N(Workings!$AT10),4)&amp;",""readinessBand"":"""&amp;Workings!$AU10&amp;"""}")</f>
        <v>{"name":"Roisin Offenhausen","rank":2,"sessionsAttended":8,"sessionsHeld":11,"attendancePct":0.7273,"avgWorkRate":3.88,"gradePct":0.7418,"readinessBand":"Match Ready"}</v>
      </c>
      <c r="AF24" t="str">
        <f>IF(ROW()-19&gt;MIN(5,COUNT(Workings!$BM$6:$BM$25)),"","{""rank"":"&amp;(ROW()-19)&amp;",""name"":"""&amp;IFERROR(INDEX(Workings!$BJ$6:$BJ$25,MATCH(ROW()-19,Workings!$BM$6:$BM$25,0)),"")&amp;""",""scorePct"":"&amp;ROUND(N(IFERROR(INDEX(Workings!$BK$6:$BK$25,MATCH(ROW()-19,Workings!$BM$6:$BM$25,0)),0)),4)&amp;",""basis"":"""&amp;IFERROR(INDEX(Workings!$BL$6:$BL$25,MATCH(ROW()-19,Workings!$BM$6:$BM$25,0)),"")&amp;"""}")</f>
        <v>{"rank":5,"name":"Amber Kilalee","scorePct":0.7667,"basis":"In-season"}</v>
      </c>
      <c r="AH24"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{"rank":5,"name":"Amber Kilalee","weekScorePct":0.76,"attended":1,"sessionsHeld":1,"avgWorkRate":3}</v>
      </c>
      <c r="AJ24" t="str">
        <f>IF(Workings!$BO10="","","{""band"":"""&amp;Workings!$BO10&amp;""",""count"":"&amp;N(Workings!$BP10)&amp;",""players"":["&amp;IF(Workings!$BQ10="","",""""&amp;SUBSTITUTE(Workings!$BQ10,", ",""",""")&amp;"""")&amp;"]}")</f>
        <v>{"band":"Not Ready","count":0,"players":[]}</v>
      </c>
      <c r="AL24" t="str" cm="1">
        <f t="array" ref="AL24">IF($AT24="","","{""rank"":5,""name"":"""&amp;INDEX(Dashboard!$C$93:$C$112,$AT24)&amp;""",""goals"":"&amp;N(INDEX(Dashboard!$G$93:$G$112,$AT24))&amp;",""assists"":"&amp;N(INDEX(Dashboard!$H$93:$H$112,$AT24))&amp;",""apps"":"&amp;N(INDEX(Dashboard!$F$93:$F$112,$AT24))&amp;"}")</f>
        <v>{"rank":5,"name":"Emma Kelly","goals":1,"assists":0,"apps":1}</v>
      </c>
      <c r="AN24" t="str" cm="1">
        <f t="array" ref="AN24">IF($AV24="","","{""rank"":5,""name"":"""&amp;INDEX(Dashboard!$C$93:$C$112,$AV24)&amp;""",""assists"":"&amp;N(INDEX(Dashboard!$H$93:$H$112,$AV24))&amp;",""goals"":"&amp;N(INDEX(Dashboard!$G$93:$G$112,$AV24))&amp;",""apps"":"&amp;N(INDEX(Dashboard!$F$93:$F$112,$AV24))&amp;"}")</f>
        <v/>
      </c>
      <c r="AP24">
        <f>IF(Dashboard!$C97="","",N(Dashboard!$G97)*1000-ROW())</f>
        <v>2976</v>
      </c>
      <c r="AR24">
        <f>IF(Dashboard!$C97="","",N(Dashboard!$H97)*1000-ROW())</f>
        <v>-24</v>
      </c>
      <c r="AT24">
        <f>IFERROR(IF(LARGE($AP$20:$AP$39,5)&lt;=0,"",MATCH(LARGE($AP$20:$AP$39,5),$AP$20:$AP$39,0)),"")</f>
        <v>12</v>
      </c>
      <c r="AV24" t="str">
        <f>IFERROR(IF(LARGE($AR$20:$AR$39,5)&lt;=0,"",MATCH(LARGE($AR$20:$AR$39,5),$AR$20:$AR$39,0)),"")</f>
        <v/>
      </c>
      <c r="AW24">
        <f>80+(ROWS($AW$20:AW24)-1)*27</f>
        <v>188</v>
      </c>
      <c r="AX24" t="str" cm="1">
        <f t="array" ref="AX24">IF(INDEX('Match Day Reports'!$C:$C,$AW24+4+COLUMNS($AX$20:AX24))="","","{""name"":"""&amp;INDEX('Match Day Reports'!$C:$C,$AW24+4+COLUMNS($AX$20:AX24))&amp;""",""status"":"""&amp;INDEX('Match Day Reports'!$D:$D,$AW24+4+COLUMNS($AX$20:AX24))&amp;""",""pos"":"""&amp;INDEX('Match Day Reports'!$E:$E,$AW24+4+COLUMNS($AX$20:AX24))&amp;""",""pos2"":"""&amp;INDEX('Match Day Reports'!$F:$F,$AW24+4+COLUMNS($AX$20:AX24))&amp;""",""goals"":"&amp;N(INDEX('Match Day Reports'!$G:$G,$AW24+4+COLUMNS($AX$20:AX24)))&amp;",""assists"":"&amp;N(INDEX('Match Day Reports'!$H:$H,$AW24+4+COLUMNS($AX$20:AX24)))&amp;",""rating"":"&amp;N(INDEX('Match Day Reports'!$I:$I,$AW24+4+COLUMNS($AX$20:AX24)))&amp;"}")</f>
        <v/>
      </c>
      <c r="AY24" t="str" cm="1">
        <f t="array" ref="AY24">IF(INDEX('Match Day Reports'!$C:$C,$AW24+4+COLUMNS($AX$20:AY24))="","","{""name"":"""&amp;INDEX('Match Day Reports'!$C:$C,$AW24+4+COLUMNS($AX$20:AY24))&amp;""",""status"":"""&amp;INDEX('Match Day Reports'!$D:$D,$AW24+4+COLUMNS($AX$20:AY24))&amp;""",""pos"":"""&amp;INDEX('Match Day Reports'!$E:$E,$AW24+4+COLUMNS($AX$20:AY24))&amp;""",""pos2"":"""&amp;INDEX('Match Day Reports'!$F:$F,$AW24+4+COLUMNS($AX$20:AY24))&amp;""",""goals"":"&amp;N(INDEX('Match Day Reports'!$G:$G,$AW24+4+COLUMNS($AX$20:AY24)))&amp;",""assists"":"&amp;N(INDEX('Match Day Reports'!$H:$H,$AW24+4+COLUMNS($AX$20:AY24)))&amp;",""rating"":"&amp;N(INDEX('Match Day Reports'!$I:$I,$AW24+4+COLUMNS($AX$20:AY24)))&amp;"}")</f>
        <v/>
      </c>
      <c r="AZ24" t="str" cm="1">
        <f t="array" ref="AZ24">IF(INDEX('Match Day Reports'!$C:$C,$AW24+4+COLUMNS($AX$20:AZ24))="","","{""name"":"""&amp;INDEX('Match Day Reports'!$C:$C,$AW24+4+COLUMNS($AX$20:AZ24))&amp;""",""status"":"""&amp;INDEX('Match Day Reports'!$D:$D,$AW24+4+COLUMNS($AX$20:AZ24))&amp;""",""pos"":"""&amp;INDEX('Match Day Reports'!$E:$E,$AW24+4+COLUMNS($AX$20:AZ24))&amp;""",""pos2"":"""&amp;INDEX('Match Day Reports'!$F:$F,$AW24+4+COLUMNS($AX$20:AZ24))&amp;""",""goals"":"&amp;N(INDEX('Match Day Reports'!$G:$G,$AW24+4+COLUMNS($AX$20:AZ24)))&amp;",""assists"":"&amp;N(INDEX('Match Day Reports'!$H:$H,$AW24+4+COLUMNS($AX$20:AZ24)))&amp;",""rating"":"&amp;N(INDEX('Match Day Reports'!$I:$I,$AW24+4+COLUMNS($AX$20:AZ24)))&amp;"}")</f>
        <v/>
      </c>
      <c r="BA24" t="str" cm="1">
        <f t="array" ref="BA24">IF(INDEX('Match Day Reports'!$C:$C,$AW24+4+COLUMNS($AX$20:BA24))="","","{""name"":"""&amp;INDEX('Match Day Reports'!$C:$C,$AW24+4+COLUMNS($AX$20:BA24))&amp;""",""status"":"""&amp;INDEX('Match Day Reports'!$D:$D,$AW24+4+COLUMNS($AX$20:BA24))&amp;""",""pos"":"""&amp;INDEX('Match Day Reports'!$E:$E,$AW24+4+COLUMNS($AX$20:BA24))&amp;""",""pos2"":"""&amp;INDEX('Match Day Reports'!$F:$F,$AW24+4+COLUMNS($AX$20:BA24))&amp;""",""goals"":"&amp;N(INDEX('Match Day Reports'!$G:$G,$AW24+4+COLUMNS($AX$20:BA24)))&amp;",""assists"":"&amp;N(INDEX('Match Day Reports'!$H:$H,$AW24+4+COLUMNS($AX$20:BA24)))&amp;",""rating"":"&amp;N(INDEX('Match Day Reports'!$I:$I,$AW24+4+COLUMNS($AX$20:BA24)))&amp;"}")</f>
        <v/>
      </c>
      <c r="BB24" t="str" cm="1">
        <f t="array" ref="BB24">IF(INDEX('Match Day Reports'!$C:$C,$AW24+4+COLUMNS($AX$20:BB24))="","","{""name"":"""&amp;INDEX('Match Day Reports'!$C:$C,$AW24+4+COLUMNS($AX$20:BB24))&amp;""",""status"":"""&amp;INDEX('Match Day Reports'!$D:$D,$AW24+4+COLUMNS($AX$20:BB24))&amp;""",""pos"":"""&amp;INDEX('Match Day Reports'!$E:$E,$AW24+4+COLUMNS($AX$20:BB24))&amp;""",""pos2"":"""&amp;INDEX('Match Day Reports'!$F:$F,$AW24+4+COLUMNS($AX$20:BB24))&amp;""",""goals"":"&amp;N(INDEX('Match Day Reports'!$G:$G,$AW24+4+COLUMNS($AX$20:BB24)))&amp;",""assists"":"&amp;N(INDEX('Match Day Reports'!$H:$H,$AW24+4+COLUMNS($AX$20:BB24)))&amp;",""rating"":"&amp;N(INDEX('Match Day Reports'!$I:$I,$AW24+4+COLUMNS($AX$20:BB24)))&amp;"}")</f>
        <v/>
      </c>
      <c r="BC24" t="str" cm="1">
        <f t="array" ref="BC24">IF(INDEX('Match Day Reports'!$C:$C,$AW24+4+COLUMNS($AX$20:BC24))="","","{""name"":"""&amp;INDEX('Match Day Reports'!$C:$C,$AW24+4+COLUMNS($AX$20:BC24))&amp;""",""status"":"""&amp;INDEX('Match Day Reports'!$D:$D,$AW24+4+COLUMNS($AX$20:BC24))&amp;""",""pos"":"""&amp;INDEX('Match Day Reports'!$E:$E,$AW24+4+COLUMNS($AX$20:BC24))&amp;""",""pos2"":"""&amp;INDEX('Match Day Reports'!$F:$F,$AW24+4+COLUMNS($AX$20:BC24))&amp;""",""goals"":"&amp;N(INDEX('Match Day Reports'!$G:$G,$AW24+4+COLUMNS($AX$20:BC24)))&amp;",""assists"":"&amp;N(INDEX('Match Day Reports'!$H:$H,$AW24+4+COLUMNS($AX$20:BC24)))&amp;",""rating"":"&amp;N(INDEX('Match Day Reports'!$I:$I,$AW24+4+COLUMNS($AX$20:BC24)))&amp;"}")</f>
        <v/>
      </c>
      <c r="BD24" t="str" cm="1">
        <f t="array" ref="BD24">IF(INDEX('Match Day Reports'!$C:$C,$AW24+4+COLUMNS($AX$20:BD24))="","","{""name"":"""&amp;INDEX('Match Day Reports'!$C:$C,$AW24+4+COLUMNS($AX$20:BD24))&amp;""",""status"":"""&amp;INDEX('Match Day Reports'!$D:$D,$AW24+4+COLUMNS($AX$20:BD24))&amp;""",""pos"":"""&amp;INDEX('Match Day Reports'!$E:$E,$AW24+4+COLUMNS($AX$20:BD24))&amp;""",""pos2"":"""&amp;INDEX('Match Day Reports'!$F:$F,$AW24+4+COLUMNS($AX$20:BD24))&amp;""",""goals"":"&amp;N(INDEX('Match Day Reports'!$G:$G,$AW24+4+COLUMNS($AX$20:BD24)))&amp;",""assists"":"&amp;N(INDEX('Match Day Reports'!$H:$H,$AW24+4+COLUMNS($AX$20:BD24)))&amp;",""rating"":"&amp;N(INDEX('Match Day Reports'!$I:$I,$AW24+4+COLUMNS($AX$20:BD24)))&amp;"}")</f>
        <v/>
      </c>
      <c r="BE24" t="str" cm="1">
        <f t="array" ref="BE24">IF(INDEX('Match Day Reports'!$C:$C,$AW24+4+COLUMNS($AX$20:BE24))="","","{""name"":"""&amp;INDEX('Match Day Reports'!$C:$C,$AW24+4+COLUMNS($AX$20:BE24))&amp;""",""status"":"""&amp;INDEX('Match Day Reports'!$D:$D,$AW24+4+COLUMNS($AX$20:BE24))&amp;""",""pos"":"""&amp;INDEX('Match Day Reports'!$E:$E,$AW24+4+COLUMNS($AX$20:BE24))&amp;""",""pos2"":"""&amp;INDEX('Match Day Reports'!$F:$F,$AW24+4+COLUMNS($AX$20:BE24))&amp;""",""goals"":"&amp;N(INDEX('Match Day Reports'!$G:$G,$AW24+4+COLUMNS($AX$20:BE24)))&amp;",""assists"":"&amp;N(INDEX('Match Day Reports'!$H:$H,$AW24+4+COLUMNS($AX$20:BE24)))&amp;",""rating"":"&amp;N(INDEX('Match Day Reports'!$I:$I,$AW24+4+COLUMNS($AX$20:BE24)))&amp;"}")</f>
        <v/>
      </c>
      <c r="BF24" t="str" cm="1">
        <f t="array" ref="BF24">IF(INDEX('Match Day Reports'!$C:$C,$AW24+4+COLUMNS($AX$20:BF24))="","","{""name"":"""&amp;INDEX('Match Day Reports'!$C:$C,$AW24+4+COLUMNS($AX$20:BF24))&amp;""",""status"":"""&amp;INDEX('Match Day Reports'!$D:$D,$AW24+4+COLUMNS($AX$20:BF24))&amp;""",""pos"":"""&amp;INDEX('Match Day Reports'!$E:$E,$AW24+4+COLUMNS($AX$20:BF24))&amp;""",""pos2"":"""&amp;INDEX('Match Day Reports'!$F:$F,$AW24+4+COLUMNS($AX$20:BF24))&amp;""",""goals"":"&amp;N(INDEX('Match Day Reports'!$G:$G,$AW24+4+COLUMNS($AX$20:BF24)))&amp;",""assists"":"&amp;N(INDEX('Match Day Reports'!$H:$H,$AW24+4+COLUMNS($AX$20:BF24)))&amp;",""rating"":"&amp;N(INDEX('Match Day Reports'!$I:$I,$AW24+4+COLUMNS($AX$20:BF24)))&amp;"}")</f>
        <v/>
      </c>
      <c r="BG24" t="str" cm="1">
        <f t="array" ref="BG24">IF(INDEX('Match Day Reports'!$C:$C,$AW24+4+COLUMNS($AX$20:BG24))="","","{""name"":"""&amp;INDEX('Match Day Reports'!$C:$C,$AW24+4+COLUMNS($AX$20:BG24))&amp;""",""status"":"""&amp;INDEX('Match Day Reports'!$D:$D,$AW24+4+COLUMNS($AX$20:BG24))&amp;""",""pos"":"""&amp;INDEX('Match Day Reports'!$E:$E,$AW24+4+COLUMNS($AX$20:BG24))&amp;""",""pos2"":"""&amp;INDEX('Match Day Reports'!$F:$F,$AW24+4+COLUMNS($AX$20:BG24))&amp;""",""goals"":"&amp;N(INDEX('Match Day Reports'!$G:$G,$AW24+4+COLUMNS($AX$20:BG24)))&amp;",""assists"":"&amp;N(INDEX('Match Day Reports'!$H:$H,$AW24+4+COLUMNS($AX$20:BG24)))&amp;",""rating"":"&amp;N(INDEX('Match Day Reports'!$I:$I,$AW24+4+COLUMNS($AX$20:BG24)))&amp;"}")</f>
        <v/>
      </c>
      <c r="BH24" t="str" cm="1">
        <f t="array" ref="BH24">IF(INDEX('Match Day Reports'!$C:$C,$AW24+4+COLUMNS($AX$20:BH24))="","","{""name"":"""&amp;INDEX('Match Day Reports'!$C:$C,$AW24+4+COLUMNS($AX$20:BH24))&amp;""",""status"":"""&amp;INDEX('Match Day Reports'!$D:$D,$AW24+4+COLUMNS($AX$20:BH24))&amp;""",""pos"":"""&amp;INDEX('Match Day Reports'!$E:$E,$AW24+4+COLUMNS($AX$20:BH24))&amp;""",""pos2"":"""&amp;INDEX('Match Day Reports'!$F:$F,$AW24+4+COLUMNS($AX$20:BH24))&amp;""",""goals"":"&amp;N(INDEX('Match Day Reports'!$G:$G,$AW24+4+COLUMNS($AX$20:BH24)))&amp;",""assists"":"&amp;N(INDEX('Match Day Reports'!$H:$H,$AW24+4+COLUMNS($AX$20:BH24)))&amp;",""rating"":"&amp;N(INDEX('Match Day Reports'!$I:$I,$AW24+4+COLUMNS($AX$20:BH24)))&amp;"}")</f>
        <v/>
      </c>
      <c r="BI24" t="str" cm="1">
        <f t="array" ref="BI24">IF(INDEX('Match Day Reports'!$C:$C,$AW24+4+COLUMNS($AX$20:BI24))="","","{""name"":"""&amp;INDEX('Match Day Reports'!$C:$C,$AW24+4+COLUMNS($AX$20:BI24))&amp;""",""status"":"""&amp;INDEX('Match Day Reports'!$D:$D,$AW24+4+COLUMNS($AX$20:BI24))&amp;""",""pos"":"""&amp;INDEX('Match Day Reports'!$E:$E,$AW24+4+COLUMNS($AX$20:BI24))&amp;""",""pos2"":"""&amp;INDEX('Match Day Reports'!$F:$F,$AW24+4+COLUMNS($AX$20:BI24))&amp;""",""goals"":"&amp;N(INDEX('Match Day Reports'!$G:$G,$AW24+4+COLUMNS($AX$20:BI24)))&amp;",""assists"":"&amp;N(INDEX('Match Day Reports'!$H:$H,$AW24+4+COLUMNS($AX$20:BI24)))&amp;",""rating"":"&amp;N(INDEX('Match Day Reports'!$I:$I,$AW24+4+COLUMNS($AX$20:BI24)))&amp;"}")</f>
        <v/>
      </c>
      <c r="BJ24" t="str" cm="1">
        <f t="array" ref="BJ24">IF(INDEX('Match Day Reports'!$C:$C,$AW24+4+COLUMNS($AX$20:BJ24))="","","{""name"":"""&amp;INDEX('Match Day Reports'!$C:$C,$AW24+4+COLUMNS($AX$20:BJ24))&amp;""",""status"":"""&amp;INDEX('Match Day Reports'!$D:$D,$AW24+4+COLUMNS($AX$20:BJ24))&amp;""",""pos"":"""&amp;INDEX('Match Day Reports'!$E:$E,$AW24+4+COLUMNS($AX$20:BJ24))&amp;""",""pos2"":"""&amp;INDEX('Match Day Reports'!$F:$F,$AW24+4+COLUMNS($AX$20:BJ24))&amp;""",""goals"":"&amp;N(INDEX('Match Day Reports'!$G:$G,$AW24+4+COLUMNS($AX$20:BJ24)))&amp;",""assists"":"&amp;N(INDEX('Match Day Reports'!$H:$H,$AW24+4+COLUMNS($AX$20:BJ24)))&amp;",""rating"":"&amp;N(INDEX('Match Day Reports'!$I:$I,$AW24+4+COLUMNS($AX$20:BJ24)))&amp;"}")</f>
        <v/>
      </c>
      <c r="BK24" t="str" cm="1">
        <f t="array" ref="BK24">IF(INDEX('Match Day Reports'!$C:$C,$AW24+4+COLUMNS($AX$20:BK24))="","","{""name"":"""&amp;INDEX('Match Day Reports'!$C:$C,$AW24+4+COLUMNS($AX$20:BK24))&amp;""",""status"":"""&amp;INDEX('Match Day Reports'!$D:$D,$AW24+4+COLUMNS($AX$20:BK24))&amp;""",""pos"":"""&amp;INDEX('Match Day Reports'!$E:$E,$AW24+4+COLUMNS($AX$20:BK24))&amp;""",""pos2"":"""&amp;INDEX('Match Day Reports'!$F:$F,$AW24+4+COLUMNS($AX$20:BK24))&amp;""",""goals"":"&amp;N(INDEX('Match Day Reports'!$G:$G,$AW24+4+COLUMNS($AX$20:BK24)))&amp;",""assists"":"&amp;N(INDEX('Match Day Reports'!$H:$H,$AW24+4+COLUMNS($AX$20:BK24)))&amp;",""rating"":"&amp;N(INDEX('Match Day Reports'!$I:$I,$AW24+4+COLUMNS($AX$20:BK24)))&amp;"}")</f>
        <v/>
      </c>
      <c r="BL24" t="str" cm="1">
        <f t="array" ref="BL24">IF(INDEX('Match Day Reports'!$C:$C,$AW24+4+COLUMNS($AX$20:BL24))="","","{""name"":"""&amp;INDEX('Match Day Reports'!$C:$C,$AW24+4+COLUMNS($AX$20:BL24))&amp;""",""status"":"""&amp;INDEX('Match Day Reports'!$D:$D,$AW24+4+COLUMNS($AX$20:BL24))&amp;""",""pos"":"""&amp;INDEX('Match Day Reports'!$E:$E,$AW24+4+COLUMNS($AX$20:BL24))&amp;""",""pos2"":"""&amp;INDEX('Match Day Reports'!$F:$F,$AW24+4+COLUMNS($AX$20:BL24))&amp;""",""goals"":"&amp;N(INDEX('Match Day Reports'!$G:$G,$AW24+4+COLUMNS($AX$20:BL24)))&amp;",""assists"":"&amp;N(INDEX('Match Day Reports'!$H:$H,$AW24+4+COLUMNS($AX$20:BL24)))&amp;",""rating"":"&amp;N(INDEX('Match Day Reports'!$I:$I,$AW24+4+COLUMNS($AX$20:BL24)))&amp;"}")</f>
        <v/>
      </c>
      <c r="BM24" t="str" cm="1">
        <f t="array" ref="BM24">IF(INDEX('Match Day Reports'!$C:$C,$AW24+4+COLUMNS($AX$20:BM24))="","","{""name"":"""&amp;INDEX('Match Day Reports'!$C:$C,$AW24+4+COLUMNS($AX$20:BM24))&amp;""",""status"":"""&amp;INDEX('Match Day Reports'!$D:$D,$AW24+4+COLUMNS($AX$20:BM24))&amp;""",""pos"":"""&amp;INDEX('Match Day Reports'!$E:$E,$AW24+4+COLUMNS($AX$20:BM24))&amp;""",""pos2"":"""&amp;INDEX('Match Day Reports'!$F:$F,$AW24+4+COLUMNS($AX$20:BM24))&amp;""",""goals"":"&amp;N(INDEX('Match Day Reports'!$G:$G,$AW24+4+COLUMNS($AX$20:BM24)))&amp;",""assists"":"&amp;N(INDEX('Match Day Reports'!$H:$H,$AW24+4+COLUMNS($AX$20:BM24)))&amp;",""rating"":"&amp;N(INDEX('Match Day Reports'!$I:$I,$AW24+4+COLUMNS($AX$20:BM24)))&amp;"}")</f>
        <v/>
      </c>
      <c r="BN24" t="str" cm="1">
        <f t="array" ref="BN24">IF(INDEX('Match Day Reports'!$C:$C,$AW24+4+COLUMNS($AX$20:BN24))="","","{""name"":"""&amp;INDEX('Match Day Reports'!$C:$C,$AW24+4+COLUMNS($AX$20:BN24))&amp;""",""status"":"""&amp;INDEX('Match Day Reports'!$D:$D,$AW24+4+COLUMNS($AX$20:BN24))&amp;""",""pos"":"""&amp;INDEX('Match Day Reports'!$E:$E,$AW24+4+COLUMNS($AX$20:BN24))&amp;""",""pos2"":"""&amp;INDEX('Match Day Reports'!$F:$F,$AW24+4+COLUMNS($AX$20:BN24))&amp;""",""goals"":"&amp;N(INDEX('Match Day Reports'!$G:$G,$AW24+4+COLUMNS($AX$20:BN24)))&amp;",""assists"":"&amp;N(INDEX('Match Day Reports'!$H:$H,$AW24+4+COLUMNS($AX$20:BN24)))&amp;",""rating"":"&amp;N(INDEX('Match Day Reports'!$I:$I,$AW24+4+COLUMNS($AX$20:BN24)))&amp;"}")</f>
        <v/>
      </c>
      <c r="BO24" t="str" cm="1">
        <f t="array" ref="BO24">IF(INDEX('Match Day Reports'!$C:$C,$AW24+4+COLUMNS($AX$20:BO24))="","","{""name"":"""&amp;INDEX('Match Day Reports'!$C:$C,$AW24+4+COLUMNS($AX$20:BO24))&amp;""",""status"":"""&amp;INDEX('Match Day Reports'!$D:$D,$AW24+4+COLUMNS($AX$20:BO24))&amp;""",""pos"":"""&amp;INDEX('Match Day Reports'!$E:$E,$AW24+4+COLUMNS($AX$20:BO24))&amp;""",""pos2"":"""&amp;INDEX('Match Day Reports'!$F:$F,$AW24+4+COLUMNS($AX$20:BO24))&amp;""",""goals"":"&amp;N(INDEX('Match Day Reports'!$G:$G,$AW24+4+COLUMNS($AX$20:BO24)))&amp;",""assists"":"&amp;N(INDEX('Match Day Reports'!$H:$H,$AW24+4+COLUMNS($AX$20:BO24)))&amp;",""rating"":"&amp;N(INDEX('Match Day Reports'!$I:$I,$AW24+4+COLUMNS($AX$20:BO24)))&amp;"}")</f>
        <v/>
      </c>
      <c r="BQ24" t="str">
        <f>IF('Team Selection'!$F150="","","{""slot"":"&amp;'Team Selection'!$B150&amp;",""position"":"""&amp;'Team Selection'!$C150&amp;""",""player"":"""&amp;'Team Selection'!$F150&amp;""",""fitScore"":"&amp;ROUND(N('Team Selection'!$G150),2)&amp;",""seasonScore"":"&amp;ROUND(N('Team Selection'!$H150),4)&amp;",""overallGrade"":"&amp;ROUND(N('Team Selection'!$I150),2)&amp;"}")</f>
        <v>{"slot":5,"position":"RWB","player":"Rama Abuowda","fitScore":0,"seasonScore":0.7667,"overallGrade":13.63}</v>
      </c>
      <c r="BS24" t="str">
        <f>IF('Team Selection'!$F164="","","{""slot"":"&amp;'Team Selection'!$B164&amp;",""position"":"""&amp;'Team Selection'!$C164&amp;""",""player"":"""&amp;'Team Selection'!$F164&amp;""",""fitScore"":"&amp;ROUND(N('Team Selection'!$G164),2)&amp;",""seasonScore"":"&amp;ROUND(N('Team Selection'!$H164),4)&amp;",""overallGrade"":"&amp;ROUND(N('Team Selection'!$I164),2)&amp;"}")</f>
        <v>{"slot":5,"position":"LB","player":"Hannah Fleming","fitScore":13.13,"seasonScore":0.7667,"overallGrade":12.22}</v>
      </c>
      <c r="BU24" t="str">
        <f>IF('Team Selection'!$C178="","","{""player"":"""&amp;'Team Selection'!$C178&amp;""",""position"":"""&amp;'Team Selection'!$D178&amp;""",""overallGrade"":"&amp;ROUND(N('Team Selection'!$E178),2)&amp;",""seasonScore"":"&amp;ROUND(N('Team Selection'!$F178),4)&amp;",""status"":"""&amp;'Team Selection'!$G178&amp;"""}")</f>
        <v>{"player":"Shauna Kavanagh","position":"ST / RW","overallGrade":7.73,"seasonScore":0.7278,"status":"Available"}</v>
      </c>
      <c r="BW24" t="str">
        <f>IF('Team Selection'!$C201="","","{""player"":"""&amp;'Team Selection'!$C201&amp;""",""position"":"""&amp;'Team Selection'!$D201&amp;""",""overallGrade"":"&amp;ROUND(N('Team Selection'!$E201),2)&amp;",""seasonScore"":"&amp;ROUND(N('Team Selection'!$F201),4)&amp;",""status"":"""&amp;'Team Selection'!$G201&amp;"""}")</f>
        <v>{"player":"Roma Memon","position":"DM / CM","overallGrade":10.62,"seasonScore":0.6278,"status":"Available"}</v>
      </c>
      <c r="BZ24" cm="1">
        <f t="array" ref="BZ24">IF(Attendance!$D9="","",SUMPRODUCT((Attendance!$E$4:$CN$4="Att")*(Attendance!$E9:$CN9&lt;&gt;"")))</f>
        <v>3</v>
      </c>
      <c r="CA24" cm="1">
        <f t="array" ref="CA24">IF(Attendance!$D9="","",SUMPRODUCT((Attendance!$CP$4:$FY$4="Att")*((Attendance!$CP9:$FY9&lt;&gt;"")+(Attendance!$CQ9:$FZ9&lt;&gt;"")+(Attendance!$CR9:$GA9&lt;&gt;"")+(Attendance!$CS9:$GB9&lt;&gt;"")&gt;0)))</f>
        <v>1</v>
      </c>
    </row>
    <row r="25" spans="1:79" x14ac:dyDescent="0.45">
      <c r="A25" s="322" t="str">
        <f>Workings!$S6</f>
        <v>Critical</v>
      </c>
      <c r="B25" s="323">
        <f>Workings!$V6</f>
        <v>0</v>
      </c>
      <c r="C25" s="324" t="str">
        <f>IF($F25="","",IFERROR(VALUE(MID($B$22,$F25,FIND("}",$B$22,$F25)-$F25)),"?"))</f>
        <v/>
      </c>
      <c r="D25" s="324" t="str">
        <f>IF($B$22="","-",IF($C25="","BAND NOT FOUND",IF($C25=$B25,"OK","MISMATCH")))</f>
        <v>-</v>
      </c>
      <c r="E25" s="315">
        <f>IFERROR(FIND("""band"":"""&amp;$A25&amp;"""",$B$22),0)</f>
        <v>0</v>
      </c>
      <c r="F25" s="315" t="str">
        <f>IF($E25=0,"",IFERROR(FIND("""players"":",$B$22,$E25)+10,""))</f>
        <v/>
      </c>
      <c r="J25" t="str">
        <f>IF(Attendance!$D10="","","{""number"":"&amp;Attendance!$C10&amp;",""name"":"""&amp;Attendance!$D10&amp;""",""position"":"""&amp;'Player Grading'!$D11&amp;""",""availability"":"""&amp;'Team Selection'!$E69&amp;""",""unavailableReason"":"""&amp;'Team Selection'!$F69&amp;""",""trainingAttendancePct"":"&amp;ROUND(N(Attendance!$GC10),4)&amp;",""avgWorkRate"":"&amp;ROUND(N(Attendance!$GD10),2)&amp;",""matchdayAttendancePct"":"&amp;ROUND(N(Attendance!$GH10),4)&amp;",""minutes"":"&amp;N(Attendance!$GI10)&amp;",""avgMinutes"":"&amp;ROUND(N(Attendance!$GJ10),1)&amp;",""avgRating"":"&amp;ROUND(N(Attendance!$GK10),2)&amp;",""motm"":"&amp;N(Attendance!$GM10)&amp;",""seasonScore"":"&amp;ROUND(N(Attendance!$GN10),4)&amp;",""comment"":"""&amp;Attendance!$GR10&amp;""",""toWorkOn"":"""&amp;Attendance!$GS10&amp;""",""sessions"":["&amp;$X25&amp;"],""matches"":["&amp;$Z25&amp;"]}")</f>
        <v>{"number":6,"name":"Naomi Adewoyin","position":"CM / ACM","availability":"Yes","unavailableReason":"","trainingAttendancePct":1,"avgWorkRate":3,"matchdayAttendancePct":0,"minutes":0,"avgMinutes":0,"avgRating":7.5,"motm":0,"seasonScore":0.7667,"comment":"","toWorkOn":"","sessions":[[1,3],[1,3],[1,3]],"matches":[[-1,0,7.5,0]]}</v>
      </c>
      <c r="L25" t="str">
        <f>IF(Workings!$AE11="","","{""gw"":"&amp;Workings!$AD11&amp;",""date"":"""&amp;TEXT(Workings!$AE11,"yyyy-mm-dd")&amp;""",""opponent"":"""&amp;Workings!$AF11&amp;""",""venue"":"""&amp;Workings!$AG11&amp;""",""gf"":"&amp;N(Workings!$AH11)&amp;",""ga"":"&amp;N(Workings!$AI11)&amp;",""result"":"""&amp;Workings!$AJ11&amp;"""}")</f>
        <v/>
      </c>
      <c r="N25" t="str">
        <f t="array" ref="N25">IF(LEN(INDEX(Attendance!$E$3:$CN$3,1,(6-1)*2+1))=0,"","{""index"":6,""gw"":3,""date"":"""&amp;TEXT(INDEX(Attendance!$E$3:$CN$3,1,(6-1)*2+1),"yyyy-mm-dd")&amp;"""}")</f>
        <v/>
      </c>
      <c r="P25" t="str">
        <f>"{""band"":"""&amp;Workings!$S11&amp;""",""from"":"&amp;Workings!$T11&amp;",""to"":"&amp;Workings!$U11&amp;",""players"":"&amp;Workings!$V11&amp;"}"</f>
        <v>{"band":"Match Ready","from":3.5,"to":5,"players":1}</v>
      </c>
      <c r="R25" t="str">
        <f>IF('Team Selection'!$D30="","","{""slot"":"&amp;'Team Selection'!$B30&amp;",""position"":"""&amp;'Team Selection'!$C30&amp;""",""player"":"""&amp;'Team Selection'!$D30&amp;""",""fitScore"":"&amp;ROUND(N('Team Selection'!$E30),2)&amp;",""seasonScore"":"&amp;ROUND(N('Team Selection'!$F30),4)&amp;",""overallGrade"":"&amp;ROUND(N('Team Selection'!$G30),2)&amp;"}")</f>
        <v>{"slot":6,"position":"LWB","player":"Hannah Fleming","fitScore":13.13,"seasonScore":0.7667,"overallGrade":12.22}</v>
      </c>
      <c r="T25" t="str">
        <f>IF('Team Selection'!$C45="","","{""player"":"""&amp;'Team Selection'!$C45&amp;""",""position"":"""&amp;'Team Selection'!$D45&amp;""",""overallGrade"":"&amp;ROUND(N('Team Selection'!$E45),2)&amp;",""seasonScore"":"&amp;ROUND(N('Team Selection'!$F45),4)&amp;",""status"":"""&amp;'Team Selection'!$G45&amp;"""}")</f>
        <v>{"player":"Roma Memon","position":"DM / CM","overallGrade":10.62,"seasonScore":0.6278,"status":"Available"}</v>
      </c>
      <c r="V25" t="str">
        <f>IF(OR('Team Selection'!$C69="",'Team Selection'!$E69="Yes"),"","{""player"":"""&amp;'Team Selection'!$C69&amp;""",""reason"":"""&amp;'Team Selection'!$F69&amp;"""}")</f>
        <v/>
      </c>
      <c r="X25" t="str" cm="1">
        <f t="array" ref="X25">IF(Attendance!$D10="","",_xlfn.TEXTJOIN(",",TRUE(),IF((Attendance!$E$4:$CN$4="Att")*((COLUMN(Attendance!$E$4:$CN$4)-COLUMN(Attendance!$E$4))/2+1&lt;=$BZ$41),"["&amp;IF(Attendance!$E10:$CN10="Yes",1,0)&amp;","&amp;IF(Attendance!$F10:$CO10="",0,Attendance!$F10:$CO10)&amp;"]","")))</f>
        <v>[1,3],[1,3],[1,3]</v>
      </c>
      <c r="Z25" t="str" cm="1">
        <f t="array" ref="Z25">IF(Attendance!$D10="","",_xlfn.TEXTJOIN(",",TRUE(),IF((Attendance!$CP$4:$FY$4="Att")*((COLUMN(Attendance!$CP$4:$FY$4)-COLUMN(Attendance!$CP$4))/4+1&lt;=$BZ$42),"["&amp;IF(Attendance!$CP10:$FY10="Yes",1,IF(Attendance!$CP10:$FY10="No",0,-1))&amp;","&amp;IF(Attendance!$CQ10:$FZ10="",0,Attendance!$CQ10:$FZ10)&amp;","&amp;IF(Attendance!$CR10:$GA10="",0,Attendance!$CR10:$GA10)&amp;","&amp;IF(Attendance!$CS10:$GB10="Yes",1,0)&amp;"]","")))</f>
        <v>[-1,0,7.5,0]</v>
      </c>
      <c r="AB25" t="str" cm="1">
        <f t="array" ref="AB25">IF(AND(INDEX('Match Day Reports'!$C:$C,$AW25+2)="",COUNTIF($AX25:$BO25,"?*")=0),"","{""gw"":"&amp;ROWS($AB$20:AB25)&amp;",""date"":"""&amp;IF(INDEX('Match Day Reports'!$B:$B,$AW25+2)="","",TEXT(INDEX('Match Day Reports'!$B:$B,$AW25+2),"yyyy-mm-dd"))&amp;""""&amp;",""opponent"":"""&amp;INDEX('Match Day Reports'!$C:$C,$AW25+2)&amp;""""&amp;",""venue"":"""&amp;INDEX('Match Day Reports'!$D:$D,$AW25+2)&amp;""""&amp;",""gf"":"&amp;N(INDEX('Match Day Reports'!$E:$E,$AW25+2))&amp;",""ga"":"&amp;N(INDEX('Match Day Reports'!$F:$F,$AW25+2))&amp;",""result"":"""&amp;INDEX('Match Day Reports'!$G:$G,$AW25+2)&amp;""""&amp;",""motm"":"""&amp;INDEX('Match Day Reports'!$H:$H,$AW25+2)&amp;""""&amp;",""xi"":["&amp;_xlfn.TEXTJOIN(",",TRUE(),$AX25:$BH25)&amp;"]"&amp;",""subs"":["&amp;_xlfn.TEXTJOIN(",",TRUE(),$BI25:$BO25)&amp;"]"&amp;",""matchNotes"":"""&amp;SUBSTITUTE(SUBSTITUTE(INDEX('Match Day Reports'!$C:$C,$AW25+24),"""","'"),CHAR(10)," ")&amp;""""&amp;",""keyNotes"":"""&amp;SUBSTITUTE(SUBSTITUTE(INDEX('Match Day Reports'!$C:$C,$AW25+25),"""","'"),CHAR(10)," ")&amp;""""&amp;"}")</f>
        <v/>
      </c>
      <c r="AD25" t="str">
        <f>IF(Workings!$AO11="","","{""name"":"""&amp;Workings!$AO11&amp;""",""rank"":"&amp;N(Workings!$AX11)&amp;",""sessionsAttended"":"&amp;N(Workings!$AP11)&amp;",""sessionsHeld"":"&amp;N(Workings!$AQ11)&amp;",""attendancePct"":"&amp;ROUND(N(Workings!$AR11),4)&amp;",""avgWorkRate"":"&amp;ROUND(N(Workings!$AS11),2)&amp;",""gradePct"":"&amp;ROUND(N(Workings!$AT11),4)&amp;",""readinessBand"":"""&amp;Workings!$AU11&amp;"""}")</f>
        <v>{"name":"Naomi Adewoyin","rank":7,"sessionsAttended":7,"sessionsHeld":11,"attendancePct":0.6364,"avgWorkRate":3.43,"gradePct":0.6036,"readinessBand":"Not Ready for 90 min"}</v>
      </c>
      <c r="AJ25" t="str">
        <f>IF(Workings!$BO11="","","{""band"":"""&amp;Workings!$BO11&amp;""",""count"":"&amp;N(Workings!$BP11)&amp;",""players"":["&amp;IF(Workings!$BQ11="","",""""&amp;SUBSTITUTE(Workings!$BQ11,", ",""",""")&amp;"""")&amp;"]}")</f>
        <v>{"band":"Critical","count":0,"players":[]}</v>
      </c>
      <c r="AL25" t="str" cm="1">
        <f t="array" ref="AL25">IF($AT25="","","{""rank"":6,""name"":"""&amp;INDEX(Dashboard!$C$93:$C$112,$AT25)&amp;""",""goals"":"&amp;N(INDEX(Dashboard!$G$93:$G$112,$AT25))&amp;",""assists"":"&amp;N(INDEX(Dashboard!$H$93:$H$112,$AT25))&amp;",""apps"":"&amp;N(INDEX(Dashboard!$F$93:$F$112,$AT25))&amp;"}")</f>
        <v>{"rank":6,"name":"Elsie Morrison","goals":1,"assists":0,"apps":1}</v>
      </c>
      <c r="AN25" t="str" cm="1">
        <f t="array" ref="AN25">IF($AV25="","","{""rank"":6,""name"":"""&amp;INDEX(Dashboard!$C$93:$C$112,$AV25)&amp;""",""assists"":"&amp;N(INDEX(Dashboard!$H$93:$H$112,$AV25))&amp;",""goals"":"&amp;N(INDEX(Dashboard!$G$93:$G$112,$AV25))&amp;",""apps"":"&amp;N(INDEX(Dashboard!$F$93:$F$112,$AV25))&amp;"}")</f>
        <v/>
      </c>
      <c r="AP25">
        <f>IF(Dashboard!$C98="","",N(Dashboard!$G98)*1000-ROW())</f>
        <v>975</v>
      </c>
      <c r="AR25">
        <f>IF(Dashboard!$C98="","",N(Dashboard!$H98)*1000-ROW())</f>
        <v>-25</v>
      </c>
      <c r="AT25">
        <f>IFERROR(IF(LARGE($AP$20:$AP$39,6)&lt;=0,"",MATCH(LARGE($AP$20:$AP$39,6),$AP$20:$AP$39,0)),"")</f>
        <v>15</v>
      </c>
      <c r="AV25" t="str">
        <f>IFERROR(IF(LARGE($AR$20:$AR$39,6)&lt;=0,"",MATCH(LARGE($AR$20:$AR$39,6),$AR$20:$AR$39,0)),"")</f>
        <v/>
      </c>
      <c r="AW25">
        <f>80+(ROWS($AW$20:AW25)-1)*27</f>
        <v>215</v>
      </c>
      <c r="AX25" t="str" cm="1">
        <f t="array" ref="AX25">IF(INDEX('Match Day Reports'!$C:$C,$AW25+4+COLUMNS($AX$20:AX25))="","","{""name"":"""&amp;INDEX('Match Day Reports'!$C:$C,$AW25+4+COLUMNS($AX$20:AX25))&amp;""",""status"":"""&amp;INDEX('Match Day Reports'!$D:$D,$AW25+4+COLUMNS($AX$20:AX25))&amp;""",""pos"":"""&amp;INDEX('Match Day Reports'!$E:$E,$AW25+4+COLUMNS($AX$20:AX25))&amp;""",""pos2"":"""&amp;INDEX('Match Day Reports'!$F:$F,$AW25+4+COLUMNS($AX$20:AX25))&amp;""",""goals"":"&amp;N(INDEX('Match Day Reports'!$G:$G,$AW25+4+COLUMNS($AX$20:AX25)))&amp;",""assists"":"&amp;N(INDEX('Match Day Reports'!$H:$H,$AW25+4+COLUMNS($AX$20:AX25)))&amp;",""rating"":"&amp;N(INDEX('Match Day Reports'!$I:$I,$AW25+4+COLUMNS($AX$20:AX25)))&amp;"}")</f>
        <v/>
      </c>
      <c r="AY25" t="str" cm="1">
        <f t="array" ref="AY25">IF(INDEX('Match Day Reports'!$C:$C,$AW25+4+COLUMNS($AX$20:AY25))="","","{""name"":"""&amp;INDEX('Match Day Reports'!$C:$C,$AW25+4+COLUMNS($AX$20:AY25))&amp;""",""status"":"""&amp;INDEX('Match Day Reports'!$D:$D,$AW25+4+COLUMNS($AX$20:AY25))&amp;""",""pos"":"""&amp;INDEX('Match Day Reports'!$E:$E,$AW25+4+COLUMNS($AX$20:AY25))&amp;""",""pos2"":"""&amp;INDEX('Match Day Reports'!$F:$F,$AW25+4+COLUMNS($AX$20:AY25))&amp;""",""goals"":"&amp;N(INDEX('Match Day Reports'!$G:$G,$AW25+4+COLUMNS($AX$20:AY25)))&amp;",""assists"":"&amp;N(INDEX('Match Day Reports'!$H:$H,$AW25+4+COLUMNS($AX$20:AY25)))&amp;",""rating"":"&amp;N(INDEX('Match Day Reports'!$I:$I,$AW25+4+COLUMNS($AX$20:AY25)))&amp;"}")</f>
        <v/>
      </c>
      <c r="AZ25" t="str" cm="1">
        <f t="array" ref="AZ25">IF(INDEX('Match Day Reports'!$C:$C,$AW25+4+COLUMNS($AX$20:AZ25))="","","{""name"":"""&amp;INDEX('Match Day Reports'!$C:$C,$AW25+4+COLUMNS($AX$20:AZ25))&amp;""",""status"":"""&amp;INDEX('Match Day Reports'!$D:$D,$AW25+4+COLUMNS($AX$20:AZ25))&amp;""",""pos"":"""&amp;INDEX('Match Day Reports'!$E:$E,$AW25+4+COLUMNS($AX$20:AZ25))&amp;""",""pos2"":"""&amp;INDEX('Match Day Reports'!$F:$F,$AW25+4+COLUMNS($AX$20:AZ25))&amp;""",""goals"":"&amp;N(INDEX('Match Day Reports'!$G:$G,$AW25+4+COLUMNS($AX$20:AZ25)))&amp;",""assists"":"&amp;N(INDEX('Match Day Reports'!$H:$H,$AW25+4+COLUMNS($AX$20:AZ25)))&amp;",""rating"":"&amp;N(INDEX('Match Day Reports'!$I:$I,$AW25+4+COLUMNS($AX$20:AZ25)))&amp;"}")</f>
        <v/>
      </c>
      <c r="BA25" t="str" cm="1">
        <f t="array" ref="BA25">IF(INDEX('Match Day Reports'!$C:$C,$AW25+4+COLUMNS($AX$20:BA25))="","","{""name"":"""&amp;INDEX('Match Day Reports'!$C:$C,$AW25+4+COLUMNS($AX$20:BA25))&amp;""",""status"":"""&amp;INDEX('Match Day Reports'!$D:$D,$AW25+4+COLUMNS($AX$20:BA25))&amp;""",""pos"":"""&amp;INDEX('Match Day Reports'!$E:$E,$AW25+4+COLUMNS($AX$20:BA25))&amp;""",""pos2"":"""&amp;INDEX('Match Day Reports'!$F:$F,$AW25+4+COLUMNS($AX$20:BA25))&amp;""",""goals"":"&amp;N(INDEX('Match Day Reports'!$G:$G,$AW25+4+COLUMNS($AX$20:BA25)))&amp;",""assists"":"&amp;N(INDEX('Match Day Reports'!$H:$H,$AW25+4+COLUMNS($AX$20:BA25)))&amp;",""rating"":"&amp;N(INDEX('Match Day Reports'!$I:$I,$AW25+4+COLUMNS($AX$20:BA25)))&amp;"}")</f>
        <v/>
      </c>
      <c r="BB25" t="str" cm="1">
        <f t="array" ref="BB25">IF(INDEX('Match Day Reports'!$C:$C,$AW25+4+COLUMNS($AX$20:BB25))="","","{""name"":"""&amp;INDEX('Match Day Reports'!$C:$C,$AW25+4+COLUMNS($AX$20:BB25))&amp;""",""status"":"""&amp;INDEX('Match Day Reports'!$D:$D,$AW25+4+COLUMNS($AX$20:BB25))&amp;""",""pos"":"""&amp;INDEX('Match Day Reports'!$E:$E,$AW25+4+COLUMNS($AX$20:BB25))&amp;""",""pos2"":"""&amp;INDEX('Match Day Reports'!$F:$F,$AW25+4+COLUMNS($AX$20:BB25))&amp;""",""goals"":"&amp;N(INDEX('Match Day Reports'!$G:$G,$AW25+4+COLUMNS($AX$20:BB25)))&amp;",""assists"":"&amp;N(INDEX('Match Day Reports'!$H:$H,$AW25+4+COLUMNS($AX$20:BB25)))&amp;",""rating"":"&amp;N(INDEX('Match Day Reports'!$I:$I,$AW25+4+COLUMNS($AX$20:BB25)))&amp;"}")</f>
        <v/>
      </c>
      <c r="BC25" t="str" cm="1">
        <f t="array" ref="BC25">IF(INDEX('Match Day Reports'!$C:$C,$AW25+4+COLUMNS($AX$20:BC25))="","","{""name"":"""&amp;INDEX('Match Day Reports'!$C:$C,$AW25+4+COLUMNS($AX$20:BC25))&amp;""",""status"":"""&amp;INDEX('Match Day Reports'!$D:$D,$AW25+4+COLUMNS($AX$20:BC25))&amp;""",""pos"":"""&amp;INDEX('Match Day Reports'!$E:$E,$AW25+4+COLUMNS($AX$20:BC25))&amp;""",""pos2"":"""&amp;INDEX('Match Day Reports'!$F:$F,$AW25+4+COLUMNS($AX$20:BC25))&amp;""",""goals"":"&amp;N(INDEX('Match Day Reports'!$G:$G,$AW25+4+COLUMNS($AX$20:BC25)))&amp;",""assists"":"&amp;N(INDEX('Match Day Reports'!$H:$H,$AW25+4+COLUMNS($AX$20:BC25)))&amp;",""rating"":"&amp;N(INDEX('Match Day Reports'!$I:$I,$AW25+4+COLUMNS($AX$20:BC25)))&amp;"}")</f>
        <v/>
      </c>
      <c r="BD25" t="str" cm="1">
        <f t="array" ref="BD25">IF(INDEX('Match Day Reports'!$C:$C,$AW25+4+COLUMNS($AX$20:BD25))="","","{""name"":"""&amp;INDEX('Match Day Reports'!$C:$C,$AW25+4+COLUMNS($AX$20:BD25))&amp;""",""status"":"""&amp;INDEX('Match Day Reports'!$D:$D,$AW25+4+COLUMNS($AX$20:BD25))&amp;""",""pos"":"""&amp;INDEX('Match Day Reports'!$E:$E,$AW25+4+COLUMNS($AX$20:BD25))&amp;""",""pos2"":"""&amp;INDEX('Match Day Reports'!$F:$F,$AW25+4+COLUMNS($AX$20:BD25))&amp;""",""goals"":"&amp;N(INDEX('Match Day Reports'!$G:$G,$AW25+4+COLUMNS($AX$20:BD25)))&amp;",""assists"":"&amp;N(INDEX('Match Day Reports'!$H:$H,$AW25+4+COLUMNS($AX$20:BD25)))&amp;",""rating"":"&amp;N(INDEX('Match Day Reports'!$I:$I,$AW25+4+COLUMNS($AX$20:BD25)))&amp;"}")</f>
        <v/>
      </c>
      <c r="BE25" t="str" cm="1">
        <f t="array" ref="BE25">IF(INDEX('Match Day Reports'!$C:$C,$AW25+4+COLUMNS($AX$20:BE25))="","","{""name"":"""&amp;INDEX('Match Day Reports'!$C:$C,$AW25+4+COLUMNS($AX$20:BE25))&amp;""",""status"":"""&amp;INDEX('Match Day Reports'!$D:$D,$AW25+4+COLUMNS($AX$20:BE25))&amp;""",""pos"":"""&amp;INDEX('Match Day Reports'!$E:$E,$AW25+4+COLUMNS($AX$20:BE25))&amp;""",""pos2"":"""&amp;INDEX('Match Day Reports'!$F:$F,$AW25+4+COLUMNS($AX$20:BE25))&amp;""",""goals"":"&amp;N(INDEX('Match Day Reports'!$G:$G,$AW25+4+COLUMNS($AX$20:BE25)))&amp;",""assists"":"&amp;N(INDEX('Match Day Reports'!$H:$H,$AW25+4+COLUMNS($AX$20:BE25)))&amp;",""rating"":"&amp;N(INDEX('Match Day Reports'!$I:$I,$AW25+4+COLUMNS($AX$20:BE25)))&amp;"}")</f>
        <v/>
      </c>
      <c r="BF25" t="str" cm="1">
        <f t="array" ref="BF25">IF(INDEX('Match Day Reports'!$C:$C,$AW25+4+COLUMNS($AX$20:BF25))="","","{""name"":"""&amp;INDEX('Match Day Reports'!$C:$C,$AW25+4+COLUMNS($AX$20:BF25))&amp;""",""status"":"""&amp;INDEX('Match Day Reports'!$D:$D,$AW25+4+COLUMNS($AX$20:BF25))&amp;""",""pos"":"""&amp;INDEX('Match Day Reports'!$E:$E,$AW25+4+COLUMNS($AX$20:BF25))&amp;""",""pos2"":"""&amp;INDEX('Match Day Reports'!$F:$F,$AW25+4+COLUMNS($AX$20:BF25))&amp;""",""goals"":"&amp;N(INDEX('Match Day Reports'!$G:$G,$AW25+4+COLUMNS($AX$20:BF25)))&amp;",""assists"":"&amp;N(INDEX('Match Day Reports'!$H:$H,$AW25+4+COLUMNS($AX$20:BF25)))&amp;",""rating"":"&amp;N(INDEX('Match Day Reports'!$I:$I,$AW25+4+COLUMNS($AX$20:BF25)))&amp;"}")</f>
        <v/>
      </c>
      <c r="BG25" t="str" cm="1">
        <f t="array" ref="BG25">IF(INDEX('Match Day Reports'!$C:$C,$AW25+4+COLUMNS($AX$20:BG25))="","","{""name"":"""&amp;INDEX('Match Day Reports'!$C:$C,$AW25+4+COLUMNS($AX$20:BG25))&amp;""",""status"":"""&amp;INDEX('Match Day Reports'!$D:$D,$AW25+4+COLUMNS($AX$20:BG25))&amp;""",""pos"":"""&amp;INDEX('Match Day Reports'!$E:$E,$AW25+4+COLUMNS($AX$20:BG25))&amp;""",""pos2"":"""&amp;INDEX('Match Day Reports'!$F:$F,$AW25+4+COLUMNS($AX$20:BG25))&amp;""",""goals"":"&amp;N(INDEX('Match Day Reports'!$G:$G,$AW25+4+COLUMNS($AX$20:BG25)))&amp;",""assists"":"&amp;N(INDEX('Match Day Reports'!$H:$H,$AW25+4+COLUMNS($AX$20:BG25)))&amp;",""rating"":"&amp;N(INDEX('Match Day Reports'!$I:$I,$AW25+4+COLUMNS($AX$20:BG25)))&amp;"}")</f>
        <v/>
      </c>
      <c r="BH25" t="str" cm="1">
        <f t="array" ref="BH25">IF(INDEX('Match Day Reports'!$C:$C,$AW25+4+COLUMNS($AX$20:BH25))="","","{""name"":"""&amp;INDEX('Match Day Reports'!$C:$C,$AW25+4+COLUMNS($AX$20:BH25))&amp;""",""status"":"""&amp;INDEX('Match Day Reports'!$D:$D,$AW25+4+COLUMNS($AX$20:BH25))&amp;""",""pos"":"""&amp;INDEX('Match Day Reports'!$E:$E,$AW25+4+COLUMNS($AX$20:BH25))&amp;""",""pos2"":"""&amp;INDEX('Match Day Reports'!$F:$F,$AW25+4+COLUMNS($AX$20:BH25))&amp;""",""goals"":"&amp;N(INDEX('Match Day Reports'!$G:$G,$AW25+4+COLUMNS($AX$20:BH25)))&amp;",""assists"":"&amp;N(INDEX('Match Day Reports'!$H:$H,$AW25+4+COLUMNS($AX$20:BH25)))&amp;",""rating"":"&amp;N(INDEX('Match Day Reports'!$I:$I,$AW25+4+COLUMNS($AX$20:BH25)))&amp;"}")</f>
        <v/>
      </c>
      <c r="BI25" t="str" cm="1">
        <f t="array" ref="BI25">IF(INDEX('Match Day Reports'!$C:$C,$AW25+4+COLUMNS($AX$20:BI25))="","","{""name"":"""&amp;INDEX('Match Day Reports'!$C:$C,$AW25+4+COLUMNS($AX$20:BI25))&amp;""",""status"":"""&amp;INDEX('Match Day Reports'!$D:$D,$AW25+4+COLUMNS($AX$20:BI25))&amp;""",""pos"":"""&amp;INDEX('Match Day Reports'!$E:$E,$AW25+4+COLUMNS($AX$20:BI25))&amp;""",""pos2"":"""&amp;INDEX('Match Day Reports'!$F:$F,$AW25+4+COLUMNS($AX$20:BI25))&amp;""",""goals"":"&amp;N(INDEX('Match Day Reports'!$G:$G,$AW25+4+COLUMNS($AX$20:BI25)))&amp;",""assists"":"&amp;N(INDEX('Match Day Reports'!$H:$H,$AW25+4+COLUMNS($AX$20:BI25)))&amp;",""rating"":"&amp;N(INDEX('Match Day Reports'!$I:$I,$AW25+4+COLUMNS($AX$20:BI25)))&amp;"}")</f>
        <v/>
      </c>
      <c r="BJ25" t="str" cm="1">
        <f t="array" ref="BJ25">IF(INDEX('Match Day Reports'!$C:$C,$AW25+4+COLUMNS($AX$20:BJ25))="","","{""name"":"""&amp;INDEX('Match Day Reports'!$C:$C,$AW25+4+COLUMNS($AX$20:BJ25))&amp;""",""status"":"""&amp;INDEX('Match Day Reports'!$D:$D,$AW25+4+COLUMNS($AX$20:BJ25))&amp;""",""pos"":"""&amp;INDEX('Match Day Reports'!$E:$E,$AW25+4+COLUMNS($AX$20:BJ25))&amp;""",""pos2"":"""&amp;INDEX('Match Day Reports'!$F:$F,$AW25+4+COLUMNS($AX$20:BJ25))&amp;""",""goals"":"&amp;N(INDEX('Match Day Reports'!$G:$G,$AW25+4+COLUMNS($AX$20:BJ25)))&amp;",""assists"":"&amp;N(INDEX('Match Day Reports'!$H:$H,$AW25+4+COLUMNS($AX$20:BJ25)))&amp;",""rating"":"&amp;N(INDEX('Match Day Reports'!$I:$I,$AW25+4+COLUMNS($AX$20:BJ25)))&amp;"}")</f>
        <v/>
      </c>
      <c r="BK25" t="str" cm="1">
        <f t="array" ref="BK25">IF(INDEX('Match Day Reports'!$C:$C,$AW25+4+COLUMNS($AX$20:BK25))="","","{""name"":"""&amp;INDEX('Match Day Reports'!$C:$C,$AW25+4+COLUMNS($AX$20:BK25))&amp;""",""status"":"""&amp;INDEX('Match Day Reports'!$D:$D,$AW25+4+COLUMNS($AX$20:BK25))&amp;""",""pos"":"""&amp;INDEX('Match Day Reports'!$E:$E,$AW25+4+COLUMNS($AX$20:BK25))&amp;""",""pos2"":"""&amp;INDEX('Match Day Reports'!$F:$F,$AW25+4+COLUMNS($AX$20:BK25))&amp;""",""goals"":"&amp;N(INDEX('Match Day Reports'!$G:$G,$AW25+4+COLUMNS($AX$20:BK25)))&amp;",""assists"":"&amp;N(INDEX('Match Day Reports'!$H:$H,$AW25+4+COLUMNS($AX$20:BK25)))&amp;",""rating"":"&amp;N(INDEX('Match Day Reports'!$I:$I,$AW25+4+COLUMNS($AX$20:BK25)))&amp;"}")</f>
        <v/>
      </c>
      <c r="BL25" t="str" cm="1">
        <f t="array" ref="BL25">IF(INDEX('Match Day Reports'!$C:$C,$AW25+4+COLUMNS($AX$20:BL25))="","","{""name"":"""&amp;INDEX('Match Day Reports'!$C:$C,$AW25+4+COLUMNS($AX$20:BL25))&amp;""",""status"":"""&amp;INDEX('Match Day Reports'!$D:$D,$AW25+4+COLUMNS($AX$20:BL25))&amp;""",""pos"":"""&amp;INDEX('Match Day Reports'!$E:$E,$AW25+4+COLUMNS($AX$20:BL25))&amp;""",""pos2"":"""&amp;INDEX('Match Day Reports'!$F:$F,$AW25+4+COLUMNS($AX$20:BL25))&amp;""",""goals"":"&amp;N(INDEX('Match Day Reports'!$G:$G,$AW25+4+COLUMNS($AX$20:BL25)))&amp;",""assists"":"&amp;N(INDEX('Match Day Reports'!$H:$H,$AW25+4+COLUMNS($AX$20:BL25)))&amp;",""rating"":"&amp;N(INDEX('Match Day Reports'!$I:$I,$AW25+4+COLUMNS($AX$20:BL25)))&amp;"}")</f>
        <v/>
      </c>
      <c r="BM25" t="str" cm="1">
        <f t="array" ref="BM25">IF(INDEX('Match Day Reports'!$C:$C,$AW25+4+COLUMNS($AX$20:BM25))="","","{""name"":"""&amp;INDEX('Match Day Reports'!$C:$C,$AW25+4+COLUMNS($AX$20:BM25))&amp;""",""status"":"""&amp;INDEX('Match Day Reports'!$D:$D,$AW25+4+COLUMNS($AX$20:BM25))&amp;""",""pos"":"""&amp;INDEX('Match Day Reports'!$E:$E,$AW25+4+COLUMNS($AX$20:BM25))&amp;""",""pos2"":"""&amp;INDEX('Match Day Reports'!$F:$F,$AW25+4+COLUMNS($AX$20:BM25))&amp;""",""goals"":"&amp;N(INDEX('Match Day Reports'!$G:$G,$AW25+4+COLUMNS($AX$20:BM25)))&amp;",""assists"":"&amp;N(INDEX('Match Day Reports'!$H:$H,$AW25+4+COLUMNS($AX$20:BM25)))&amp;",""rating"":"&amp;N(INDEX('Match Day Reports'!$I:$I,$AW25+4+COLUMNS($AX$20:BM25)))&amp;"}")</f>
        <v/>
      </c>
      <c r="BN25" t="str" cm="1">
        <f t="array" ref="BN25">IF(INDEX('Match Day Reports'!$C:$C,$AW25+4+COLUMNS($AX$20:BN25))="","","{""name"":"""&amp;INDEX('Match Day Reports'!$C:$C,$AW25+4+COLUMNS($AX$20:BN25))&amp;""",""status"":"""&amp;INDEX('Match Day Reports'!$D:$D,$AW25+4+COLUMNS($AX$20:BN25))&amp;""",""pos"":"""&amp;INDEX('Match Day Reports'!$E:$E,$AW25+4+COLUMNS($AX$20:BN25))&amp;""",""pos2"":"""&amp;INDEX('Match Day Reports'!$F:$F,$AW25+4+COLUMNS($AX$20:BN25))&amp;""",""goals"":"&amp;N(INDEX('Match Day Reports'!$G:$G,$AW25+4+COLUMNS($AX$20:BN25)))&amp;",""assists"":"&amp;N(INDEX('Match Day Reports'!$H:$H,$AW25+4+COLUMNS($AX$20:BN25)))&amp;",""rating"":"&amp;N(INDEX('Match Day Reports'!$I:$I,$AW25+4+COLUMNS($AX$20:BN25)))&amp;"}")</f>
        <v/>
      </c>
      <c r="BO25" t="str" cm="1">
        <f t="array" ref="BO25">IF(INDEX('Match Day Reports'!$C:$C,$AW25+4+COLUMNS($AX$20:BO25))="","","{""name"":"""&amp;INDEX('Match Day Reports'!$C:$C,$AW25+4+COLUMNS($AX$20:BO25))&amp;""",""status"":"""&amp;INDEX('Match Day Reports'!$D:$D,$AW25+4+COLUMNS($AX$20:BO25))&amp;""",""pos"":"""&amp;INDEX('Match Day Reports'!$E:$E,$AW25+4+COLUMNS($AX$20:BO25))&amp;""",""pos2"":"""&amp;INDEX('Match Day Reports'!$F:$F,$AW25+4+COLUMNS($AX$20:BO25))&amp;""",""goals"":"&amp;N(INDEX('Match Day Reports'!$G:$G,$AW25+4+COLUMNS($AX$20:BO25)))&amp;",""assists"":"&amp;N(INDEX('Match Day Reports'!$H:$H,$AW25+4+COLUMNS($AX$20:BO25)))&amp;",""rating"":"&amp;N(INDEX('Match Day Reports'!$I:$I,$AW25+4+COLUMNS($AX$20:BO25)))&amp;"}")</f>
        <v/>
      </c>
      <c r="BQ25" t="str">
        <f>IF('Team Selection'!$F151="","","{""slot"":"&amp;'Team Selection'!$B151&amp;",""position"":"""&amp;'Team Selection'!$C151&amp;""",""player"":"""&amp;'Team Selection'!$F151&amp;""",""fitScore"":"&amp;ROUND(N('Team Selection'!$G151),2)&amp;",""seasonScore"":"&amp;ROUND(N('Team Selection'!$H151),4)&amp;",""overallGrade"":"&amp;ROUND(N('Team Selection'!$I151),2)&amp;"}")</f>
        <v>{"slot":6,"position":"LWB","player":"Hannah Fleming","fitScore":13.13,"seasonScore":0.7667,"overallGrade":12.22}</v>
      </c>
      <c r="BS25" t="str">
        <f>IF('Team Selection'!$F165="","","{""slot"":"&amp;'Team Selection'!$B165&amp;",""position"":"""&amp;'Team Selection'!$C165&amp;""",""player"":"""&amp;'Team Selection'!$F165&amp;""",""fitScore"":"&amp;ROUND(N('Team Selection'!$G165),2)&amp;",""seasonScore"":"&amp;ROUND(N('Team Selection'!$H165),4)&amp;",""overallGrade"":"&amp;ROUND(N('Team Selection'!$I165),2)&amp;"}")</f>
        <v>{"slot":6,"position":"DM","player":"Tara Brannigan","fitScore":13.53,"seasonScore":0.7667,"overallGrade":11.73}</v>
      </c>
      <c r="BU25" t="str">
        <f>IF('Team Selection'!$C179="","","{""player"":"""&amp;'Team Selection'!$C179&amp;""",""position"":"""&amp;'Team Selection'!$D179&amp;""",""overallGrade"":"&amp;ROUND(N('Team Selection'!$E179),2)&amp;",""seasonScore"":"&amp;ROUND(N('Team Selection'!$F179),4)&amp;",""status"":"""&amp;'Team Selection'!$G179&amp;"""}")</f>
        <v>{"player":"Roma Memon","position":"DM / CM","overallGrade":10.62,"seasonScore":0.6278,"status":"Available"}</v>
      </c>
      <c r="BW25" t="str">
        <f>IF('Team Selection'!$C202="","","{""player"":"""&amp;'Team Selection'!$C202&amp;""",""position"":"""&amp;'Team Selection'!$D202&amp;""",""overallGrade"":"&amp;ROUND(N('Team Selection'!$E202),2)&amp;",""seasonScore"":"&amp;ROUND(N('Team Selection'!$F202),4)&amp;",""status"":"""&amp;'Team Selection'!$G202&amp;"""}")</f>
        <v>{"player":"Emma Dromgoole","position":"RW / ST","overallGrade":9.66,"seasonScore":0.7667,"status":"Unavailable — Injured - Knee injury  (back 28 Aug)"}</v>
      </c>
      <c r="BZ25" cm="1">
        <f t="array" ref="BZ25">IF(Attendance!$D10="","",SUMPRODUCT((Attendance!$E$4:$CN$4="Att")*(Attendance!$E10:$CN10&lt;&gt;"")))</f>
        <v>3</v>
      </c>
      <c r="CA25" cm="1">
        <f t="array" ref="CA25">IF(Attendance!$D10="","",SUMPRODUCT((Attendance!$CP$4:$FY$4="Att")*((Attendance!$CP10:$FY10&lt;&gt;"")+(Attendance!$CQ10:$FZ10&lt;&gt;"")+(Attendance!$CR10:$GA10&lt;&gt;"")+(Attendance!$CS10:$GB10&lt;&gt;"")&gt;0)))</f>
        <v>1</v>
      </c>
    </row>
    <row r="26" spans="1:79" x14ac:dyDescent="0.45">
      <c r="A26" s="318" t="str">
        <f>Workings!$S7</f>
        <v>Not Ready</v>
      </c>
      <c r="B26" s="319">
        <f>Workings!$V7</f>
        <v>0</v>
      </c>
      <c r="C26" s="138" t="str">
        <f t="shared" ref="C26:C30" si="2">IF($F26="","",IFERROR(VALUE(MID($B$22,$F26,FIND("}",$B$22,$F26)-$F26)),"?"))</f>
        <v/>
      </c>
      <c r="D26" s="138" t="str">
        <f t="shared" ref="D26:D30" si="3">IF($B$22="","-",IF($C26="","BAND NOT FOUND",IF($C26=$B26,"OK","MISMATCH")))</f>
        <v>-</v>
      </c>
      <c r="E26" s="315">
        <f t="shared" ref="E26:E30" si="4">IFERROR(FIND("""band"":"""&amp;$A26&amp;"""",$B$22),0)</f>
        <v>0</v>
      </c>
      <c r="F26" s="315" t="str">
        <f t="shared" ref="F26:F30" si="5">IF($E26=0,"",IFERROR(FIND("""players"":",$B$22,$E26)+10,""))</f>
        <v/>
      </c>
      <c r="J26" t="str">
        <f>IF(Attendance!$D11="","","{""number"":"&amp;Attendance!$C11&amp;",""name"":"""&amp;Attendance!$D11&amp;""",""position"":"""&amp;'Player Grading'!$D12&amp;""",""availability"":"""&amp;'Team Selection'!$E70&amp;""",""unavailableReason"":"""&amp;'Team Selection'!$F70&amp;""",""trainingAttendancePct"":"&amp;ROUND(N(Attendance!$GC11),4)&amp;",""avgWorkRate"":"&amp;ROUND(N(Attendance!$GD11),2)&amp;",""matchdayAttendancePct"":"&amp;ROUND(N(Attendance!$GH11),4)&amp;",""minutes"":"&amp;N(Attendance!$GI11)&amp;",""avgMinutes"":"&amp;ROUND(N(Attendance!$GJ11),1)&amp;",""avgRating"":"&amp;ROUND(N(Attendance!$GK11),2)&amp;",""motm"":"&amp;N(Attendance!$GM11)&amp;",""seasonScore"":"&amp;ROUND(N(Attendance!$GN11),4)&amp;",""comment"":"""&amp;Attendance!$GR11&amp;""",""toWorkOn"":"""&amp;Attendance!$GS11&amp;""",""sessions"":["&amp;$X26&amp;"],""matches"":["&amp;$Z26&amp;"]}")</f>
        <v>{"number":7,"name":"Amber Kilalee","position":"LW / ST","availability":"Yes","unavailableReason":"","trainingAttendancePct":1,"avgWorkRate":3,"matchdayAttendancePct":0,"minutes":0,"avgMinutes":0,"avgRating":7.5,"motm":0,"seasonScore":0.7667,"comment":"","toWorkOn":"","sessions":[[1,3],[1,3],[1,3]],"matches":[[-1,0,7.5,0]]}</v>
      </c>
      <c r="L26" t="str">
        <f>IF(Workings!$AE12="","","{""gw"":"&amp;Workings!$AD12&amp;",""date"":"""&amp;TEXT(Workings!$AE12,"yyyy-mm-dd")&amp;""",""opponent"":"""&amp;Workings!$AF12&amp;""",""venue"":"""&amp;Workings!$AG12&amp;""",""gf"":"&amp;N(Workings!$AH12)&amp;",""ga"":"&amp;N(Workings!$AI12)&amp;",""result"":"""&amp;Workings!$AJ12&amp;"""}")</f>
        <v/>
      </c>
      <c r="N26" t="str">
        <f t="array" ref="N26">IF(LEN(INDEX(Attendance!$E$3:$CN$3,1,(7-1)*2+1))=0,"","{""index"":7,""gw"":4,""date"":"""&amp;TEXT(INDEX(Attendance!$E$3:$CN$3,1,(7-1)*2+1),"yyyy-mm-dd")&amp;"""}")</f>
        <v/>
      </c>
      <c r="R26" t="str">
        <f>IF('Team Selection'!$D31="","","{""slot"":"&amp;'Team Selection'!$B31&amp;",""position"":"""&amp;'Team Selection'!$C31&amp;""",""player"":"""&amp;'Team Selection'!$D31&amp;""",""fitScore"":"&amp;ROUND(N('Team Selection'!$E31),2)&amp;",""seasonScore"":"&amp;ROUND(N('Team Selection'!$F31),4)&amp;",""overallGrade"":"&amp;ROUND(N('Team Selection'!$G31),2)&amp;"}")</f>
        <v>{"slot":7,"position":"CM","player":"Roisin Offenhausen","fitScore":12.93,"seasonScore":0.8444,"overallGrade":11.97}</v>
      </c>
      <c r="T26" t="str">
        <f>IF('Team Selection'!$C46="","","{""player"":"""&amp;'Team Selection'!$C46&amp;""",""position"":"""&amp;'Team Selection'!$D46&amp;""",""overallGrade"":"&amp;ROUND(N('Team Selection'!$E46),2)&amp;",""seasonScore"":"&amp;ROUND(N('Team Selection'!$F46),4)&amp;",""status"":"""&amp;'Team Selection'!$G46&amp;"""}")</f>
        <v>{"player":"Emma Dromgoole","position":"RW / ST","overallGrade":9.66,"seasonScore":0.7667,"status":"Unavailable — Injured - Knee injury  (back 28 Aug)"}</v>
      </c>
      <c r="V26" t="str">
        <f>IF(OR('Team Selection'!$C70="",'Team Selection'!$E70="Yes"),"","{""player"":"""&amp;'Team Selection'!$C70&amp;""",""reason"":"""&amp;'Team Selection'!$F70&amp;"""}")</f>
        <v/>
      </c>
      <c r="X26" t="str" cm="1">
        <f t="array" ref="X26">IF(Attendance!$D11="","",_xlfn.TEXTJOIN(",",TRUE(),IF((Attendance!$E$4:$CN$4="Att")*((COLUMN(Attendance!$E$4:$CN$4)-COLUMN(Attendance!$E$4))/2+1&lt;=$BZ$41),"["&amp;IF(Attendance!$E11:$CN11="Yes",1,0)&amp;","&amp;IF(Attendance!$F11:$CO11="",0,Attendance!$F11:$CO11)&amp;"]","")))</f>
        <v>[1,3],[1,3],[1,3]</v>
      </c>
      <c r="Z26" t="str" cm="1">
        <f t="array" ref="Z26">IF(Attendance!$D11="","",_xlfn.TEXTJOIN(",",TRUE(),IF((Attendance!$CP$4:$FY$4="Att")*((COLUMN(Attendance!$CP$4:$FY$4)-COLUMN(Attendance!$CP$4))/4+1&lt;=$BZ$42),"["&amp;IF(Attendance!$CP11:$FY11="Yes",1,IF(Attendance!$CP11:$FY11="No",0,-1))&amp;","&amp;IF(Attendance!$CQ11:$FZ11="",0,Attendance!$CQ11:$FZ11)&amp;","&amp;IF(Attendance!$CR11:$GA11="",0,Attendance!$CR11:$GA11)&amp;","&amp;IF(Attendance!$CS11:$GB11="Yes",1,0)&amp;"]","")))</f>
        <v>[-1,0,7.5,0]</v>
      </c>
      <c r="AB26" t="str" cm="1">
        <f t="array" ref="AB26">IF(AND(INDEX('Match Day Reports'!$C:$C,$AW26+2)="",COUNTIF($AX26:$BO26,"?*")=0),"","{""gw"":"&amp;ROWS($AB$20:AB26)&amp;",""date"":"""&amp;IF(INDEX('Match Day Reports'!$B:$B,$AW26+2)="","",TEXT(INDEX('Match Day Reports'!$B:$B,$AW26+2),"yyyy-mm-dd"))&amp;""""&amp;",""opponent"":"""&amp;INDEX('Match Day Reports'!$C:$C,$AW26+2)&amp;""""&amp;",""venue"":"""&amp;INDEX('Match Day Reports'!$D:$D,$AW26+2)&amp;""""&amp;",""gf"":"&amp;N(INDEX('Match Day Reports'!$E:$E,$AW26+2))&amp;",""ga"":"&amp;N(INDEX('Match Day Reports'!$F:$F,$AW26+2))&amp;",""result"":"""&amp;INDEX('Match Day Reports'!$G:$G,$AW26+2)&amp;""""&amp;",""motm"":"""&amp;INDEX('Match Day Reports'!$H:$H,$AW26+2)&amp;""""&amp;",""xi"":["&amp;_xlfn.TEXTJOIN(",",TRUE(),$AX26:$BH26)&amp;"]"&amp;",""subs"":["&amp;_xlfn.TEXTJOIN(",",TRUE(),$BI26:$BO26)&amp;"]"&amp;",""matchNotes"":"""&amp;SUBSTITUTE(SUBSTITUTE(INDEX('Match Day Reports'!$C:$C,$AW26+24),"""","'"),CHAR(10)," ")&amp;""""&amp;",""keyNotes"":"""&amp;SUBSTITUTE(SUBSTITUTE(INDEX('Match Day Reports'!$C:$C,$AW26+25),"""","'"),CHAR(10)," ")&amp;""""&amp;"}")</f>
        <v/>
      </c>
      <c r="AD26" t="str">
        <f>IF(Workings!$AO12="","","{""name"":"""&amp;Workings!$AO12&amp;""",""rank"":"&amp;N(Workings!$AX12)&amp;",""sessionsAttended"":"&amp;N(Workings!$AP12)&amp;",""sessionsHeld"":"&amp;N(Workings!$AQ12)&amp;",""attendancePct"":"&amp;ROUND(N(Workings!$AR12),4)&amp;",""avgWorkRate"":"&amp;ROUND(N(Workings!$AS12),2)&amp;",""gradePct"":"&amp;ROUND(N(Workings!$AT12),4)&amp;",""readinessBand"":"""&amp;Workings!$AU12&amp;"""}")</f>
        <v>{"name":"Amber Kilalee","rank":11,"sessionsAttended":7,"sessionsHeld":11,"attendancePct":0.6364,"avgWorkRate":3,"gradePct":0.56,"readinessBand":"Nearly Ready"}</v>
      </c>
      <c r="AJ26" t="str">
        <f>IF(Workings!$BO12="","","{""band"":"""&amp;Workings!$BO12&amp;""",""count"":"&amp;N(Workings!$BP12)&amp;",""players"":["&amp;IF(Workings!$BQ12="","",""""&amp;SUBSTITUTE(Workings!$BQ12,", ",""",""")&amp;"""")&amp;"]}")</f>
        <v>{"band":"Insufficient data","count":2,"players":["Zara Power","Heidi Cerubini Dunne"]}</v>
      </c>
      <c r="AL26" t="str" cm="1">
        <f t="array" ref="AL26">IF($AT26="","","{""rank"":7,""name"":"""&amp;INDEX(Dashboard!$C$93:$C$112,$AT26)&amp;""",""goals"":"&amp;N(INDEX(Dashboard!$G$93:$G$112,$AT26))&amp;",""assists"":"&amp;N(INDEX(Dashboard!$H$93:$H$112,$AT26))&amp;",""apps"":"&amp;N(INDEX(Dashboard!$F$93:$F$112,$AT26))&amp;"}")</f>
        <v>{"rank":7,"name":"Zara Freeman","goals":1,"assists":0,"apps":1}</v>
      </c>
      <c r="AN26" t="str" cm="1">
        <f t="array" ref="AN26">IF($AV26="","","{""rank"":7,""name"":"""&amp;INDEX(Dashboard!$C$93:$C$112,$AV26)&amp;""",""assists"":"&amp;N(INDEX(Dashboard!$H$93:$H$112,$AV26))&amp;",""goals"":"&amp;N(INDEX(Dashboard!$G$93:$G$112,$AV26))&amp;",""apps"":"&amp;N(INDEX(Dashboard!$F$93:$F$112,$AV26))&amp;"}")</f>
        <v/>
      </c>
      <c r="AP26">
        <f>IF(Dashboard!$C99="","",N(Dashboard!$G99)*1000-ROW())</f>
        <v>-26</v>
      </c>
      <c r="AR26">
        <f>IF(Dashboard!$C99="","",N(Dashboard!$H99)*1000-ROW())</f>
        <v>1974</v>
      </c>
      <c r="AT26">
        <f>IFERROR(IF(LARGE($AP$20:$AP$39,7)&lt;=0,"",MATCH(LARGE($AP$20:$AP$39,7),$AP$20:$AP$39,0)),"")</f>
        <v>16</v>
      </c>
      <c r="AV26" t="str">
        <f>IFERROR(IF(LARGE($AR$20:$AR$39,7)&lt;=0,"",MATCH(LARGE($AR$20:$AR$39,7),$AR$20:$AR$39,0)),"")</f>
        <v/>
      </c>
      <c r="AW26">
        <f>80+(ROWS($AW$20:AW26)-1)*27</f>
        <v>242</v>
      </c>
      <c r="AX26" t="str" cm="1">
        <f t="array" ref="AX26">IF(INDEX('Match Day Reports'!$C:$C,$AW26+4+COLUMNS($AX$20:AX26))="","","{""name"":"""&amp;INDEX('Match Day Reports'!$C:$C,$AW26+4+COLUMNS($AX$20:AX26))&amp;""",""status"":"""&amp;INDEX('Match Day Reports'!$D:$D,$AW26+4+COLUMNS($AX$20:AX26))&amp;""",""pos"":"""&amp;INDEX('Match Day Reports'!$E:$E,$AW26+4+COLUMNS($AX$20:AX26))&amp;""",""pos2"":"""&amp;INDEX('Match Day Reports'!$F:$F,$AW26+4+COLUMNS($AX$20:AX26))&amp;""",""goals"":"&amp;N(INDEX('Match Day Reports'!$G:$G,$AW26+4+COLUMNS($AX$20:AX26)))&amp;",""assists"":"&amp;N(INDEX('Match Day Reports'!$H:$H,$AW26+4+COLUMNS($AX$20:AX26)))&amp;",""rating"":"&amp;N(INDEX('Match Day Reports'!$I:$I,$AW26+4+COLUMNS($AX$20:AX26)))&amp;"}")</f>
        <v/>
      </c>
      <c r="AY26" t="str" cm="1">
        <f t="array" ref="AY26">IF(INDEX('Match Day Reports'!$C:$C,$AW26+4+COLUMNS($AX$20:AY26))="","","{""name"":"""&amp;INDEX('Match Day Reports'!$C:$C,$AW26+4+COLUMNS($AX$20:AY26))&amp;""",""status"":"""&amp;INDEX('Match Day Reports'!$D:$D,$AW26+4+COLUMNS($AX$20:AY26))&amp;""",""pos"":"""&amp;INDEX('Match Day Reports'!$E:$E,$AW26+4+COLUMNS($AX$20:AY26))&amp;""",""pos2"":"""&amp;INDEX('Match Day Reports'!$F:$F,$AW26+4+COLUMNS($AX$20:AY26))&amp;""",""goals"":"&amp;N(INDEX('Match Day Reports'!$G:$G,$AW26+4+COLUMNS($AX$20:AY26)))&amp;",""assists"":"&amp;N(INDEX('Match Day Reports'!$H:$H,$AW26+4+COLUMNS($AX$20:AY26)))&amp;",""rating"":"&amp;N(INDEX('Match Day Reports'!$I:$I,$AW26+4+COLUMNS($AX$20:AY26)))&amp;"}")</f>
        <v/>
      </c>
      <c r="AZ26" t="str" cm="1">
        <f t="array" ref="AZ26">IF(INDEX('Match Day Reports'!$C:$C,$AW26+4+COLUMNS($AX$20:AZ26))="","","{""name"":"""&amp;INDEX('Match Day Reports'!$C:$C,$AW26+4+COLUMNS($AX$20:AZ26))&amp;""",""status"":"""&amp;INDEX('Match Day Reports'!$D:$D,$AW26+4+COLUMNS($AX$20:AZ26))&amp;""",""pos"":"""&amp;INDEX('Match Day Reports'!$E:$E,$AW26+4+COLUMNS($AX$20:AZ26))&amp;""",""pos2"":"""&amp;INDEX('Match Day Reports'!$F:$F,$AW26+4+COLUMNS($AX$20:AZ26))&amp;""",""goals"":"&amp;N(INDEX('Match Day Reports'!$G:$G,$AW26+4+COLUMNS($AX$20:AZ26)))&amp;",""assists"":"&amp;N(INDEX('Match Day Reports'!$H:$H,$AW26+4+COLUMNS($AX$20:AZ26)))&amp;",""rating"":"&amp;N(INDEX('Match Day Reports'!$I:$I,$AW26+4+COLUMNS($AX$20:AZ26)))&amp;"}")</f>
        <v/>
      </c>
      <c r="BA26" t="str" cm="1">
        <f t="array" ref="BA26">IF(INDEX('Match Day Reports'!$C:$C,$AW26+4+COLUMNS($AX$20:BA26))="","","{""name"":"""&amp;INDEX('Match Day Reports'!$C:$C,$AW26+4+COLUMNS($AX$20:BA26))&amp;""",""status"":"""&amp;INDEX('Match Day Reports'!$D:$D,$AW26+4+COLUMNS($AX$20:BA26))&amp;""",""pos"":"""&amp;INDEX('Match Day Reports'!$E:$E,$AW26+4+COLUMNS($AX$20:BA26))&amp;""",""pos2"":"""&amp;INDEX('Match Day Reports'!$F:$F,$AW26+4+COLUMNS($AX$20:BA26))&amp;""",""goals"":"&amp;N(INDEX('Match Day Reports'!$G:$G,$AW26+4+COLUMNS($AX$20:BA26)))&amp;",""assists"":"&amp;N(INDEX('Match Day Reports'!$H:$H,$AW26+4+COLUMNS($AX$20:BA26)))&amp;",""rating"":"&amp;N(INDEX('Match Day Reports'!$I:$I,$AW26+4+COLUMNS($AX$20:BA26)))&amp;"}")</f>
        <v/>
      </c>
      <c r="BB26" t="str" cm="1">
        <f t="array" ref="BB26">IF(INDEX('Match Day Reports'!$C:$C,$AW26+4+COLUMNS($AX$20:BB26))="","","{""name"":"""&amp;INDEX('Match Day Reports'!$C:$C,$AW26+4+COLUMNS($AX$20:BB26))&amp;""",""status"":"""&amp;INDEX('Match Day Reports'!$D:$D,$AW26+4+COLUMNS($AX$20:BB26))&amp;""",""pos"":"""&amp;INDEX('Match Day Reports'!$E:$E,$AW26+4+COLUMNS($AX$20:BB26))&amp;""",""pos2"":"""&amp;INDEX('Match Day Reports'!$F:$F,$AW26+4+COLUMNS($AX$20:BB26))&amp;""",""goals"":"&amp;N(INDEX('Match Day Reports'!$G:$G,$AW26+4+COLUMNS($AX$20:BB26)))&amp;",""assists"":"&amp;N(INDEX('Match Day Reports'!$H:$H,$AW26+4+COLUMNS($AX$20:BB26)))&amp;",""rating"":"&amp;N(INDEX('Match Day Reports'!$I:$I,$AW26+4+COLUMNS($AX$20:BB26)))&amp;"}")</f>
        <v/>
      </c>
      <c r="BC26" t="str" cm="1">
        <f t="array" ref="BC26">IF(INDEX('Match Day Reports'!$C:$C,$AW26+4+COLUMNS($AX$20:BC26))="","","{""name"":"""&amp;INDEX('Match Day Reports'!$C:$C,$AW26+4+COLUMNS($AX$20:BC26))&amp;""",""status"":"""&amp;INDEX('Match Day Reports'!$D:$D,$AW26+4+COLUMNS($AX$20:BC26))&amp;""",""pos"":"""&amp;INDEX('Match Day Reports'!$E:$E,$AW26+4+COLUMNS($AX$20:BC26))&amp;""",""pos2"":"""&amp;INDEX('Match Day Reports'!$F:$F,$AW26+4+COLUMNS($AX$20:BC26))&amp;""",""goals"":"&amp;N(INDEX('Match Day Reports'!$G:$G,$AW26+4+COLUMNS($AX$20:BC26)))&amp;",""assists"":"&amp;N(INDEX('Match Day Reports'!$H:$H,$AW26+4+COLUMNS($AX$20:BC26)))&amp;",""rating"":"&amp;N(INDEX('Match Day Reports'!$I:$I,$AW26+4+COLUMNS($AX$20:BC26)))&amp;"}")</f>
        <v/>
      </c>
      <c r="BD26" t="str" cm="1">
        <f t="array" ref="BD26">IF(INDEX('Match Day Reports'!$C:$C,$AW26+4+COLUMNS($AX$20:BD26))="","","{""name"":"""&amp;INDEX('Match Day Reports'!$C:$C,$AW26+4+COLUMNS($AX$20:BD26))&amp;""",""status"":"""&amp;INDEX('Match Day Reports'!$D:$D,$AW26+4+COLUMNS($AX$20:BD26))&amp;""",""pos"":"""&amp;INDEX('Match Day Reports'!$E:$E,$AW26+4+COLUMNS($AX$20:BD26))&amp;""",""pos2"":"""&amp;INDEX('Match Day Reports'!$F:$F,$AW26+4+COLUMNS($AX$20:BD26))&amp;""",""goals"":"&amp;N(INDEX('Match Day Reports'!$G:$G,$AW26+4+COLUMNS($AX$20:BD26)))&amp;",""assists"":"&amp;N(INDEX('Match Day Reports'!$H:$H,$AW26+4+COLUMNS($AX$20:BD26)))&amp;",""rating"":"&amp;N(INDEX('Match Day Reports'!$I:$I,$AW26+4+COLUMNS($AX$20:BD26)))&amp;"}")</f>
        <v/>
      </c>
      <c r="BE26" t="str" cm="1">
        <f t="array" ref="BE26">IF(INDEX('Match Day Reports'!$C:$C,$AW26+4+COLUMNS($AX$20:BE26))="","","{""name"":"""&amp;INDEX('Match Day Reports'!$C:$C,$AW26+4+COLUMNS($AX$20:BE26))&amp;""",""status"":"""&amp;INDEX('Match Day Reports'!$D:$D,$AW26+4+COLUMNS($AX$20:BE26))&amp;""",""pos"":"""&amp;INDEX('Match Day Reports'!$E:$E,$AW26+4+COLUMNS($AX$20:BE26))&amp;""",""pos2"":"""&amp;INDEX('Match Day Reports'!$F:$F,$AW26+4+COLUMNS($AX$20:BE26))&amp;""",""goals"":"&amp;N(INDEX('Match Day Reports'!$G:$G,$AW26+4+COLUMNS($AX$20:BE26)))&amp;",""assists"":"&amp;N(INDEX('Match Day Reports'!$H:$H,$AW26+4+COLUMNS($AX$20:BE26)))&amp;",""rating"":"&amp;N(INDEX('Match Day Reports'!$I:$I,$AW26+4+COLUMNS($AX$20:BE26)))&amp;"}")</f>
        <v/>
      </c>
      <c r="BF26" t="str" cm="1">
        <f t="array" ref="BF26">IF(INDEX('Match Day Reports'!$C:$C,$AW26+4+COLUMNS($AX$20:BF26))="","","{""name"":"""&amp;INDEX('Match Day Reports'!$C:$C,$AW26+4+COLUMNS($AX$20:BF26))&amp;""",""status"":"""&amp;INDEX('Match Day Reports'!$D:$D,$AW26+4+COLUMNS($AX$20:BF26))&amp;""",""pos"":"""&amp;INDEX('Match Day Reports'!$E:$E,$AW26+4+COLUMNS($AX$20:BF26))&amp;""",""pos2"":"""&amp;INDEX('Match Day Reports'!$F:$F,$AW26+4+COLUMNS($AX$20:BF26))&amp;""",""goals"":"&amp;N(INDEX('Match Day Reports'!$G:$G,$AW26+4+COLUMNS($AX$20:BF26)))&amp;",""assists"":"&amp;N(INDEX('Match Day Reports'!$H:$H,$AW26+4+COLUMNS($AX$20:BF26)))&amp;",""rating"":"&amp;N(INDEX('Match Day Reports'!$I:$I,$AW26+4+COLUMNS($AX$20:BF26)))&amp;"}")</f>
        <v/>
      </c>
      <c r="BG26" t="str" cm="1">
        <f t="array" ref="BG26">IF(INDEX('Match Day Reports'!$C:$C,$AW26+4+COLUMNS($AX$20:BG26))="","","{""name"":"""&amp;INDEX('Match Day Reports'!$C:$C,$AW26+4+COLUMNS($AX$20:BG26))&amp;""",""status"":"""&amp;INDEX('Match Day Reports'!$D:$D,$AW26+4+COLUMNS($AX$20:BG26))&amp;""",""pos"":"""&amp;INDEX('Match Day Reports'!$E:$E,$AW26+4+COLUMNS($AX$20:BG26))&amp;""",""pos2"":"""&amp;INDEX('Match Day Reports'!$F:$F,$AW26+4+COLUMNS($AX$20:BG26))&amp;""",""goals"":"&amp;N(INDEX('Match Day Reports'!$G:$G,$AW26+4+COLUMNS($AX$20:BG26)))&amp;",""assists"":"&amp;N(INDEX('Match Day Reports'!$H:$H,$AW26+4+COLUMNS($AX$20:BG26)))&amp;",""rating"":"&amp;N(INDEX('Match Day Reports'!$I:$I,$AW26+4+COLUMNS($AX$20:BG26)))&amp;"}")</f>
        <v/>
      </c>
      <c r="BH26" t="str" cm="1">
        <f t="array" ref="BH26">IF(INDEX('Match Day Reports'!$C:$C,$AW26+4+COLUMNS($AX$20:BH26))="","","{""name"":"""&amp;INDEX('Match Day Reports'!$C:$C,$AW26+4+COLUMNS($AX$20:BH26))&amp;""",""status"":"""&amp;INDEX('Match Day Reports'!$D:$D,$AW26+4+COLUMNS($AX$20:BH26))&amp;""",""pos"":"""&amp;INDEX('Match Day Reports'!$E:$E,$AW26+4+COLUMNS($AX$20:BH26))&amp;""",""pos2"":"""&amp;INDEX('Match Day Reports'!$F:$F,$AW26+4+COLUMNS($AX$20:BH26))&amp;""",""goals"":"&amp;N(INDEX('Match Day Reports'!$G:$G,$AW26+4+COLUMNS($AX$20:BH26)))&amp;",""assists"":"&amp;N(INDEX('Match Day Reports'!$H:$H,$AW26+4+COLUMNS($AX$20:BH26)))&amp;",""rating"":"&amp;N(INDEX('Match Day Reports'!$I:$I,$AW26+4+COLUMNS($AX$20:BH26)))&amp;"}")</f>
        <v/>
      </c>
      <c r="BI26" t="str" cm="1">
        <f t="array" ref="BI26">IF(INDEX('Match Day Reports'!$C:$C,$AW26+4+COLUMNS($AX$20:BI26))="","","{""name"":"""&amp;INDEX('Match Day Reports'!$C:$C,$AW26+4+COLUMNS($AX$20:BI26))&amp;""",""status"":"""&amp;INDEX('Match Day Reports'!$D:$D,$AW26+4+COLUMNS($AX$20:BI26))&amp;""",""pos"":"""&amp;INDEX('Match Day Reports'!$E:$E,$AW26+4+COLUMNS($AX$20:BI26))&amp;""",""pos2"":"""&amp;INDEX('Match Day Reports'!$F:$F,$AW26+4+COLUMNS($AX$20:BI26))&amp;""",""goals"":"&amp;N(INDEX('Match Day Reports'!$G:$G,$AW26+4+COLUMNS($AX$20:BI26)))&amp;",""assists"":"&amp;N(INDEX('Match Day Reports'!$H:$H,$AW26+4+COLUMNS($AX$20:BI26)))&amp;",""rating"":"&amp;N(INDEX('Match Day Reports'!$I:$I,$AW26+4+COLUMNS($AX$20:BI26)))&amp;"}")</f>
        <v/>
      </c>
      <c r="BJ26" t="str" cm="1">
        <f t="array" ref="BJ26">IF(INDEX('Match Day Reports'!$C:$C,$AW26+4+COLUMNS($AX$20:BJ26))="","","{""name"":"""&amp;INDEX('Match Day Reports'!$C:$C,$AW26+4+COLUMNS($AX$20:BJ26))&amp;""",""status"":"""&amp;INDEX('Match Day Reports'!$D:$D,$AW26+4+COLUMNS($AX$20:BJ26))&amp;""",""pos"":"""&amp;INDEX('Match Day Reports'!$E:$E,$AW26+4+COLUMNS($AX$20:BJ26))&amp;""",""pos2"":"""&amp;INDEX('Match Day Reports'!$F:$F,$AW26+4+COLUMNS($AX$20:BJ26))&amp;""",""goals"":"&amp;N(INDEX('Match Day Reports'!$G:$G,$AW26+4+COLUMNS($AX$20:BJ26)))&amp;",""assists"":"&amp;N(INDEX('Match Day Reports'!$H:$H,$AW26+4+COLUMNS($AX$20:BJ26)))&amp;",""rating"":"&amp;N(INDEX('Match Day Reports'!$I:$I,$AW26+4+COLUMNS($AX$20:BJ26)))&amp;"}")</f>
        <v/>
      </c>
      <c r="BK26" t="str" cm="1">
        <f t="array" ref="BK26">IF(INDEX('Match Day Reports'!$C:$C,$AW26+4+COLUMNS($AX$20:BK26))="","","{""name"":"""&amp;INDEX('Match Day Reports'!$C:$C,$AW26+4+COLUMNS($AX$20:BK26))&amp;""",""status"":"""&amp;INDEX('Match Day Reports'!$D:$D,$AW26+4+COLUMNS($AX$20:BK26))&amp;""",""pos"":"""&amp;INDEX('Match Day Reports'!$E:$E,$AW26+4+COLUMNS($AX$20:BK26))&amp;""",""pos2"":"""&amp;INDEX('Match Day Reports'!$F:$F,$AW26+4+COLUMNS($AX$20:BK26))&amp;""",""goals"":"&amp;N(INDEX('Match Day Reports'!$G:$G,$AW26+4+COLUMNS($AX$20:BK26)))&amp;",""assists"":"&amp;N(INDEX('Match Day Reports'!$H:$H,$AW26+4+COLUMNS($AX$20:BK26)))&amp;",""rating"":"&amp;N(INDEX('Match Day Reports'!$I:$I,$AW26+4+COLUMNS($AX$20:BK26)))&amp;"}")</f>
        <v/>
      </c>
      <c r="BL26" t="str" cm="1">
        <f t="array" ref="BL26">IF(INDEX('Match Day Reports'!$C:$C,$AW26+4+COLUMNS($AX$20:BL26))="","","{""name"":"""&amp;INDEX('Match Day Reports'!$C:$C,$AW26+4+COLUMNS($AX$20:BL26))&amp;""",""status"":"""&amp;INDEX('Match Day Reports'!$D:$D,$AW26+4+COLUMNS($AX$20:BL26))&amp;""",""pos"":"""&amp;INDEX('Match Day Reports'!$E:$E,$AW26+4+COLUMNS($AX$20:BL26))&amp;""",""pos2"":"""&amp;INDEX('Match Day Reports'!$F:$F,$AW26+4+COLUMNS($AX$20:BL26))&amp;""",""goals"":"&amp;N(INDEX('Match Day Reports'!$G:$G,$AW26+4+COLUMNS($AX$20:BL26)))&amp;",""assists"":"&amp;N(INDEX('Match Day Reports'!$H:$H,$AW26+4+COLUMNS($AX$20:BL26)))&amp;",""rating"":"&amp;N(INDEX('Match Day Reports'!$I:$I,$AW26+4+COLUMNS($AX$20:BL26)))&amp;"}")</f>
        <v/>
      </c>
      <c r="BM26" t="str" cm="1">
        <f t="array" ref="BM26">IF(INDEX('Match Day Reports'!$C:$C,$AW26+4+COLUMNS($AX$20:BM26))="","","{""name"":"""&amp;INDEX('Match Day Reports'!$C:$C,$AW26+4+COLUMNS($AX$20:BM26))&amp;""",""status"":"""&amp;INDEX('Match Day Reports'!$D:$D,$AW26+4+COLUMNS($AX$20:BM26))&amp;""",""pos"":"""&amp;INDEX('Match Day Reports'!$E:$E,$AW26+4+COLUMNS($AX$20:BM26))&amp;""",""pos2"":"""&amp;INDEX('Match Day Reports'!$F:$F,$AW26+4+COLUMNS($AX$20:BM26))&amp;""",""goals"":"&amp;N(INDEX('Match Day Reports'!$G:$G,$AW26+4+COLUMNS($AX$20:BM26)))&amp;",""assists"":"&amp;N(INDEX('Match Day Reports'!$H:$H,$AW26+4+COLUMNS($AX$20:BM26)))&amp;",""rating"":"&amp;N(INDEX('Match Day Reports'!$I:$I,$AW26+4+COLUMNS($AX$20:BM26)))&amp;"}")</f>
        <v/>
      </c>
      <c r="BN26" t="str" cm="1">
        <f t="array" ref="BN26">IF(INDEX('Match Day Reports'!$C:$C,$AW26+4+COLUMNS($AX$20:BN26))="","","{""name"":"""&amp;INDEX('Match Day Reports'!$C:$C,$AW26+4+COLUMNS($AX$20:BN26))&amp;""",""status"":"""&amp;INDEX('Match Day Reports'!$D:$D,$AW26+4+COLUMNS($AX$20:BN26))&amp;""",""pos"":"""&amp;INDEX('Match Day Reports'!$E:$E,$AW26+4+COLUMNS($AX$20:BN26))&amp;""",""pos2"":"""&amp;INDEX('Match Day Reports'!$F:$F,$AW26+4+COLUMNS($AX$20:BN26))&amp;""",""goals"":"&amp;N(INDEX('Match Day Reports'!$G:$G,$AW26+4+COLUMNS($AX$20:BN26)))&amp;",""assists"":"&amp;N(INDEX('Match Day Reports'!$H:$H,$AW26+4+COLUMNS($AX$20:BN26)))&amp;",""rating"":"&amp;N(INDEX('Match Day Reports'!$I:$I,$AW26+4+COLUMNS($AX$20:BN26)))&amp;"}")</f>
        <v/>
      </c>
      <c r="BO26" t="str" cm="1">
        <f t="array" ref="BO26">IF(INDEX('Match Day Reports'!$C:$C,$AW26+4+COLUMNS($AX$20:BO26))="","","{""name"":"""&amp;INDEX('Match Day Reports'!$C:$C,$AW26+4+COLUMNS($AX$20:BO26))&amp;""",""status"":"""&amp;INDEX('Match Day Reports'!$D:$D,$AW26+4+COLUMNS($AX$20:BO26))&amp;""",""pos"":"""&amp;INDEX('Match Day Reports'!$E:$E,$AW26+4+COLUMNS($AX$20:BO26))&amp;""",""pos2"":"""&amp;INDEX('Match Day Reports'!$F:$F,$AW26+4+COLUMNS($AX$20:BO26))&amp;""",""goals"":"&amp;N(INDEX('Match Day Reports'!$G:$G,$AW26+4+COLUMNS($AX$20:BO26)))&amp;",""assists"":"&amp;N(INDEX('Match Day Reports'!$H:$H,$AW26+4+COLUMNS($AX$20:BO26)))&amp;",""rating"":"&amp;N(INDEX('Match Day Reports'!$I:$I,$AW26+4+COLUMNS($AX$20:BO26)))&amp;"}")</f>
        <v/>
      </c>
      <c r="BQ26" t="str">
        <f>IF('Team Selection'!$F152="","","{""slot"":"&amp;'Team Selection'!$B152&amp;",""position"":"""&amp;'Team Selection'!$C152&amp;""",""player"":"""&amp;'Team Selection'!$F152&amp;""",""fitScore"":"&amp;ROUND(N('Team Selection'!$G152),2)&amp;",""seasonScore"":"&amp;ROUND(N('Team Selection'!$H152),4)&amp;",""overallGrade"":"&amp;ROUND(N('Team Selection'!$I152),2)&amp;"}")</f>
        <v>{"slot":7,"position":"CM","player":"Roisin Offenhausen","fitScore":12.93,"seasonScore":0.8444,"overallGrade":11.97}</v>
      </c>
      <c r="BS26" t="str">
        <f>IF('Team Selection'!$F166="","","{""slot"":"&amp;'Team Selection'!$B166&amp;",""position"":"""&amp;'Team Selection'!$C166&amp;""",""player"":"""&amp;'Team Selection'!$F166&amp;""",""fitScore"":"&amp;ROUND(N('Team Selection'!$G166),2)&amp;",""seasonScore"":"&amp;ROUND(N('Team Selection'!$H166),4)&amp;",""overallGrade"":"&amp;ROUND(N('Team Selection'!$I166),2)&amp;"}")</f>
        <v>{"slot":7,"position":"CM","player":"Roisin Offenhausen","fitScore":12.93,"seasonScore":0.8444,"overallGrade":11.97}</v>
      </c>
      <c r="BU26" t="str">
        <f>IF('Team Selection'!$C180="","","{""player"":"""&amp;'Team Selection'!$C180&amp;""",""position"":"""&amp;'Team Selection'!$D180&amp;""",""overallGrade"":"&amp;ROUND(N('Team Selection'!$E180),2)&amp;",""seasonScore"":"&amp;ROUND(N('Team Selection'!$F180),4)&amp;",""status"":"""&amp;'Team Selection'!$G180&amp;"""}")</f>
        <v>{"player":"Emma Dromgoole","position":"RW / ST","overallGrade":9.66,"seasonScore":0.7667,"status":"Unavailable — Injured - Knee injury  (back 28 Aug)"}</v>
      </c>
      <c r="BW26" t="str">
        <f>IF('Team Selection'!$C203="","","{""player"":"""&amp;'Team Selection'!$C203&amp;""",""position"":"""&amp;'Team Selection'!$D203&amp;""",""overallGrade"":"&amp;ROUND(N('Team Selection'!$E203),2)&amp;",""seasonScore"":"&amp;ROUND(N('Team Selection'!$F203),4)&amp;",""status"":"""&amp;'Team Selection'!$G203&amp;"""}")</f>
        <v>{"player":"Mariana Soares","position":"RB / CB","overallGrade":10.49,"seasonScore":0.7667,"status":"Available"}</v>
      </c>
      <c r="BZ26" cm="1">
        <f t="array" ref="BZ26">IF(Attendance!$D11="","",SUMPRODUCT((Attendance!$E$4:$CN$4="Att")*(Attendance!$E11:$CN11&lt;&gt;"")))</f>
        <v>3</v>
      </c>
      <c r="CA26" cm="1">
        <f t="array" ref="CA26">IF(Attendance!$D11="","",SUMPRODUCT((Attendance!$CP$4:$FY$4="Att")*((Attendance!$CP11:$FY11&lt;&gt;"")+(Attendance!$CQ11:$FZ11&lt;&gt;"")+(Attendance!$CR11:$GA11&lt;&gt;"")+(Attendance!$CS11:$GB11&lt;&gt;"")&gt;0)))</f>
        <v>1</v>
      </c>
    </row>
    <row r="27" spans="1:79" x14ac:dyDescent="0.45">
      <c r="A27" s="318" t="str">
        <f>Workings!$S8</f>
        <v>Improving</v>
      </c>
      <c r="B27" s="319">
        <f>Workings!$V8</f>
        <v>0</v>
      </c>
      <c r="C27" s="138" t="str">
        <f t="shared" si="2"/>
        <v/>
      </c>
      <c r="D27" s="138" t="str">
        <f t="shared" si="3"/>
        <v>-</v>
      </c>
      <c r="E27" s="315">
        <f t="shared" si="4"/>
        <v>0</v>
      </c>
      <c r="F27" s="315" t="str">
        <f t="shared" si="5"/>
        <v/>
      </c>
      <c r="J27" t="str">
        <f>IF(Attendance!$D12="","","{""number"":"&amp;Attendance!$C12&amp;",""name"":"""&amp;Attendance!$D12&amp;""",""position"":"""&amp;'Player Grading'!$D13&amp;""",""availability"":"""&amp;'Team Selection'!$E71&amp;""",""unavailableReason"":"""&amp;'Team Selection'!$F71&amp;""",""trainingAttendancePct"":"&amp;ROUND(N(Attendance!$GC12),4)&amp;",""avgWorkRate"":"&amp;ROUND(N(Attendance!$GD12),2)&amp;",""matchdayAttendancePct"":"&amp;ROUND(N(Attendance!$GH12),4)&amp;",""minutes"":"&amp;N(Attendance!$GI12)&amp;",""avgMinutes"":"&amp;ROUND(N(Attendance!$GJ12),1)&amp;",""avgRating"":"&amp;ROUND(N(Attendance!$GK12),2)&amp;",""motm"":"&amp;N(Attendance!$GM12)&amp;",""seasonScore"":"&amp;ROUND(N(Attendance!$GN12),4)&amp;",""comment"":"""&amp;Attendance!$GR12&amp;""",""toWorkOn"":"""&amp;Attendance!$GS12&amp;""",""sessions"":["&amp;$X27&amp;"],""matches"":["&amp;$Z27&amp;"]}")</f>
        <v>{"number":8,"name":"Shauna Kavanagh","position":"ST / RW","availability":"Yes","unavailableReason":"","trainingAttendancePct":1,"avgWorkRate":2.67,"matchdayAttendancePct":0,"minutes":0,"avgMinutes":0,"avgRating":7.5,"motm":0,"seasonScore":0.7278,"comment":"","toWorkOn":"","sessions":[[1,2],[1,3],[1,3]],"matches":[[-1,0,7.5,0]]}</v>
      </c>
      <c r="L27" t="str">
        <f>IF(Workings!$AE13="","","{""gw"":"&amp;Workings!$AD13&amp;",""date"":"""&amp;TEXT(Workings!$AE13,"yyyy-mm-dd")&amp;""",""opponent"":"""&amp;Workings!$AF13&amp;""",""venue"":"""&amp;Workings!$AG13&amp;""",""gf"":"&amp;N(Workings!$AH13)&amp;",""ga"":"&amp;N(Workings!$AI13)&amp;",""result"":"""&amp;Workings!$AJ13&amp;"""}")</f>
        <v/>
      </c>
      <c r="N27" t="str">
        <f t="array" ref="N27">IF(LEN(INDEX(Attendance!$E$3:$CN$3,1,(8-1)*2+1))=0,"","{""index"":8,""gw"":4,""date"":"""&amp;TEXT(INDEX(Attendance!$E$3:$CN$3,1,(8-1)*2+1),"yyyy-mm-dd")&amp;"""}")</f>
        <v/>
      </c>
      <c r="R27" t="str">
        <f>IF('Team Selection'!$D32="","","{""slot"":"&amp;'Team Selection'!$B32&amp;",""position"":"""&amp;'Team Selection'!$C32&amp;""",""player"":"""&amp;'Team Selection'!$D32&amp;""",""fitScore"":"&amp;ROUND(N('Team Selection'!$E32),2)&amp;",""seasonScore"":"&amp;ROUND(N('Team Selection'!$F32),4)&amp;",""overallGrade"":"&amp;ROUND(N('Team Selection'!$G32),2)&amp;"}")</f>
        <v>{"slot":8,"position":"CM","player":"Semilore Adesanya","fitScore":13.68,"seasonScore":0.6861,"overallGrade":12.76}</v>
      </c>
      <c r="T27" t="str">
        <f>IF('Team Selection'!$C47="","","{""player"":"""&amp;'Team Selection'!$C47&amp;""",""position"":"""&amp;'Team Selection'!$D47&amp;""",""overallGrade"":"&amp;ROUND(N('Team Selection'!$E47),2)&amp;",""seasonScore"":"&amp;ROUND(N('Team Selection'!$F47),4)&amp;",""status"":"""&amp;'Team Selection'!$G47&amp;"""}")</f>
        <v/>
      </c>
      <c r="V27" t="str">
        <f>IF(OR('Team Selection'!$C71="",'Team Selection'!$E71="Yes"),"","{""player"":"""&amp;'Team Selection'!$C71&amp;""",""reason"":"""&amp;'Team Selection'!$F71&amp;"""}")</f>
        <v/>
      </c>
      <c r="X27" t="str" cm="1">
        <f t="array" ref="X27">IF(Attendance!$D12="","",_xlfn.TEXTJOIN(",",TRUE(),IF((Attendance!$E$4:$CN$4="Att")*((COLUMN(Attendance!$E$4:$CN$4)-COLUMN(Attendance!$E$4))/2+1&lt;=$BZ$41),"["&amp;IF(Attendance!$E12:$CN12="Yes",1,0)&amp;","&amp;IF(Attendance!$F12:$CO12="",0,Attendance!$F12:$CO12)&amp;"]","")))</f>
        <v>[1,2],[1,3],[1,3]</v>
      </c>
      <c r="Z27" t="str" cm="1">
        <f t="array" ref="Z27">IF(Attendance!$D12="","",_xlfn.TEXTJOIN(",",TRUE(),IF((Attendance!$CP$4:$FY$4="Att")*((COLUMN(Attendance!$CP$4:$FY$4)-COLUMN(Attendance!$CP$4))/4+1&lt;=$BZ$42),"["&amp;IF(Attendance!$CP12:$FY12="Yes",1,IF(Attendance!$CP12:$FY12="No",0,-1))&amp;","&amp;IF(Attendance!$CQ12:$FZ12="",0,Attendance!$CQ12:$FZ12)&amp;","&amp;IF(Attendance!$CR12:$GA12="",0,Attendance!$CR12:$GA12)&amp;","&amp;IF(Attendance!$CS12:$GB12="Yes",1,0)&amp;"]","")))</f>
        <v>[-1,0,7.5,0]</v>
      </c>
      <c r="AB27" t="str" cm="1">
        <f t="array" ref="AB27">IF(AND(INDEX('Match Day Reports'!$C:$C,$AW27+2)="",COUNTIF($AX27:$BO27,"?*")=0),"","{""gw"":"&amp;ROWS($AB$20:AB27)&amp;",""date"":"""&amp;IF(INDEX('Match Day Reports'!$B:$B,$AW27+2)="","",TEXT(INDEX('Match Day Reports'!$B:$B,$AW27+2),"yyyy-mm-dd"))&amp;""""&amp;",""opponent"":"""&amp;INDEX('Match Day Reports'!$C:$C,$AW27+2)&amp;""""&amp;",""venue"":"""&amp;INDEX('Match Day Reports'!$D:$D,$AW27+2)&amp;""""&amp;",""gf"":"&amp;N(INDEX('Match Day Reports'!$E:$E,$AW27+2))&amp;",""ga"":"&amp;N(INDEX('Match Day Reports'!$F:$F,$AW27+2))&amp;",""result"":"""&amp;INDEX('Match Day Reports'!$G:$G,$AW27+2)&amp;""""&amp;",""motm"":"""&amp;INDEX('Match Day Reports'!$H:$H,$AW27+2)&amp;""""&amp;",""xi"":["&amp;_xlfn.TEXTJOIN(",",TRUE(),$AX27:$BH27)&amp;"]"&amp;",""subs"":["&amp;_xlfn.TEXTJOIN(",",TRUE(),$BI27:$BO27)&amp;"]"&amp;",""matchNotes"":"""&amp;SUBSTITUTE(SUBSTITUTE(INDEX('Match Day Reports'!$C:$C,$AW27+24),"""","'"),CHAR(10)," ")&amp;""""&amp;",""keyNotes"":"""&amp;SUBSTITUTE(SUBSTITUTE(INDEX('Match Day Reports'!$C:$C,$AW27+25),"""","'"),CHAR(10)," ")&amp;""""&amp;"}")</f>
        <v/>
      </c>
      <c r="AD27" t="str">
        <f>IF(Workings!$AO13="","","{""name"":"""&amp;Workings!$AO13&amp;""",""rank"":"&amp;N(Workings!$AX13)&amp;",""sessionsAttended"":"&amp;N(Workings!$AP13)&amp;",""sessionsHeld"":"&amp;N(Workings!$AQ13)&amp;",""attendancePct"":"&amp;ROUND(N(Workings!$AR13),4)&amp;",""avgWorkRate"":"&amp;ROUND(N(Workings!$AS13),2)&amp;",""gradePct"":"&amp;ROUND(N(Workings!$AT13),4)&amp;",""readinessBand"":"""&amp;Workings!$AU13&amp;"""}")</f>
        <v>{"name":"Shauna Kavanagh","rank":8,"sessionsAttended":9,"sessionsHeld":11,"attendancePct":0.8182,"avgWorkRate":2.22,"gradePct":0.5939,"readinessBand":"Improving"}</v>
      </c>
      <c r="AL27" t="str" cm="1">
        <f t="array" ref="AL27">IF($AT27="","","{""rank"":8,""name"":"""&amp;INDEX(Dashboard!$C$93:$C$112,$AT27)&amp;""",""goals"":"&amp;N(INDEX(Dashboard!$G$93:$G$112,$AT27))&amp;",""assists"":"&amp;N(INDEX(Dashboard!$H$93:$H$112,$AT27))&amp;",""apps"":"&amp;N(INDEX(Dashboard!$F$93:$F$112,$AT27))&amp;"}")</f>
        <v/>
      </c>
      <c r="AN27" t="str" cm="1">
        <f t="array" ref="AN27">IF($AV27="","","{""rank"":8,""name"":"""&amp;INDEX(Dashboard!$C$93:$C$112,$AV27)&amp;""",""assists"":"&amp;N(INDEX(Dashboard!$H$93:$H$112,$AV27))&amp;",""goals"":"&amp;N(INDEX(Dashboard!$G$93:$G$112,$AV27))&amp;",""apps"":"&amp;N(INDEX(Dashboard!$F$93:$F$112,$AV27))&amp;"}")</f>
        <v/>
      </c>
      <c r="AP27">
        <f>IF(Dashboard!$C100="","",N(Dashboard!$G100)*1000-ROW())</f>
        <v>973</v>
      </c>
      <c r="AR27">
        <f>IF(Dashboard!$C100="","",N(Dashboard!$H100)*1000-ROW())</f>
        <v>-27</v>
      </c>
      <c r="AT27" t="str">
        <f>IFERROR(IF(LARGE($AP$20:$AP$39,8)&lt;=0,"",MATCH(LARGE($AP$20:$AP$39,8),$AP$20:$AP$39,0)),"")</f>
        <v/>
      </c>
      <c r="AV27" t="str">
        <f>IFERROR(IF(LARGE($AR$20:$AR$39,8)&lt;=0,"",MATCH(LARGE($AR$20:$AR$39,8),$AR$20:$AR$39,0)),"")</f>
        <v/>
      </c>
      <c r="AW27">
        <f>80+(ROWS($AW$20:AW27)-1)*27</f>
        <v>269</v>
      </c>
      <c r="AX27" t="str" cm="1">
        <f t="array" ref="AX27">IF(INDEX('Match Day Reports'!$C:$C,$AW27+4+COLUMNS($AX$20:AX27))="","","{""name"":"""&amp;INDEX('Match Day Reports'!$C:$C,$AW27+4+COLUMNS($AX$20:AX27))&amp;""",""status"":"""&amp;INDEX('Match Day Reports'!$D:$D,$AW27+4+COLUMNS($AX$20:AX27))&amp;""",""pos"":"""&amp;INDEX('Match Day Reports'!$E:$E,$AW27+4+COLUMNS($AX$20:AX27))&amp;""",""pos2"":"""&amp;INDEX('Match Day Reports'!$F:$F,$AW27+4+COLUMNS($AX$20:AX27))&amp;""",""goals"":"&amp;N(INDEX('Match Day Reports'!$G:$G,$AW27+4+COLUMNS($AX$20:AX27)))&amp;",""assists"":"&amp;N(INDEX('Match Day Reports'!$H:$H,$AW27+4+COLUMNS($AX$20:AX27)))&amp;",""rating"":"&amp;N(INDEX('Match Day Reports'!$I:$I,$AW27+4+COLUMNS($AX$20:AX27)))&amp;"}")</f>
        <v/>
      </c>
      <c r="AY27" t="str" cm="1">
        <f t="array" ref="AY27">IF(INDEX('Match Day Reports'!$C:$C,$AW27+4+COLUMNS($AX$20:AY27))="","","{""name"":"""&amp;INDEX('Match Day Reports'!$C:$C,$AW27+4+COLUMNS($AX$20:AY27))&amp;""",""status"":"""&amp;INDEX('Match Day Reports'!$D:$D,$AW27+4+COLUMNS($AX$20:AY27))&amp;""",""pos"":"""&amp;INDEX('Match Day Reports'!$E:$E,$AW27+4+COLUMNS($AX$20:AY27))&amp;""",""pos2"":"""&amp;INDEX('Match Day Reports'!$F:$F,$AW27+4+COLUMNS($AX$20:AY27))&amp;""",""goals"":"&amp;N(INDEX('Match Day Reports'!$G:$G,$AW27+4+COLUMNS($AX$20:AY27)))&amp;",""assists"":"&amp;N(INDEX('Match Day Reports'!$H:$H,$AW27+4+COLUMNS($AX$20:AY27)))&amp;",""rating"":"&amp;N(INDEX('Match Day Reports'!$I:$I,$AW27+4+COLUMNS($AX$20:AY27)))&amp;"}")</f>
        <v/>
      </c>
      <c r="AZ27" t="str" cm="1">
        <f t="array" ref="AZ27">IF(INDEX('Match Day Reports'!$C:$C,$AW27+4+COLUMNS($AX$20:AZ27))="","","{""name"":"""&amp;INDEX('Match Day Reports'!$C:$C,$AW27+4+COLUMNS($AX$20:AZ27))&amp;""",""status"":"""&amp;INDEX('Match Day Reports'!$D:$D,$AW27+4+COLUMNS($AX$20:AZ27))&amp;""",""pos"":"""&amp;INDEX('Match Day Reports'!$E:$E,$AW27+4+COLUMNS($AX$20:AZ27))&amp;""",""pos2"":"""&amp;INDEX('Match Day Reports'!$F:$F,$AW27+4+COLUMNS($AX$20:AZ27))&amp;""",""goals"":"&amp;N(INDEX('Match Day Reports'!$G:$G,$AW27+4+COLUMNS($AX$20:AZ27)))&amp;",""assists"":"&amp;N(INDEX('Match Day Reports'!$H:$H,$AW27+4+COLUMNS($AX$20:AZ27)))&amp;",""rating"":"&amp;N(INDEX('Match Day Reports'!$I:$I,$AW27+4+COLUMNS($AX$20:AZ27)))&amp;"}")</f>
        <v/>
      </c>
      <c r="BA27" t="str" cm="1">
        <f t="array" ref="BA27">IF(INDEX('Match Day Reports'!$C:$C,$AW27+4+COLUMNS($AX$20:BA27))="","","{""name"":"""&amp;INDEX('Match Day Reports'!$C:$C,$AW27+4+COLUMNS($AX$20:BA27))&amp;""",""status"":"""&amp;INDEX('Match Day Reports'!$D:$D,$AW27+4+COLUMNS($AX$20:BA27))&amp;""",""pos"":"""&amp;INDEX('Match Day Reports'!$E:$E,$AW27+4+COLUMNS($AX$20:BA27))&amp;""",""pos2"":"""&amp;INDEX('Match Day Reports'!$F:$F,$AW27+4+COLUMNS($AX$20:BA27))&amp;""",""goals"":"&amp;N(INDEX('Match Day Reports'!$G:$G,$AW27+4+COLUMNS($AX$20:BA27)))&amp;",""assists"":"&amp;N(INDEX('Match Day Reports'!$H:$H,$AW27+4+COLUMNS($AX$20:BA27)))&amp;",""rating"":"&amp;N(INDEX('Match Day Reports'!$I:$I,$AW27+4+COLUMNS($AX$20:BA27)))&amp;"}")</f>
        <v/>
      </c>
      <c r="BB27" t="str" cm="1">
        <f t="array" ref="BB27">IF(INDEX('Match Day Reports'!$C:$C,$AW27+4+COLUMNS($AX$20:BB27))="","","{""name"":"""&amp;INDEX('Match Day Reports'!$C:$C,$AW27+4+COLUMNS($AX$20:BB27))&amp;""",""status"":"""&amp;INDEX('Match Day Reports'!$D:$D,$AW27+4+COLUMNS($AX$20:BB27))&amp;""",""pos"":"""&amp;INDEX('Match Day Reports'!$E:$E,$AW27+4+COLUMNS($AX$20:BB27))&amp;""",""pos2"":"""&amp;INDEX('Match Day Reports'!$F:$F,$AW27+4+COLUMNS($AX$20:BB27))&amp;""",""goals"":"&amp;N(INDEX('Match Day Reports'!$G:$G,$AW27+4+COLUMNS($AX$20:BB27)))&amp;",""assists"":"&amp;N(INDEX('Match Day Reports'!$H:$H,$AW27+4+COLUMNS($AX$20:BB27)))&amp;",""rating"":"&amp;N(INDEX('Match Day Reports'!$I:$I,$AW27+4+COLUMNS($AX$20:BB27)))&amp;"}")</f>
        <v/>
      </c>
      <c r="BC27" t="str" cm="1">
        <f t="array" ref="BC27">IF(INDEX('Match Day Reports'!$C:$C,$AW27+4+COLUMNS($AX$20:BC27))="","","{""name"":"""&amp;INDEX('Match Day Reports'!$C:$C,$AW27+4+COLUMNS($AX$20:BC27))&amp;""",""status"":"""&amp;INDEX('Match Day Reports'!$D:$D,$AW27+4+COLUMNS($AX$20:BC27))&amp;""",""pos"":"""&amp;INDEX('Match Day Reports'!$E:$E,$AW27+4+COLUMNS($AX$20:BC27))&amp;""",""pos2"":"""&amp;INDEX('Match Day Reports'!$F:$F,$AW27+4+COLUMNS($AX$20:BC27))&amp;""",""goals"":"&amp;N(INDEX('Match Day Reports'!$G:$G,$AW27+4+COLUMNS($AX$20:BC27)))&amp;",""assists"":"&amp;N(INDEX('Match Day Reports'!$H:$H,$AW27+4+COLUMNS($AX$20:BC27)))&amp;",""rating"":"&amp;N(INDEX('Match Day Reports'!$I:$I,$AW27+4+COLUMNS($AX$20:BC27)))&amp;"}")</f>
        <v/>
      </c>
      <c r="BD27" t="str" cm="1">
        <f t="array" ref="BD27">IF(INDEX('Match Day Reports'!$C:$C,$AW27+4+COLUMNS($AX$20:BD27))="","","{""name"":"""&amp;INDEX('Match Day Reports'!$C:$C,$AW27+4+COLUMNS($AX$20:BD27))&amp;""",""status"":"""&amp;INDEX('Match Day Reports'!$D:$D,$AW27+4+COLUMNS($AX$20:BD27))&amp;""",""pos"":"""&amp;INDEX('Match Day Reports'!$E:$E,$AW27+4+COLUMNS($AX$20:BD27))&amp;""",""pos2"":"""&amp;INDEX('Match Day Reports'!$F:$F,$AW27+4+COLUMNS($AX$20:BD27))&amp;""",""goals"":"&amp;N(INDEX('Match Day Reports'!$G:$G,$AW27+4+COLUMNS($AX$20:BD27)))&amp;",""assists"":"&amp;N(INDEX('Match Day Reports'!$H:$H,$AW27+4+COLUMNS($AX$20:BD27)))&amp;",""rating"":"&amp;N(INDEX('Match Day Reports'!$I:$I,$AW27+4+COLUMNS($AX$20:BD27)))&amp;"}")</f>
        <v/>
      </c>
      <c r="BE27" t="str" cm="1">
        <f t="array" ref="BE27">IF(INDEX('Match Day Reports'!$C:$C,$AW27+4+COLUMNS($AX$20:BE27))="","","{""name"":"""&amp;INDEX('Match Day Reports'!$C:$C,$AW27+4+COLUMNS($AX$20:BE27))&amp;""",""status"":"""&amp;INDEX('Match Day Reports'!$D:$D,$AW27+4+COLUMNS($AX$20:BE27))&amp;""",""pos"":"""&amp;INDEX('Match Day Reports'!$E:$E,$AW27+4+COLUMNS($AX$20:BE27))&amp;""",""pos2"":"""&amp;INDEX('Match Day Reports'!$F:$F,$AW27+4+COLUMNS($AX$20:BE27))&amp;""",""goals"":"&amp;N(INDEX('Match Day Reports'!$G:$G,$AW27+4+COLUMNS($AX$20:BE27)))&amp;",""assists"":"&amp;N(INDEX('Match Day Reports'!$H:$H,$AW27+4+COLUMNS($AX$20:BE27)))&amp;",""rating"":"&amp;N(INDEX('Match Day Reports'!$I:$I,$AW27+4+COLUMNS($AX$20:BE27)))&amp;"}")</f>
        <v/>
      </c>
      <c r="BF27" t="str" cm="1">
        <f t="array" ref="BF27">IF(INDEX('Match Day Reports'!$C:$C,$AW27+4+COLUMNS($AX$20:BF27))="","","{""name"":"""&amp;INDEX('Match Day Reports'!$C:$C,$AW27+4+COLUMNS($AX$20:BF27))&amp;""",""status"":"""&amp;INDEX('Match Day Reports'!$D:$D,$AW27+4+COLUMNS($AX$20:BF27))&amp;""",""pos"":"""&amp;INDEX('Match Day Reports'!$E:$E,$AW27+4+COLUMNS($AX$20:BF27))&amp;""",""pos2"":"""&amp;INDEX('Match Day Reports'!$F:$F,$AW27+4+COLUMNS($AX$20:BF27))&amp;""",""goals"":"&amp;N(INDEX('Match Day Reports'!$G:$G,$AW27+4+COLUMNS($AX$20:BF27)))&amp;",""assists"":"&amp;N(INDEX('Match Day Reports'!$H:$H,$AW27+4+COLUMNS($AX$20:BF27)))&amp;",""rating"":"&amp;N(INDEX('Match Day Reports'!$I:$I,$AW27+4+COLUMNS($AX$20:BF27)))&amp;"}")</f>
        <v/>
      </c>
      <c r="BG27" t="str" cm="1">
        <f t="array" ref="BG27">IF(INDEX('Match Day Reports'!$C:$C,$AW27+4+COLUMNS($AX$20:BG27))="","","{""name"":"""&amp;INDEX('Match Day Reports'!$C:$C,$AW27+4+COLUMNS($AX$20:BG27))&amp;""",""status"":"""&amp;INDEX('Match Day Reports'!$D:$D,$AW27+4+COLUMNS($AX$20:BG27))&amp;""",""pos"":"""&amp;INDEX('Match Day Reports'!$E:$E,$AW27+4+COLUMNS($AX$20:BG27))&amp;""",""pos2"":"""&amp;INDEX('Match Day Reports'!$F:$F,$AW27+4+COLUMNS($AX$20:BG27))&amp;""",""goals"":"&amp;N(INDEX('Match Day Reports'!$G:$G,$AW27+4+COLUMNS($AX$20:BG27)))&amp;",""assists"":"&amp;N(INDEX('Match Day Reports'!$H:$H,$AW27+4+COLUMNS($AX$20:BG27)))&amp;",""rating"":"&amp;N(INDEX('Match Day Reports'!$I:$I,$AW27+4+COLUMNS($AX$20:BG27)))&amp;"}")</f>
        <v/>
      </c>
      <c r="BH27" t="str" cm="1">
        <f t="array" ref="BH27">IF(INDEX('Match Day Reports'!$C:$C,$AW27+4+COLUMNS($AX$20:BH27))="","","{""name"":"""&amp;INDEX('Match Day Reports'!$C:$C,$AW27+4+COLUMNS($AX$20:BH27))&amp;""",""status"":"""&amp;INDEX('Match Day Reports'!$D:$D,$AW27+4+COLUMNS($AX$20:BH27))&amp;""",""pos"":"""&amp;INDEX('Match Day Reports'!$E:$E,$AW27+4+COLUMNS($AX$20:BH27))&amp;""",""pos2"":"""&amp;INDEX('Match Day Reports'!$F:$F,$AW27+4+COLUMNS($AX$20:BH27))&amp;""",""goals"":"&amp;N(INDEX('Match Day Reports'!$G:$G,$AW27+4+COLUMNS($AX$20:BH27)))&amp;",""assists"":"&amp;N(INDEX('Match Day Reports'!$H:$H,$AW27+4+COLUMNS($AX$20:BH27)))&amp;",""rating"":"&amp;N(INDEX('Match Day Reports'!$I:$I,$AW27+4+COLUMNS($AX$20:BH27)))&amp;"}")</f>
        <v/>
      </c>
      <c r="BI27" t="str" cm="1">
        <f t="array" ref="BI27">IF(INDEX('Match Day Reports'!$C:$C,$AW27+4+COLUMNS($AX$20:BI27))="","","{""name"":"""&amp;INDEX('Match Day Reports'!$C:$C,$AW27+4+COLUMNS($AX$20:BI27))&amp;""",""status"":"""&amp;INDEX('Match Day Reports'!$D:$D,$AW27+4+COLUMNS($AX$20:BI27))&amp;""",""pos"":"""&amp;INDEX('Match Day Reports'!$E:$E,$AW27+4+COLUMNS($AX$20:BI27))&amp;""",""pos2"":"""&amp;INDEX('Match Day Reports'!$F:$F,$AW27+4+COLUMNS($AX$20:BI27))&amp;""",""goals"":"&amp;N(INDEX('Match Day Reports'!$G:$G,$AW27+4+COLUMNS($AX$20:BI27)))&amp;",""assists"":"&amp;N(INDEX('Match Day Reports'!$H:$H,$AW27+4+COLUMNS($AX$20:BI27)))&amp;",""rating"":"&amp;N(INDEX('Match Day Reports'!$I:$I,$AW27+4+COLUMNS($AX$20:BI27)))&amp;"}")</f>
        <v/>
      </c>
      <c r="BJ27" t="str" cm="1">
        <f t="array" ref="BJ27">IF(INDEX('Match Day Reports'!$C:$C,$AW27+4+COLUMNS($AX$20:BJ27))="","","{""name"":"""&amp;INDEX('Match Day Reports'!$C:$C,$AW27+4+COLUMNS($AX$20:BJ27))&amp;""",""status"":"""&amp;INDEX('Match Day Reports'!$D:$D,$AW27+4+COLUMNS($AX$20:BJ27))&amp;""",""pos"":"""&amp;INDEX('Match Day Reports'!$E:$E,$AW27+4+COLUMNS($AX$20:BJ27))&amp;""",""pos2"":"""&amp;INDEX('Match Day Reports'!$F:$F,$AW27+4+COLUMNS($AX$20:BJ27))&amp;""",""goals"":"&amp;N(INDEX('Match Day Reports'!$G:$G,$AW27+4+COLUMNS($AX$20:BJ27)))&amp;",""assists"":"&amp;N(INDEX('Match Day Reports'!$H:$H,$AW27+4+COLUMNS($AX$20:BJ27)))&amp;",""rating"":"&amp;N(INDEX('Match Day Reports'!$I:$I,$AW27+4+COLUMNS($AX$20:BJ27)))&amp;"}")</f>
        <v/>
      </c>
      <c r="BK27" t="str" cm="1">
        <f t="array" ref="BK27">IF(INDEX('Match Day Reports'!$C:$C,$AW27+4+COLUMNS($AX$20:BK27))="","","{""name"":"""&amp;INDEX('Match Day Reports'!$C:$C,$AW27+4+COLUMNS($AX$20:BK27))&amp;""",""status"":"""&amp;INDEX('Match Day Reports'!$D:$D,$AW27+4+COLUMNS($AX$20:BK27))&amp;""",""pos"":"""&amp;INDEX('Match Day Reports'!$E:$E,$AW27+4+COLUMNS($AX$20:BK27))&amp;""",""pos2"":"""&amp;INDEX('Match Day Reports'!$F:$F,$AW27+4+COLUMNS($AX$20:BK27))&amp;""",""goals"":"&amp;N(INDEX('Match Day Reports'!$G:$G,$AW27+4+COLUMNS($AX$20:BK27)))&amp;",""assists"":"&amp;N(INDEX('Match Day Reports'!$H:$H,$AW27+4+COLUMNS($AX$20:BK27)))&amp;",""rating"":"&amp;N(INDEX('Match Day Reports'!$I:$I,$AW27+4+COLUMNS($AX$20:BK27)))&amp;"}")</f>
        <v/>
      </c>
      <c r="BL27" t="str" cm="1">
        <f t="array" ref="BL27">IF(INDEX('Match Day Reports'!$C:$C,$AW27+4+COLUMNS($AX$20:BL27))="","","{""name"":"""&amp;INDEX('Match Day Reports'!$C:$C,$AW27+4+COLUMNS($AX$20:BL27))&amp;""",""status"":"""&amp;INDEX('Match Day Reports'!$D:$D,$AW27+4+COLUMNS($AX$20:BL27))&amp;""",""pos"":"""&amp;INDEX('Match Day Reports'!$E:$E,$AW27+4+COLUMNS($AX$20:BL27))&amp;""",""pos2"":"""&amp;INDEX('Match Day Reports'!$F:$F,$AW27+4+COLUMNS($AX$20:BL27))&amp;""",""goals"":"&amp;N(INDEX('Match Day Reports'!$G:$G,$AW27+4+COLUMNS($AX$20:BL27)))&amp;",""assists"":"&amp;N(INDEX('Match Day Reports'!$H:$H,$AW27+4+COLUMNS($AX$20:BL27)))&amp;",""rating"":"&amp;N(INDEX('Match Day Reports'!$I:$I,$AW27+4+COLUMNS($AX$20:BL27)))&amp;"}")</f>
        <v/>
      </c>
      <c r="BM27" t="str" cm="1">
        <f t="array" ref="BM27">IF(INDEX('Match Day Reports'!$C:$C,$AW27+4+COLUMNS($AX$20:BM27))="","","{""name"":"""&amp;INDEX('Match Day Reports'!$C:$C,$AW27+4+COLUMNS($AX$20:BM27))&amp;""",""status"":"""&amp;INDEX('Match Day Reports'!$D:$D,$AW27+4+COLUMNS($AX$20:BM27))&amp;""",""pos"":"""&amp;INDEX('Match Day Reports'!$E:$E,$AW27+4+COLUMNS($AX$20:BM27))&amp;""",""pos2"":"""&amp;INDEX('Match Day Reports'!$F:$F,$AW27+4+COLUMNS($AX$20:BM27))&amp;""",""goals"":"&amp;N(INDEX('Match Day Reports'!$G:$G,$AW27+4+COLUMNS($AX$20:BM27)))&amp;",""assists"":"&amp;N(INDEX('Match Day Reports'!$H:$H,$AW27+4+COLUMNS($AX$20:BM27)))&amp;",""rating"":"&amp;N(INDEX('Match Day Reports'!$I:$I,$AW27+4+COLUMNS($AX$20:BM27)))&amp;"}")</f>
        <v/>
      </c>
      <c r="BN27" t="str" cm="1">
        <f t="array" ref="BN27">IF(INDEX('Match Day Reports'!$C:$C,$AW27+4+COLUMNS($AX$20:BN27))="","","{""name"":"""&amp;INDEX('Match Day Reports'!$C:$C,$AW27+4+COLUMNS($AX$20:BN27))&amp;""",""status"":"""&amp;INDEX('Match Day Reports'!$D:$D,$AW27+4+COLUMNS($AX$20:BN27))&amp;""",""pos"":"""&amp;INDEX('Match Day Reports'!$E:$E,$AW27+4+COLUMNS($AX$20:BN27))&amp;""",""pos2"":"""&amp;INDEX('Match Day Reports'!$F:$F,$AW27+4+COLUMNS($AX$20:BN27))&amp;""",""goals"":"&amp;N(INDEX('Match Day Reports'!$G:$G,$AW27+4+COLUMNS($AX$20:BN27)))&amp;",""assists"":"&amp;N(INDEX('Match Day Reports'!$H:$H,$AW27+4+COLUMNS($AX$20:BN27)))&amp;",""rating"":"&amp;N(INDEX('Match Day Reports'!$I:$I,$AW27+4+COLUMNS($AX$20:BN27)))&amp;"}")</f>
        <v/>
      </c>
      <c r="BO27" t="str" cm="1">
        <f t="array" ref="BO27">IF(INDEX('Match Day Reports'!$C:$C,$AW27+4+COLUMNS($AX$20:BO27))="","","{""name"":"""&amp;INDEX('Match Day Reports'!$C:$C,$AW27+4+COLUMNS($AX$20:BO27))&amp;""",""status"":"""&amp;INDEX('Match Day Reports'!$D:$D,$AW27+4+COLUMNS($AX$20:BO27))&amp;""",""pos"":"""&amp;INDEX('Match Day Reports'!$E:$E,$AW27+4+COLUMNS($AX$20:BO27))&amp;""",""pos2"":"""&amp;INDEX('Match Day Reports'!$F:$F,$AW27+4+COLUMNS($AX$20:BO27))&amp;""",""goals"":"&amp;N(INDEX('Match Day Reports'!$G:$G,$AW27+4+COLUMNS($AX$20:BO27)))&amp;",""assists"":"&amp;N(INDEX('Match Day Reports'!$H:$H,$AW27+4+COLUMNS($AX$20:BO27)))&amp;",""rating"":"&amp;N(INDEX('Match Day Reports'!$I:$I,$AW27+4+COLUMNS($AX$20:BO27)))&amp;"}")</f>
        <v/>
      </c>
      <c r="BQ27" t="str">
        <f>IF('Team Selection'!$F153="","","{""slot"":"&amp;'Team Selection'!$B153&amp;",""position"":"""&amp;'Team Selection'!$C153&amp;""",""player"":"""&amp;'Team Selection'!$F153&amp;""",""fitScore"":"&amp;ROUND(N('Team Selection'!$G153),2)&amp;",""seasonScore"":"&amp;ROUND(N('Team Selection'!$H153),4)&amp;",""overallGrade"":"&amp;ROUND(N('Team Selection'!$I153),2)&amp;"}")</f>
        <v>{"slot":8,"position":"CM","player":"Semilore Adesanya","fitScore":13.68,"seasonScore":0.6861,"overallGrade":12.76}</v>
      </c>
      <c r="BS27" t="str">
        <f>IF('Team Selection'!$F167="","","{""slot"":"&amp;'Team Selection'!$B167&amp;",""position"":"""&amp;'Team Selection'!$C167&amp;""",""player"":"""&amp;'Team Selection'!$F167&amp;""",""fitScore"":"&amp;ROUND(N('Team Selection'!$G167),2)&amp;",""seasonScore"":"&amp;ROUND(N('Team Selection'!$H167),4)&amp;",""overallGrade"":"&amp;ROUND(N('Team Selection'!$I167),2)&amp;"}")</f>
        <v>{"slot":8,"position":"ACM","player":"Naomi Adewoyin","fitScore":11.97,"seasonScore":0.7667,"overallGrade":10.99}</v>
      </c>
      <c r="BU27" t="str">
        <f>IF('Team Selection'!$C181="","","{""player"":"""&amp;'Team Selection'!$C181&amp;""",""position"":"""&amp;'Team Selection'!$D181&amp;""",""overallGrade"":"&amp;ROUND(N('Team Selection'!$E181),2)&amp;",""seasonScore"":"&amp;ROUND(N('Team Selection'!$F181),4)&amp;",""status"":"""&amp;'Team Selection'!$G181&amp;"""}")</f>
        <v/>
      </c>
      <c r="BW27" t="str">
        <f>IF('Team Selection'!$C204="","","{""player"":"""&amp;'Team Selection'!$C204&amp;""",""position"":"""&amp;'Team Selection'!$D204&amp;""",""overallGrade"":"&amp;ROUND(N('Team Selection'!$E204),2)&amp;",""seasonScore"":"&amp;ROUND(N('Team Selection'!$F204),4)&amp;",""status"":"""&amp;'Team Selection'!$G204&amp;"""}")</f>
        <v/>
      </c>
      <c r="BZ27" cm="1">
        <f t="array" ref="BZ27">IF(Attendance!$D12="","",SUMPRODUCT((Attendance!$E$4:$CN$4="Att")*(Attendance!$E12:$CN12&lt;&gt;"")))</f>
        <v>3</v>
      </c>
      <c r="CA27" cm="1">
        <f t="array" ref="CA27">IF(Attendance!$D12="","",SUMPRODUCT((Attendance!$CP$4:$FY$4="Att")*((Attendance!$CP12:$FY12&lt;&gt;"")+(Attendance!$CQ12:$FZ12&lt;&gt;"")+(Attendance!$CR12:$GA12&lt;&gt;"")+(Attendance!$CS12:$GB12&lt;&gt;"")&gt;0)))</f>
        <v>1</v>
      </c>
    </row>
    <row r="28" spans="1:79" x14ac:dyDescent="0.45">
      <c r="A28" s="318" t="str">
        <f>Workings!$S9</f>
        <v>Nearly Ready</v>
      </c>
      <c r="B28" s="319">
        <f>Workings!$V9</f>
        <v>9</v>
      </c>
      <c r="C28" s="138" t="str">
        <f t="shared" si="2"/>
        <v/>
      </c>
      <c r="D28" s="138" t="str">
        <f t="shared" si="3"/>
        <v>-</v>
      </c>
      <c r="E28" s="315">
        <f t="shared" si="4"/>
        <v>0</v>
      </c>
      <c r="F28" s="315" t="str">
        <f t="shared" si="5"/>
        <v/>
      </c>
      <c r="J28" t="str">
        <f>IF(Attendance!$D13="","","{""number"":"&amp;Attendance!$C13&amp;",""name"":"""&amp;Attendance!$D13&amp;""",""position"":"""&amp;'Player Grading'!$D14&amp;""",""availability"":"""&amp;'Team Selection'!$E72&amp;""",""unavailableReason"":"""&amp;'Team Selection'!$F72&amp;""",""trainingAttendancePct"":"&amp;ROUND(N(Attendance!$GC13),4)&amp;",""avgWorkRate"":"&amp;ROUND(N(Attendance!$GD13),2)&amp;",""matchdayAttendancePct"":"&amp;ROUND(N(Attendance!$GH13),4)&amp;",""minutes"":"&amp;N(Attendance!$GI13)&amp;",""avgMinutes"":"&amp;ROUND(N(Attendance!$GJ13),1)&amp;",""avgRating"":"&amp;ROUND(N(Attendance!$GK13),2)&amp;",""motm"":"&amp;N(Attendance!$GM13)&amp;",""seasonScore"":"&amp;ROUND(N(Attendance!$GN13),4)&amp;",""comment"":"""&amp;Attendance!$GR13&amp;""",""toWorkOn"":"""&amp;Attendance!$GS13&amp;""",""sessions"":["&amp;$X28&amp;"],""matches"":["&amp;$Z28&amp;"]}")</f>
        <v>{"number":9,"name":"Tara Brannigan","position":"DM / CM","availability":"Yes","unavailableReason":"","trainingAttendancePct":1,"avgWorkRate":3,"matchdayAttendancePct":0,"minutes":0,"avgMinutes":0,"avgRating":8,"motm":0,"seasonScore":0.7667,"comment":"","toWorkOn":"","sessions":[[1,3],[1,3],[1,3]],"matches":[[-1,0,8,0]]}</v>
      </c>
      <c r="L28" t="str">
        <f>IF(Workings!$AE14="","","{""gw"":"&amp;Workings!$AD14&amp;",""date"":"""&amp;TEXT(Workings!$AE14,"yyyy-mm-dd")&amp;""",""opponent"":"""&amp;Workings!$AF14&amp;""",""venue"":"""&amp;Workings!$AG14&amp;""",""gf"":"&amp;N(Workings!$AH14)&amp;",""ga"":"&amp;N(Workings!$AI14)&amp;",""result"":"""&amp;Workings!$AJ14&amp;"""}")</f>
        <v/>
      </c>
      <c r="N28" t="str">
        <f t="array" ref="N28">IF(LEN(INDEX(Attendance!$E$3:$CN$3,1,(9-1)*2+1))=0,"","{""index"":9,""gw"":5,""date"":"""&amp;TEXT(INDEX(Attendance!$E$3:$CN$3,1,(9-1)*2+1),"yyyy-mm-dd")&amp;"""}")</f>
        <v/>
      </c>
      <c r="R28" t="str">
        <f>IF('Team Selection'!$D33="","","{""slot"":"&amp;'Team Selection'!$B33&amp;",""position"":"""&amp;'Team Selection'!$C33&amp;""",""player"":"""&amp;'Team Selection'!$D33&amp;""",""fitScore"":"&amp;ROUND(N('Team Selection'!$E33),2)&amp;",""seasonScore"":"&amp;ROUND(N('Team Selection'!$F33),4)&amp;",""overallGrade"":"&amp;ROUND(N('Team Selection'!$G33),2)&amp;"}")</f>
        <v>{"slot":9,"position":"CM","player":"Tara Brannigan","fitScore":12.68,"seasonScore":0.7667,"overallGrade":11.73}</v>
      </c>
      <c r="T28" t="str">
        <f>IF('Team Selection'!$C48="","","{""player"":"""&amp;'Team Selection'!$C48&amp;""",""position"":"""&amp;'Team Selection'!$D48&amp;""",""overallGrade"":"&amp;ROUND(N('Team Selection'!$E48),2)&amp;",""seasonScore"":"&amp;ROUND(N('Team Selection'!$F48),4)&amp;",""status"":"""&amp;'Team Selection'!$G48&amp;"""}")</f>
        <v/>
      </c>
      <c r="V28" t="str">
        <f>IF(OR('Team Selection'!$C72="",'Team Selection'!$E72="Yes"),"","{""player"":"""&amp;'Team Selection'!$C72&amp;""",""reason"":"""&amp;'Team Selection'!$F72&amp;"""}")</f>
        <v/>
      </c>
      <c r="X28" t="str" cm="1">
        <f t="array" ref="X28">IF(Attendance!$D13="","",_xlfn.TEXTJOIN(",",TRUE(),IF((Attendance!$E$4:$CN$4="Att")*((COLUMN(Attendance!$E$4:$CN$4)-COLUMN(Attendance!$E$4))/2+1&lt;=$BZ$41),"["&amp;IF(Attendance!$E13:$CN13="Yes",1,0)&amp;","&amp;IF(Attendance!$F13:$CO13="",0,Attendance!$F13:$CO13)&amp;"]","")))</f>
        <v>[1,3],[1,3],[1,3]</v>
      </c>
      <c r="Z28" t="str" cm="1">
        <f t="array" ref="Z28">IF(Attendance!$D13="","",_xlfn.TEXTJOIN(",",TRUE(),IF((Attendance!$CP$4:$FY$4="Att")*((COLUMN(Attendance!$CP$4:$FY$4)-COLUMN(Attendance!$CP$4))/4+1&lt;=$BZ$42),"["&amp;IF(Attendance!$CP13:$FY13="Yes",1,IF(Attendance!$CP13:$FY13="No",0,-1))&amp;","&amp;IF(Attendance!$CQ13:$FZ13="",0,Attendance!$CQ13:$FZ13)&amp;","&amp;IF(Attendance!$CR13:$GA13="",0,Attendance!$CR13:$GA13)&amp;","&amp;IF(Attendance!$CS13:$GB13="Yes",1,0)&amp;"]","")))</f>
        <v>[-1,0,8,0]</v>
      </c>
      <c r="AB28" t="str" cm="1">
        <f t="array" ref="AB28">IF(AND(INDEX('Match Day Reports'!$C:$C,$AW28+2)="",COUNTIF($AX28:$BO28,"?*")=0),"","{""gw"":"&amp;ROWS($AB$20:AB28)&amp;",""date"":"""&amp;IF(INDEX('Match Day Reports'!$B:$B,$AW28+2)="","",TEXT(INDEX('Match Day Reports'!$B:$B,$AW28+2),"yyyy-mm-dd"))&amp;""""&amp;",""opponent"":"""&amp;INDEX('Match Day Reports'!$C:$C,$AW28+2)&amp;""""&amp;",""venue"":"""&amp;INDEX('Match Day Reports'!$D:$D,$AW28+2)&amp;""""&amp;",""gf"":"&amp;N(INDEX('Match Day Reports'!$E:$E,$AW28+2))&amp;",""ga"":"&amp;N(INDEX('Match Day Reports'!$F:$F,$AW28+2))&amp;",""result"":"""&amp;INDEX('Match Day Reports'!$G:$G,$AW28+2)&amp;""""&amp;",""motm"":"""&amp;INDEX('Match Day Reports'!$H:$H,$AW28+2)&amp;""""&amp;",""xi"":["&amp;_xlfn.TEXTJOIN(",",TRUE(),$AX28:$BH28)&amp;"]"&amp;",""subs"":["&amp;_xlfn.TEXTJOIN(",",TRUE(),$BI28:$BO28)&amp;"]"&amp;",""matchNotes"":"""&amp;SUBSTITUTE(SUBSTITUTE(INDEX('Match Day Reports'!$C:$C,$AW28+24),"""","'"),CHAR(10)," ")&amp;""""&amp;",""keyNotes"":"""&amp;SUBSTITUTE(SUBSTITUTE(INDEX('Match Day Reports'!$C:$C,$AW28+25),"""","'"),CHAR(10)," ")&amp;""""&amp;"}")</f>
        <v/>
      </c>
      <c r="AD28" t="str">
        <f>IF(Workings!$AO14="","","{""name"":"""&amp;Workings!$AO14&amp;""",""rank"":"&amp;N(Workings!$AX14)&amp;",""sessionsAttended"":"&amp;N(Workings!$AP14)&amp;",""sessionsHeld"":"&amp;N(Workings!$AQ14)&amp;",""attendancePct"":"&amp;ROUND(N(Workings!$AR14),4)&amp;",""avgWorkRate"":"&amp;ROUND(N(Workings!$AS14),2)&amp;",""gradePct"":"&amp;ROUND(N(Workings!$AT14),4)&amp;",""readinessBand"":"""&amp;Workings!$AU14&amp;"""}")</f>
        <v>{"name":"Tara Brannigan","rank":13,"sessionsAttended":4,"sessionsHeld":11,"attendancePct":0.3636,"avgWorkRate":3.25,"gradePct":0.3345,"readinessBand":"Insufficient data"}</v>
      </c>
      <c r="AL28" t="str" cm="1">
        <f t="array" ref="AL28">IF($AT28="","","{""rank"":9,""name"":"""&amp;INDEX(Dashboard!$C$93:$C$112,$AT28)&amp;""",""goals"":"&amp;N(INDEX(Dashboard!$G$93:$G$112,$AT28))&amp;",""assists"":"&amp;N(INDEX(Dashboard!$H$93:$H$112,$AT28))&amp;",""apps"":"&amp;N(INDEX(Dashboard!$F$93:$F$112,$AT28))&amp;"}")</f>
        <v/>
      </c>
      <c r="AN28" t="str" cm="1">
        <f t="array" ref="AN28">IF($AV28="","","{""rank"":9,""name"":"""&amp;INDEX(Dashboard!$C$93:$C$112,$AV28)&amp;""",""assists"":"&amp;N(INDEX(Dashboard!$H$93:$H$112,$AV28))&amp;",""goals"":"&amp;N(INDEX(Dashboard!$G$93:$G$112,$AV28))&amp;",""apps"":"&amp;N(INDEX(Dashboard!$F$93:$F$112,$AV28))&amp;"}")</f>
        <v/>
      </c>
      <c r="AP28">
        <f>IF(Dashboard!$C101="","",N(Dashboard!$G101)*1000-ROW())</f>
        <v>-28</v>
      </c>
      <c r="AR28">
        <f>IF(Dashboard!$C101="","",N(Dashboard!$H101)*1000-ROW())</f>
        <v>-28</v>
      </c>
      <c r="AT28" t="str">
        <f>IFERROR(IF(LARGE($AP$20:$AP$39,9)&lt;=0,"",MATCH(LARGE($AP$20:$AP$39,9),$AP$20:$AP$39,0)),"")</f>
        <v/>
      </c>
      <c r="AV28" t="str">
        <f>IFERROR(IF(LARGE($AR$20:$AR$39,9)&lt;=0,"",MATCH(LARGE($AR$20:$AR$39,9),$AR$20:$AR$39,0)),"")</f>
        <v/>
      </c>
      <c r="AW28">
        <f>80+(ROWS($AW$20:AW28)-1)*27</f>
        <v>296</v>
      </c>
      <c r="AX28" t="str" cm="1">
        <f t="array" ref="AX28">IF(INDEX('Match Day Reports'!$C:$C,$AW28+4+COLUMNS($AX$20:AX28))="","","{""name"":"""&amp;INDEX('Match Day Reports'!$C:$C,$AW28+4+COLUMNS($AX$20:AX28))&amp;""",""status"":"""&amp;INDEX('Match Day Reports'!$D:$D,$AW28+4+COLUMNS($AX$20:AX28))&amp;""",""pos"":"""&amp;INDEX('Match Day Reports'!$E:$E,$AW28+4+COLUMNS($AX$20:AX28))&amp;""",""pos2"":"""&amp;INDEX('Match Day Reports'!$F:$F,$AW28+4+COLUMNS($AX$20:AX28))&amp;""",""goals"":"&amp;N(INDEX('Match Day Reports'!$G:$G,$AW28+4+COLUMNS($AX$20:AX28)))&amp;",""assists"":"&amp;N(INDEX('Match Day Reports'!$H:$H,$AW28+4+COLUMNS($AX$20:AX28)))&amp;",""rating"":"&amp;N(INDEX('Match Day Reports'!$I:$I,$AW28+4+COLUMNS($AX$20:AX28)))&amp;"}")</f>
        <v/>
      </c>
      <c r="AY28" t="str" cm="1">
        <f t="array" ref="AY28">IF(INDEX('Match Day Reports'!$C:$C,$AW28+4+COLUMNS($AX$20:AY28))="","","{""name"":"""&amp;INDEX('Match Day Reports'!$C:$C,$AW28+4+COLUMNS($AX$20:AY28))&amp;""",""status"":"""&amp;INDEX('Match Day Reports'!$D:$D,$AW28+4+COLUMNS($AX$20:AY28))&amp;""",""pos"":"""&amp;INDEX('Match Day Reports'!$E:$E,$AW28+4+COLUMNS($AX$20:AY28))&amp;""",""pos2"":"""&amp;INDEX('Match Day Reports'!$F:$F,$AW28+4+COLUMNS($AX$20:AY28))&amp;""",""goals"":"&amp;N(INDEX('Match Day Reports'!$G:$G,$AW28+4+COLUMNS($AX$20:AY28)))&amp;",""assists"":"&amp;N(INDEX('Match Day Reports'!$H:$H,$AW28+4+COLUMNS($AX$20:AY28)))&amp;",""rating"":"&amp;N(INDEX('Match Day Reports'!$I:$I,$AW28+4+COLUMNS($AX$20:AY28)))&amp;"}")</f>
        <v/>
      </c>
      <c r="AZ28" t="str" cm="1">
        <f t="array" ref="AZ28">IF(INDEX('Match Day Reports'!$C:$C,$AW28+4+COLUMNS($AX$20:AZ28))="","","{""name"":"""&amp;INDEX('Match Day Reports'!$C:$C,$AW28+4+COLUMNS($AX$20:AZ28))&amp;""",""status"":"""&amp;INDEX('Match Day Reports'!$D:$D,$AW28+4+COLUMNS($AX$20:AZ28))&amp;""",""pos"":"""&amp;INDEX('Match Day Reports'!$E:$E,$AW28+4+COLUMNS($AX$20:AZ28))&amp;""",""pos2"":"""&amp;INDEX('Match Day Reports'!$F:$F,$AW28+4+COLUMNS($AX$20:AZ28))&amp;""",""goals"":"&amp;N(INDEX('Match Day Reports'!$G:$G,$AW28+4+COLUMNS($AX$20:AZ28)))&amp;",""assists"":"&amp;N(INDEX('Match Day Reports'!$H:$H,$AW28+4+COLUMNS($AX$20:AZ28)))&amp;",""rating"":"&amp;N(INDEX('Match Day Reports'!$I:$I,$AW28+4+COLUMNS($AX$20:AZ28)))&amp;"}")</f>
        <v/>
      </c>
      <c r="BA28" t="str" cm="1">
        <f t="array" ref="BA28">IF(INDEX('Match Day Reports'!$C:$C,$AW28+4+COLUMNS($AX$20:BA28))="","","{""name"":"""&amp;INDEX('Match Day Reports'!$C:$C,$AW28+4+COLUMNS($AX$20:BA28))&amp;""",""status"":"""&amp;INDEX('Match Day Reports'!$D:$D,$AW28+4+COLUMNS($AX$20:BA28))&amp;""",""pos"":"""&amp;INDEX('Match Day Reports'!$E:$E,$AW28+4+COLUMNS($AX$20:BA28))&amp;""",""pos2"":"""&amp;INDEX('Match Day Reports'!$F:$F,$AW28+4+COLUMNS($AX$20:BA28))&amp;""",""goals"":"&amp;N(INDEX('Match Day Reports'!$G:$G,$AW28+4+COLUMNS($AX$20:BA28)))&amp;",""assists"":"&amp;N(INDEX('Match Day Reports'!$H:$H,$AW28+4+COLUMNS($AX$20:BA28)))&amp;",""rating"":"&amp;N(INDEX('Match Day Reports'!$I:$I,$AW28+4+COLUMNS($AX$20:BA28)))&amp;"}")</f>
        <v/>
      </c>
      <c r="BB28" t="str" cm="1">
        <f t="array" ref="BB28">IF(INDEX('Match Day Reports'!$C:$C,$AW28+4+COLUMNS($AX$20:BB28))="","","{""name"":"""&amp;INDEX('Match Day Reports'!$C:$C,$AW28+4+COLUMNS($AX$20:BB28))&amp;""",""status"":"""&amp;INDEX('Match Day Reports'!$D:$D,$AW28+4+COLUMNS($AX$20:BB28))&amp;""",""pos"":"""&amp;INDEX('Match Day Reports'!$E:$E,$AW28+4+COLUMNS($AX$20:BB28))&amp;""",""pos2"":"""&amp;INDEX('Match Day Reports'!$F:$F,$AW28+4+COLUMNS($AX$20:BB28))&amp;""",""goals"":"&amp;N(INDEX('Match Day Reports'!$G:$G,$AW28+4+COLUMNS($AX$20:BB28)))&amp;",""assists"":"&amp;N(INDEX('Match Day Reports'!$H:$H,$AW28+4+COLUMNS($AX$20:BB28)))&amp;",""rating"":"&amp;N(INDEX('Match Day Reports'!$I:$I,$AW28+4+COLUMNS($AX$20:BB28)))&amp;"}")</f>
        <v/>
      </c>
      <c r="BC28" t="str" cm="1">
        <f t="array" ref="BC28">IF(INDEX('Match Day Reports'!$C:$C,$AW28+4+COLUMNS($AX$20:BC28))="","","{""name"":"""&amp;INDEX('Match Day Reports'!$C:$C,$AW28+4+COLUMNS($AX$20:BC28))&amp;""",""status"":"""&amp;INDEX('Match Day Reports'!$D:$D,$AW28+4+COLUMNS($AX$20:BC28))&amp;""",""pos"":"""&amp;INDEX('Match Day Reports'!$E:$E,$AW28+4+COLUMNS($AX$20:BC28))&amp;""",""pos2"":"""&amp;INDEX('Match Day Reports'!$F:$F,$AW28+4+COLUMNS($AX$20:BC28))&amp;""",""goals"":"&amp;N(INDEX('Match Day Reports'!$G:$G,$AW28+4+COLUMNS($AX$20:BC28)))&amp;",""assists"":"&amp;N(INDEX('Match Day Reports'!$H:$H,$AW28+4+COLUMNS($AX$20:BC28)))&amp;",""rating"":"&amp;N(INDEX('Match Day Reports'!$I:$I,$AW28+4+COLUMNS($AX$20:BC28)))&amp;"}")</f>
        <v/>
      </c>
      <c r="BD28" t="str" cm="1">
        <f t="array" ref="BD28">IF(INDEX('Match Day Reports'!$C:$C,$AW28+4+COLUMNS($AX$20:BD28))="","","{""name"":"""&amp;INDEX('Match Day Reports'!$C:$C,$AW28+4+COLUMNS($AX$20:BD28))&amp;""",""status"":"""&amp;INDEX('Match Day Reports'!$D:$D,$AW28+4+COLUMNS($AX$20:BD28))&amp;""",""pos"":"""&amp;INDEX('Match Day Reports'!$E:$E,$AW28+4+COLUMNS($AX$20:BD28))&amp;""",""pos2"":"""&amp;INDEX('Match Day Reports'!$F:$F,$AW28+4+COLUMNS($AX$20:BD28))&amp;""",""goals"":"&amp;N(INDEX('Match Day Reports'!$G:$G,$AW28+4+COLUMNS($AX$20:BD28)))&amp;",""assists"":"&amp;N(INDEX('Match Day Reports'!$H:$H,$AW28+4+COLUMNS($AX$20:BD28)))&amp;",""rating"":"&amp;N(INDEX('Match Day Reports'!$I:$I,$AW28+4+COLUMNS($AX$20:BD28)))&amp;"}")</f>
        <v/>
      </c>
      <c r="BE28" t="str" cm="1">
        <f t="array" ref="BE28">IF(INDEX('Match Day Reports'!$C:$C,$AW28+4+COLUMNS($AX$20:BE28))="","","{""name"":"""&amp;INDEX('Match Day Reports'!$C:$C,$AW28+4+COLUMNS($AX$20:BE28))&amp;""",""status"":"""&amp;INDEX('Match Day Reports'!$D:$D,$AW28+4+COLUMNS($AX$20:BE28))&amp;""",""pos"":"""&amp;INDEX('Match Day Reports'!$E:$E,$AW28+4+COLUMNS($AX$20:BE28))&amp;""",""pos2"":"""&amp;INDEX('Match Day Reports'!$F:$F,$AW28+4+COLUMNS($AX$20:BE28))&amp;""",""goals"":"&amp;N(INDEX('Match Day Reports'!$G:$G,$AW28+4+COLUMNS($AX$20:BE28)))&amp;",""assists"":"&amp;N(INDEX('Match Day Reports'!$H:$H,$AW28+4+COLUMNS($AX$20:BE28)))&amp;",""rating"":"&amp;N(INDEX('Match Day Reports'!$I:$I,$AW28+4+COLUMNS($AX$20:BE28)))&amp;"}")</f>
        <v/>
      </c>
      <c r="BF28" t="str" cm="1">
        <f t="array" ref="BF28">IF(INDEX('Match Day Reports'!$C:$C,$AW28+4+COLUMNS($AX$20:BF28))="","","{""name"":"""&amp;INDEX('Match Day Reports'!$C:$C,$AW28+4+COLUMNS($AX$20:BF28))&amp;""",""status"":"""&amp;INDEX('Match Day Reports'!$D:$D,$AW28+4+COLUMNS($AX$20:BF28))&amp;""",""pos"":"""&amp;INDEX('Match Day Reports'!$E:$E,$AW28+4+COLUMNS($AX$20:BF28))&amp;""",""pos2"":"""&amp;INDEX('Match Day Reports'!$F:$F,$AW28+4+COLUMNS($AX$20:BF28))&amp;""",""goals"":"&amp;N(INDEX('Match Day Reports'!$G:$G,$AW28+4+COLUMNS($AX$20:BF28)))&amp;",""assists"":"&amp;N(INDEX('Match Day Reports'!$H:$H,$AW28+4+COLUMNS($AX$20:BF28)))&amp;",""rating"":"&amp;N(INDEX('Match Day Reports'!$I:$I,$AW28+4+COLUMNS($AX$20:BF28)))&amp;"}")</f>
        <v/>
      </c>
      <c r="BG28" t="str" cm="1">
        <f t="array" ref="BG28">IF(INDEX('Match Day Reports'!$C:$C,$AW28+4+COLUMNS($AX$20:BG28))="","","{""name"":"""&amp;INDEX('Match Day Reports'!$C:$C,$AW28+4+COLUMNS($AX$20:BG28))&amp;""",""status"":"""&amp;INDEX('Match Day Reports'!$D:$D,$AW28+4+COLUMNS($AX$20:BG28))&amp;""",""pos"":"""&amp;INDEX('Match Day Reports'!$E:$E,$AW28+4+COLUMNS($AX$20:BG28))&amp;""",""pos2"":"""&amp;INDEX('Match Day Reports'!$F:$F,$AW28+4+COLUMNS($AX$20:BG28))&amp;""",""goals"":"&amp;N(INDEX('Match Day Reports'!$G:$G,$AW28+4+COLUMNS($AX$20:BG28)))&amp;",""assists"":"&amp;N(INDEX('Match Day Reports'!$H:$H,$AW28+4+COLUMNS($AX$20:BG28)))&amp;",""rating"":"&amp;N(INDEX('Match Day Reports'!$I:$I,$AW28+4+COLUMNS($AX$20:BG28)))&amp;"}")</f>
        <v/>
      </c>
      <c r="BH28" t="str" cm="1">
        <f t="array" ref="BH28">IF(INDEX('Match Day Reports'!$C:$C,$AW28+4+COLUMNS($AX$20:BH28))="","","{""name"":"""&amp;INDEX('Match Day Reports'!$C:$C,$AW28+4+COLUMNS($AX$20:BH28))&amp;""",""status"":"""&amp;INDEX('Match Day Reports'!$D:$D,$AW28+4+COLUMNS($AX$20:BH28))&amp;""",""pos"":"""&amp;INDEX('Match Day Reports'!$E:$E,$AW28+4+COLUMNS($AX$20:BH28))&amp;""",""pos2"":"""&amp;INDEX('Match Day Reports'!$F:$F,$AW28+4+COLUMNS($AX$20:BH28))&amp;""",""goals"":"&amp;N(INDEX('Match Day Reports'!$G:$G,$AW28+4+COLUMNS($AX$20:BH28)))&amp;",""assists"":"&amp;N(INDEX('Match Day Reports'!$H:$H,$AW28+4+COLUMNS($AX$20:BH28)))&amp;",""rating"":"&amp;N(INDEX('Match Day Reports'!$I:$I,$AW28+4+COLUMNS($AX$20:BH28)))&amp;"}")</f>
        <v/>
      </c>
      <c r="BI28" t="str" cm="1">
        <f t="array" ref="BI28">IF(INDEX('Match Day Reports'!$C:$C,$AW28+4+COLUMNS($AX$20:BI28))="","","{""name"":"""&amp;INDEX('Match Day Reports'!$C:$C,$AW28+4+COLUMNS($AX$20:BI28))&amp;""",""status"":"""&amp;INDEX('Match Day Reports'!$D:$D,$AW28+4+COLUMNS($AX$20:BI28))&amp;""",""pos"":"""&amp;INDEX('Match Day Reports'!$E:$E,$AW28+4+COLUMNS($AX$20:BI28))&amp;""",""pos2"":"""&amp;INDEX('Match Day Reports'!$F:$F,$AW28+4+COLUMNS($AX$20:BI28))&amp;""",""goals"":"&amp;N(INDEX('Match Day Reports'!$G:$G,$AW28+4+COLUMNS($AX$20:BI28)))&amp;",""assists"":"&amp;N(INDEX('Match Day Reports'!$H:$H,$AW28+4+COLUMNS($AX$20:BI28)))&amp;",""rating"":"&amp;N(INDEX('Match Day Reports'!$I:$I,$AW28+4+COLUMNS($AX$20:BI28)))&amp;"}")</f>
        <v/>
      </c>
      <c r="BJ28" t="str" cm="1">
        <f t="array" ref="BJ28">IF(INDEX('Match Day Reports'!$C:$C,$AW28+4+COLUMNS($AX$20:BJ28))="","","{""name"":"""&amp;INDEX('Match Day Reports'!$C:$C,$AW28+4+COLUMNS($AX$20:BJ28))&amp;""",""status"":"""&amp;INDEX('Match Day Reports'!$D:$D,$AW28+4+COLUMNS($AX$20:BJ28))&amp;""",""pos"":"""&amp;INDEX('Match Day Reports'!$E:$E,$AW28+4+COLUMNS($AX$20:BJ28))&amp;""",""pos2"":"""&amp;INDEX('Match Day Reports'!$F:$F,$AW28+4+COLUMNS($AX$20:BJ28))&amp;""",""goals"":"&amp;N(INDEX('Match Day Reports'!$G:$G,$AW28+4+COLUMNS($AX$20:BJ28)))&amp;",""assists"":"&amp;N(INDEX('Match Day Reports'!$H:$H,$AW28+4+COLUMNS($AX$20:BJ28)))&amp;",""rating"":"&amp;N(INDEX('Match Day Reports'!$I:$I,$AW28+4+COLUMNS($AX$20:BJ28)))&amp;"}")</f>
        <v/>
      </c>
      <c r="BK28" t="str" cm="1">
        <f t="array" ref="BK28">IF(INDEX('Match Day Reports'!$C:$C,$AW28+4+COLUMNS($AX$20:BK28))="","","{""name"":"""&amp;INDEX('Match Day Reports'!$C:$C,$AW28+4+COLUMNS($AX$20:BK28))&amp;""",""status"":"""&amp;INDEX('Match Day Reports'!$D:$D,$AW28+4+COLUMNS($AX$20:BK28))&amp;""",""pos"":"""&amp;INDEX('Match Day Reports'!$E:$E,$AW28+4+COLUMNS($AX$20:BK28))&amp;""",""pos2"":"""&amp;INDEX('Match Day Reports'!$F:$F,$AW28+4+COLUMNS($AX$20:BK28))&amp;""",""goals"":"&amp;N(INDEX('Match Day Reports'!$G:$G,$AW28+4+COLUMNS($AX$20:BK28)))&amp;",""assists"":"&amp;N(INDEX('Match Day Reports'!$H:$H,$AW28+4+COLUMNS($AX$20:BK28)))&amp;",""rating"":"&amp;N(INDEX('Match Day Reports'!$I:$I,$AW28+4+COLUMNS($AX$20:BK28)))&amp;"}")</f>
        <v/>
      </c>
      <c r="BL28" t="str" cm="1">
        <f t="array" ref="BL28">IF(INDEX('Match Day Reports'!$C:$C,$AW28+4+COLUMNS($AX$20:BL28))="","","{""name"":"""&amp;INDEX('Match Day Reports'!$C:$C,$AW28+4+COLUMNS($AX$20:BL28))&amp;""",""status"":"""&amp;INDEX('Match Day Reports'!$D:$D,$AW28+4+COLUMNS($AX$20:BL28))&amp;""",""pos"":"""&amp;INDEX('Match Day Reports'!$E:$E,$AW28+4+COLUMNS($AX$20:BL28))&amp;""",""pos2"":"""&amp;INDEX('Match Day Reports'!$F:$F,$AW28+4+COLUMNS($AX$20:BL28))&amp;""",""goals"":"&amp;N(INDEX('Match Day Reports'!$G:$G,$AW28+4+COLUMNS($AX$20:BL28)))&amp;",""assists"":"&amp;N(INDEX('Match Day Reports'!$H:$H,$AW28+4+COLUMNS($AX$20:BL28)))&amp;",""rating"":"&amp;N(INDEX('Match Day Reports'!$I:$I,$AW28+4+COLUMNS($AX$20:BL28)))&amp;"}")</f>
        <v/>
      </c>
      <c r="BM28" t="str" cm="1">
        <f t="array" ref="BM28">IF(INDEX('Match Day Reports'!$C:$C,$AW28+4+COLUMNS($AX$20:BM28))="","","{""name"":"""&amp;INDEX('Match Day Reports'!$C:$C,$AW28+4+COLUMNS($AX$20:BM28))&amp;""",""status"":"""&amp;INDEX('Match Day Reports'!$D:$D,$AW28+4+COLUMNS($AX$20:BM28))&amp;""",""pos"":"""&amp;INDEX('Match Day Reports'!$E:$E,$AW28+4+COLUMNS($AX$20:BM28))&amp;""",""pos2"":"""&amp;INDEX('Match Day Reports'!$F:$F,$AW28+4+COLUMNS($AX$20:BM28))&amp;""",""goals"":"&amp;N(INDEX('Match Day Reports'!$G:$G,$AW28+4+COLUMNS($AX$20:BM28)))&amp;",""assists"":"&amp;N(INDEX('Match Day Reports'!$H:$H,$AW28+4+COLUMNS($AX$20:BM28)))&amp;",""rating"":"&amp;N(INDEX('Match Day Reports'!$I:$I,$AW28+4+COLUMNS($AX$20:BM28)))&amp;"}")</f>
        <v/>
      </c>
      <c r="BN28" t="str" cm="1">
        <f t="array" ref="BN28">IF(INDEX('Match Day Reports'!$C:$C,$AW28+4+COLUMNS($AX$20:BN28))="","","{""name"":"""&amp;INDEX('Match Day Reports'!$C:$C,$AW28+4+COLUMNS($AX$20:BN28))&amp;""",""status"":"""&amp;INDEX('Match Day Reports'!$D:$D,$AW28+4+COLUMNS($AX$20:BN28))&amp;""",""pos"":"""&amp;INDEX('Match Day Reports'!$E:$E,$AW28+4+COLUMNS($AX$20:BN28))&amp;""",""pos2"":"""&amp;INDEX('Match Day Reports'!$F:$F,$AW28+4+COLUMNS($AX$20:BN28))&amp;""",""goals"":"&amp;N(INDEX('Match Day Reports'!$G:$G,$AW28+4+COLUMNS($AX$20:BN28)))&amp;",""assists"":"&amp;N(INDEX('Match Day Reports'!$H:$H,$AW28+4+COLUMNS($AX$20:BN28)))&amp;",""rating"":"&amp;N(INDEX('Match Day Reports'!$I:$I,$AW28+4+COLUMNS($AX$20:BN28)))&amp;"}")</f>
        <v/>
      </c>
      <c r="BO28" t="str" cm="1">
        <f t="array" ref="BO28">IF(INDEX('Match Day Reports'!$C:$C,$AW28+4+COLUMNS($AX$20:BO28))="","","{""name"":"""&amp;INDEX('Match Day Reports'!$C:$C,$AW28+4+COLUMNS($AX$20:BO28))&amp;""",""status"":"""&amp;INDEX('Match Day Reports'!$D:$D,$AW28+4+COLUMNS($AX$20:BO28))&amp;""",""pos"":"""&amp;INDEX('Match Day Reports'!$E:$E,$AW28+4+COLUMNS($AX$20:BO28))&amp;""",""pos2"":"""&amp;INDEX('Match Day Reports'!$F:$F,$AW28+4+COLUMNS($AX$20:BO28))&amp;""",""goals"":"&amp;N(INDEX('Match Day Reports'!$G:$G,$AW28+4+COLUMNS($AX$20:BO28)))&amp;",""assists"":"&amp;N(INDEX('Match Day Reports'!$H:$H,$AW28+4+COLUMNS($AX$20:BO28)))&amp;",""rating"":"&amp;N(INDEX('Match Day Reports'!$I:$I,$AW28+4+COLUMNS($AX$20:BO28)))&amp;"}")</f>
        <v/>
      </c>
      <c r="BQ28" t="str">
        <f>IF('Team Selection'!$F154="","","{""slot"":"&amp;'Team Selection'!$B154&amp;",""position"":"""&amp;'Team Selection'!$C154&amp;""",""player"":"""&amp;'Team Selection'!$F154&amp;""",""fitScore"":"&amp;ROUND(N('Team Selection'!$G154),2)&amp;",""seasonScore"":"&amp;ROUND(N('Team Selection'!$H154),4)&amp;",""overallGrade"":"&amp;ROUND(N('Team Selection'!$I154),2)&amp;"}")</f>
        <v>{"slot":9,"position":"CM","player":"Tara Brannigan","fitScore":12.68,"seasonScore":0.7667,"overallGrade":11.73}</v>
      </c>
      <c r="BS28" t="str">
        <f>IF('Team Selection'!$F168="","","{""slot"":"&amp;'Team Selection'!$B168&amp;",""position"":"""&amp;'Team Selection'!$C168&amp;""",""player"":"""&amp;'Team Selection'!$F168&amp;""",""fitScore"":"&amp;ROUND(N('Team Selection'!$G168),2)&amp;",""seasonScore"":"&amp;ROUND(N('Team Selection'!$H168),4)&amp;",""overallGrade"":"&amp;ROUND(N('Team Selection'!$I168),2)&amp;"}")</f>
        <v>{"slot":9,"position":"RW","player":"Rama Abuowda","fitScore":14.53,"seasonScore":0.7667,"overallGrade":13.63}</v>
      </c>
      <c r="BU28" t="str">
        <f>IF('Team Selection'!$C182="","","{""player"":"""&amp;'Team Selection'!$C182&amp;""",""position"":"""&amp;'Team Selection'!$D182&amp;""",""overallGrade"":"&amp;ROUND(N('Team Selection'!$E182),2)&amp;",""seasonScore"":"&amp;ROUND(N('Team Selection'!$F182),4)&amp;",""status"":"""&amp;'Team Selection'!$G182&amp;"""}")</f>
        <v/>
      </c>
      <c r="BW28" t="str">
        <f>IF('Team Selection'!$C205="","","{""player"":"""&amp;'Team Selection'!$C205&amp;""",""position"":"""&amp;'Team Selection'!$D205&amp;""",""overallGrade"":"&amp;ROUND(N('Team Selection'!$E205),2)&amp;",""seasonScore"":"&amp;ROUND(N('Team Selection'!$F205),4)&amp;",""status"":"""&amp;'Team Selection'!$G205&amp;"""}")</f>
        <v/>
      </c>
      <c r="BZ28" cm="1">
        <f t="array" ref="BZ28">IF(Attendance!$D13="","",SUMPRODUCT((Attendance!$E$4:$CN$4="Att")*(Attendance!$E13:$CN13&lt;&gt;"")))</f>
        <v>3</v>
      </c>
      <c r="CA28" cm="1">
        <f t="array" ref="CA28">IF(Attendance!$D13="","",SUMPRODUCT((Attendance!$CP$4:$FY$4="Att")*((Attendance!$CP13:$FY13&lt;&gt;"")+(Attendance!$CQ13:$FZ13&lt;&gt;"")+(Attendance!$CR13:$GA13&lt;&gt;"")+(Attendance!$CS13:$GB13&lt;&gt;"")&gt;0)))</f>
        <v>1</v>
      </c>
    </row>
    <row r="29" spans="1:79" x14ac:dyDescent="0.45">
      <c r="A29" s="318" t="str">
        <f>Workings!$S10</f>
        <v>Not Ready for 90 min</v>
      </c>
      <c r="B29" s="319">
        <f>Workings!$V10</f>
        <v>6</v>
      </c>
      <c r="C29" s="138" t="str">
        <f t="shared" si="2"/>
        <v/>
      </c>
      <c r="D29" s="138" t="str">
        <f t="shared" si="3"/>
        <v>-</v>
      </c>
      <c r="E29" s="315">
        <f t="shared" si="4"/>
        <v>0</v>
      </c>
      <c r="F29" s="315" t="str">
        <f t="shared" si="5"/>
        <v/>
      </c>
      <c r="J29" t="str">
        <f>IF(Attendance!$D14="","","{""number"":"&amp;Attendance!$C14&amp;",""name"":"""&amp;Attendance!$D14&amp;""",""position"":"""&amp;'Player Grading'!$D15&amp;""",""availability"":"""&amp;'Team Selection'!$E73&amp;""",""unavailableReason"":"""&amp;'Team Selection'!$F73&amp;""",""trainingAttendancePct"":"&amp;ROUND(N(Attendance!$GC14),4)&amp;",""avgWorkRate"":"&amp;ROUND(N(Attendance!$GD14),2)&amp;",""matchdayAttendancePct"":"&amp;ROUND(N(Attendance!$GH14),4)&amp;",""minutes"":"&amp;N(Attendance!$GI14)&amp;",""avgMinutes"":"&amp;ROUND(N(Attendance!$GJ14),1)&amp;",""avgRating"":"&amp;ROUND(N(Attendance!$GK14),2)&amp;",""motm"":"&amp;N(Attendance!$GM14)&amp;",""seasonScore"":"&amp;ROUND(N(Attendance!$GN14),4)&amp;",""comment"":"""&amp;Attendance!$GR14&amp;""",""toWorkOn"":"""&amp;Attendance!$GS14&amp;""",""sessions"":["&amp;$X29&amp;"],""matches"":["&amp;$Z29&amp;"]}")</f>
        <v>{"number":10,"name":"Semilore Adesanya","position":"CB / CM","availability":"Yes","unavailableReason":"","trainingAttendancePct":0.6667,"avgWorkRate":3.5,"matchdayAttendancePct":0,"minutes":0,"avgMinutes":0,"avgRating":8.5,"motm":0,"seasonScore":0.6861,"comment":"","toWorkOn":"","sessions":[[1,3],[0,0],[1,4]],"matches":[[-1,0,8.5,0]]}</v>
      </c>
      <c r="L29" t="str">
        <f>IF(Workings!$AE15="","","{""gw"":"&amp;Workings!$AD15&amp;",""date"":"""&amp;TEXT(Workings!$AE15,"yyyy-mm-dd")&amp;""",""opponent"":"""&amp;Workings!$AF15&amp;""",""venue"":"""&amp;Workings!$AG15&amp;""",""gf"":"&amp;N(Workings!$AH15)&amp;",""ga"":"&amp;N(Workings!$AI15)&amp;",""result"":"""&amp;Workings!$AJ15&amp;"""}")</f>
        <v/>
      </c>
      <c r="N29" t="str">
        <f t="array" ref="N29">IF(LEN(INDEX(Attendance!$E$3:$CN$3,1,(10-1)*2+1))=0,"","{""index"":10,""gw"":5,""date"":"""&amp;TEXT(INDEX(Attendance!$E$3:$CN$3,1,(10-1)*2+1),"yyyy-mm-dd")&amp;"""}")</f>
        <v/>
      </c>
      <c r="R29" t="str">
        <f>IF('Team Selection'!$D34="","","{""slot"":"&amp;'Team Selection'!$B34&amp;",""position"":"""&amp;'Team Selection'!$C34&amp;""",""player"":"""&amp;'Team Selection'!$D34&amp;""",""fitScore"":"&amp;ROUND(N('Team Selection'!$E34),2)&amp;",""seasonScore"":"&amp;ROUND(N('Team Selection'!$F34),4)&amp;",""overallGrade"":"&amp;ROUND(N('Team Selection'!$G34),2)&amp;"}")</f>
        <v>{"slot":10,"position":"ST","player":"Zara Freeman","fitScore":12.86,"seasonScore":0.6278,"overallGrade":11.86}</v>
      </c>
      <c r="T29" t="str">
        <f>IF('Team Selection'!$C49="","","{""player"":"""&amp;'Team Selection'!$C49&amp;""",""position"":"""&amp;'Team Selection'!$D49&amp;""",""overallGrade"":"&amp;ROUND(N('Team Selection'!$E49),2)&amp;",""seasonScore"":"&amp;ROUND(N('Team Selection'!$F49),4)&amp;",""status"":"""&amp;'Team Selection'!$G49&amp;"""}")</f>
        <v/>
      </c>
      <c r="V29" t="str">
        <f>IF(OR('Team Selection'!$C73="",'Team Selection'!$E73="Yes"),"","{""player"":"""&amp;'Team Selection'!$C73&amp;""",""reason"":"""&amp;'Team Selection'!$F73&amp;"""}")</f>
        <v/>
      </c>
      <c r="X29" t="str" cm="1">
        <f t="array" ref="X29">IF(Attendance!$D14="","",_xlfn.TEXTJOIN(",",TRUE(),IF((Attendance!$E$4:$CN$4="Att")*((COLUMN(Attendance!$E$4:$CN$4)-COLUMN(Attendance!$E$4))/2+1&lt;=$BZ$41),"["&amp;IF(Attendance!$E14:$CN14="Yes",1,0)&amp;","&amp;IF(Attendance!$F14:$CO14="",0,Attendance!$F14:$CO14)&amp;"]","")))</f>
        <v>[1,3],[0,0],[1,4]</v>
      </c>
      <c r="Z29" t="str" cm="1">
        <f t="array" ref="Z29">IF(Attendance!$D14="","",_xlfn.TEXTJOIN(",",TRUE(),IF((Attendance!$CP$4:$FY$4="Att")*((COLUMN(Attendance!$CP$4:$FY$4)-COLUMN(Attendance!$CP$4))/4+1&lt;=$BZ$42),"["&amp;IF(Attendance!$CP14:$FY14="Yes",1,IF(Attendance!$CP14:$FY14="No",0,-1))&amp;","&amp;IF(Attendance!$CQ14:$FZ14="",0,Attendance!$CQ14:$FZ14)&amp;","&amp;IF(Attendance!$CR14:$GA14="",0,Attendance!$CR14:$GA14)&amp;","&amp;IF(Attendance!$CS14:$GB14="Yes",1,0)&amp;"]","")))</f>
        <v>[-1,0,8.5,0]</v>
      </c>
      <c r="AB29" t="str" cm="1">
        <f t="array" ref="AB29">IF(AND(INDEX('Match Day Reports'!$C:$C,$AW29+2)="",COUNTIF($AX29:$BO29,"?*")=0),"","{""gw"":"&amp;ROWS($AB$20:AB29)&amp;",""date"":"""&amp;IF(INDEX('Match Day Reports'!$B:$B,$AW29+2)="","",TEXT(INDEX('Match Day Reports'!$B:$B,$AW29+2),"yyyy-mm-dd"))&amp;""""&amp;",""opponent"":"""&amp;INDEX('Match Day Reports'!$C:$C,$AW29+2)&amp;""""&amp;",""venue"":"""&amp;INDEX('Match Day Reports'!$D:$D,$AW29+2)&amp;""""&amp;",""gf"":"&amp;N(INDEX('Match Day Reports'!$E:$E,$AW29+2))&amp;",""ga"":"&amp;N(INDEX('Match Day Reports'!$F:$F,$AW29+2))&amp;",""result"":"""&amp;INDEX('Match Day Reports'!$G:$G,$AW29+2)&amp;""""&amp;",""motm"":"""&amp;INDEX('Match Day Reports'!$H:$H,$AW29+2)&amp;""""&amp;",""xi"":["&amp;_xlfn.TEXTJOIN(",",TRUE(),$AX29:$BH29)&amp;"]"&amp;",""subs"":["&amp;_xlfn.TEXTJOIN(",",TRUE(),$BI29:$BO29)&amp;"]"&amp;",""matchNotes"":"""&amp;SUBSTITUTE(SUBSTITUTE(INDEX('Match Day Reports'!$C:$C,$AW29+24),"""","'"),CHAR(10)," ")&amp;""""&amp;",""keyNotes"":"""&amp;SUBSTITUTE(SUBSTITUTE(INDEX('Match Day Reports'!$C:$C,$AW29+25),"""","'"),CHAR(10)," ")&amp;""""&amp;"}")</f>
        <v/>
      </c>
      <c r="AD29" t="str">
        <f>IF(Workings!$AO15="","","{""name"":"""&amp;Workings!$AO15&amp;""",""rank"":"&amp;N(Workings!$AX15)&amp;",""sessionsAttended"":"&amp;N(Workings!$AP15)&amp;",""sessionsHeld"":"&amp;N(Workings!$AQ15)&amp;",""attendancePct"":"&amp;ROUND(N(Workings!$AR15),4)&amp;",""avgWorkRate"":"&amp;ROUND(N(Workings!$AS15),2)&amp;",""gradePct"":"&amp;ROUND(N(Workings!$AT15),4)&amp;",""readinessBand"":"""&amp;Workings!$AU15&amp;"""}")</f>
        <v>{"name":"Semilore Adesanya","rank":6,"sessionsAttended":7,"sessionsHeld":11,"attendancePct":0.6364,"avgWorkRate":3.57,"gradePct":0.6182,"readinessBand":"Match Ready"}</v>
      </c>
      <c r="AL29" t="str" cm="1">
        <f t="array" ref="AL29">IF($AT29="","","{""rank"":10,""name"":"""&amp;INDEX(Dashboard!$C$93:$C$112,$AT29)&amp;""",""goals"":"&amp;N(INDEX(Dashboard!$G$93:$G$112,$AT29))&amp;",""assists"":"&amp;N(INDEX(Dashboard!$H$93:$H$112,$AT29))&amp;",""apps"":"&amp;N(INDEX(Dashboard!$F$93:$F$112,$AT29))&amp;"}")</f>
        <v/>
      </c>
      <c r="AN29" t="str" cm="1">
        <f t="array" ref="AN29">IF($AV29="","","{""rank"":10,""name"":"""&amp;INDEX(Dashboard!$C$93:$C$112,$AV29)&amp;""",""assists"":"&amp;N(INDEX(Dashboard!$H$93:$H$112,$AV29))&amp;",""goals"":"&amp;N(INDEX(Dashboard!$G$93:$G$112,$AV29))&amp;",""apps"":"&amp;N(INDEX(Dashboard!$F$93:$F$112,$AV29))&amp;"}")</f>
        <v/>
      </c>
      <c r="AP29">
        <f>IF(Dashboard!$C102="","",N(Dashboard!$G102)*1000-ROW())</f>
        <v>971</v>
      </c>
      <c r="AR29">
        <f>IF(Dashboard!$C102="","",N(Dashboard!$H102)*1000-ROW())</f>
        <v>971</v>
      </c>
      <c r="AT29" t="str">
        <f>IFERROR(IF(LARGE($AP$20:$AP$39,10)&lt;=0,"",MATCH(LARGE($AP$20:$AP$39,10),$AP$20:$AP$39,0)),"")</f>
        <v/>
      </c>
      <c r="AV29" t="str">
        <f>IFERROR(IF(LARGE($AR$20:$AR$39,10)&lt;=0,"",MATCH(LARGE($AR$20:$AR$39,10),$AR$20:$AR$39,0)),"")</f>
        <v/>
      </c>
      <c r="AW29">
        <f>80+(ROWS($AW$20:AW29)-1)*27</f>
        <v>323</v>
      </c>
      <c r="AX29" t="str" cm="1">
        <f t="array" ref="AX29">IF(INDEX('Match Day Reports'!$C:$C,$AW29+4+COLUMNS($AX$20:AX29))="","","{""name"":"""&amp;INDEX('Match Day Reports'!$C:$C,$AW29+4+COLUMNS($AX$20:AX29))&amp;""",""status"":"""&amp;INDEX('Match Day Reports'!$D:$D,$AW29+4+COLUMNS($AX$20:AX29))&amp;""",""pos"":"""&amp;INDEX('Match Day Reports'!$E:$E,$AW29+4+COLUMNS($AX$20:AX29))&amp;""",""pos2"":"""&amp;INDEX('Match Day Reports'!$F:$F,$AW29+4+COLUMNS($AX$20:AX29))&amp;""",""goals"":"&amp;N(INDEX('Match Day Reports'!$G:$G,$AW29+4+COLUMNS($AX$20:AX29)))&amp;",""assists"":"&amp;N(INDEX('Match Day Reports'!$H:$H,$AW29+4+COLUMNS($AX$20:AX29)))&amp;",""rating"":"&amp;N(INDEX('Match Day Reports'!$I:$I,$AW29+4+COLUMNS($AX$20:AX29)))&amp;"}")</f>
        <v/>
      </c>
      <c r="AY29" t="str" cm="1">
        <f t="array" ref="AY29">IF(INDEX('Match Day Reports'!$C:$C,$AW29+4+COLUMNS($AX$20:AY29))="","","{""name"":"""&amp;INDEX('Match Day Reports'!$C:$C,$AW29+4+COLUMNS($AX$20:AY29))&amp;""",""status"":"""&amp;INDEX('Match Day Reports'!$D:$D,$AW29+4+COLUMNS($AX$20:AY29))&amp;""",""pos"":"""&amp;INDEX('Match Day Reports'!$E:$E,$AW29+4+COLUMNS($AX$20:AY29))&amp;""",""pos2"":"""&amp;INDEX('Match Day Reports'!$F:$F,$AW29+4+COLUMNS($AX$20:AY29))&amp;""",""goals"":"&amp;N(INDEX('Match Day Reports'!$G:$G,$AW29+4+COLUMNS($AX$20:AY29)))&amp;",""assists"":"&amp;N(INDEX('Match Day Reports'!$H:$H,$AW29+4+COLUMNS($AX$20:AY29)))&amp;",""rating"":"&amp;N(INDEX('Match Day Reports'!$I:$I,$AW29+4+COLUMNS($AX$20:AY29)))&amp;"}")</f>
        <v/>
      </c>
      <c r="AZ29" t="str" cm="1">
        <f t="array" ref="AZ29">IF(INDEX('Match Day Reports'!$C:$C,$AW29+4+COLUMNS($AX$20:AZ29))="","","{""name"":"""&amp;INDEX('Match Day Reports'!$C:$C,$AW29+4+COLUMNS($AX$20:AZ29))&amp;""",""status"":"""&amp;INDEX('Match Day Reports'!$D:$D,$AW29+4+COLUMNS($AX$20:AZ29))&amp;""",""pos"":"""&amp;INDEX('Match Day Reports'!$E:$E,$AW29+4+COLUMNS($AX$20:AZ29))&amp;""",""pos2"":"""&amp;INDEX('Match Day Reports'!$F:$F,$AW29+4+COLUMNS($AX$20:AZ29))&amp;""",""goals"":"&amp;N(INDEX('Match Day Reports'!$G:$G,$AW29+4+COLUMNS($AX$20:AZ29)))&amp;",""assists"":"&amp;N(INDEX('Match Day Reports'!$H:$H,$AW29+4+COLUMNS($AX$20:AZ29)))&amp;",""rating"":"&amp;N(INDEX('Match Day Reports'!$I:$I,$AW29+4+COLUMNS($AX$20:AZ29)))&amp;"}")</f>
        <v/>
      </c>
      <c r="BA29" t="str" cm="1">
        <f t="array" ref="BA29">IF(INDEX('Match Day Reports'!$C:$C,$AW29+4+COLUMNS($AX$20:BA29))="","","{""name"":"""&amp;INDEX('Match Day Reports'!$C:$C,$AW29+4+COLUMNS($AX$20:BA29))&amp;""",""status"":"""&amp;INDEX('Match Day Reports'!$D:$D,$AW29+4+COLUMNS($AX$20:BA29))&amp;""",""pos"":"""&amp;INDEX('Match Day Reports'!$E:$E,$AW29+4+COLUMNS($AX$20:BA29))&amp;""",""pos2"":"""&amp;INDEX('Match Day Reports'!$F:$F,$AW29+4+COLUMNS($AX$20:BA29))&amp;""",""goals"":"&amp;N(INDEX('Match Day Reports'!$G:$G,$AW29+4+COLUMNS($AX$20:BA29)))&amp;",""assists"":"&amp;N(INDEX('Match Day Reports'!$H:$H,$AW29+4+COLUMNS($AX$20:BA29)))&amp;",""rating"":"&amp;N(INDEX('Match Day Reports'!$I:$I,$AW29+4+COLUMNS($AX$20:BA29)))&amp;"}")</f>
        <v/>
      </c>
      <c r="BB29" t="str" cm="1">
        <f t="array" ref="BB29">IF(INDEX('Match Day Reports'!$C:$C,$AW29+4+COLUMNS($AX$20:BB29))="","","{""name"":"""&amp;INDEX('Match Day Reports'!$C:$C,$AW29+4+COLUMNS($AX$20:BB29))&amp;""",""status"":"""&amp;INDEX('Match Day Reports'!$D:$D,$AW29+4+COLUMNS($AX$20:BB29))&amp;""",""pos"":"""&amp;INDEX('Match Day Reports'!$E:$E,$AW29+4+COLUMNS($AX$20:BB29))&amp;""",""pos2"":"""&amp;INDEX('Match Day Reports'!$F:$F,$AW29+4+COLUMNS($AX$20:BB29))&amp;""",""goals"":"&amp;N(INDEX('Match Day Reports'!$G:$G,$AW29+4+COLUMNS($AX$20:BB29)))&amp;",""assists"":"&amp;N(INDEX('Match Day Reports'!$H:$H,$AW29+4+COLUMNS($AX$20:BB29)))&amp;",""rating"":"&amp;N(INDEX('Match Day Reports'!$I:$I,$AW29+4+COLUMNS($AX$20:BB29)))&amp;"}")</f>
        <v/>
      </c>
      <c r="BC29" t="str" cm="1">
        <f t="array" ref="BC29">IF(INDEX('Match Day Reports'!$C:$C,$AW29+4+COLUMNS($AX$20:BC29))="","","{""name"":"""&amp;INDEX('Match Day Reports'!$C:$C,$AW29+4+COLUMNS($AX$20:BC29))&amp;""",""status"":"""&amp;INDEX('Match Day Reports'!$D:$D,$AW29+4+COLUMNS($AX$20:BC29))&amp;""",""pos"":"""&amp;INDEX('Match Day Reports'!$E:$E,$AW29+4+COLUMNS($AX$20:BC29))&amp;""",""pos2"":"""&amp;INDEX('Match Day Reports'!$F:$F,$AW29+4+COLUMNS($AX$20:BC29))&amp;""",""goals"":"&amp;N(INDEX('Match Day Reports'!$G:$G,$AW29+4+COLUMNS($AX$20:BC29)))&amp;",""assists"":"&amp;N(INDEX('Match Day Reports'!$H:$H,$AW29+4+COLUMNS($AX$20:BC29)))&amp;",""rating"":"&amp;N(INDEX('Match Day Reports'!$I:$I,$AW29+4+COLUMNS($AX$20:BC29)))&amp;"}")</f>
        <v/>
      </c>
      <c r="BD29" t="str" cm="1">
        <f t="array" ref="BD29">IF(INDEX('Match Day Reports'!$C:$C,$AW29+4+COLUMNS($AX$20:BD29))="","","{""name"":"""&amp;INDEX('Match Day Reports'!$C:$C,$AW29+4+COLUMNS($AX$20:BD29))&amp;""",""status"":"""&amp;INDEX('Match Day Reports'!$D:$D,$AW29+4+COLUMNS($AX$20:BD29))&amp;""",""pos"":"""&amp;INDEX('Match Day Reports'!$E:$E,$AW29+4+COLUMNS($AX$20:BD29))&amp;""",""pos2"":"""&amp;INDEX('Match Day Reports'!$F:$F,$AW29+4+COLUMNS($AX$20:BD29))&amp;""",""goals"":"&amp;N(INDEX('Match Day Reports'!$G:$G,$AW29+4+COLUMNS($AX$20:BD29)))&amp;",""assists"":"&amp;N(INDEX('Match Day Reports'!$H:$H,$AW29+4+COLUMNS($AX$20:BD29)))&amp;",""rating"":"&amp;N(INDEX('Match Day Reports'!$I:$I,$AW29+4+COLUMNS($AX$20:BD29)))&amp;"}")</f>
        <v/>
      </c>
      <c r="BE29" t="str" cm="1">
        <f t="array" ref="BE29">IF(INDEX('Match Day Reports'!$C:$C,$AW29+4+COLUMNS($AX$20:BE29))="","","{""name"":"""&amp;INDEX('Match Day Reports'!$C:$C,$AW29+4+COLUMNS($AX$20:BE29))&amp;""",""status"":"""&amp;INDEX('Match Day Reports'!$D:$D,$AW29+4+COLUMNS($AX$20:BE29))&amp;""",""pos"":"""&amp;INDEX('Match Day Reports'!$E:$E,$AW29+4+COLUMNS($AX$20:BE29))&amp;""",""pos2"":"""&amp;INDEX('Match Day Reports'!$F:$F,$AW29+4+COLUMNS($AX$20:BE29))&amp;""",""goals"":"&amp;N(INDEX('Match Day Reports'!$G:$G,$AW29+4+COLUMNS($AX$20:BE29)))&amp;",""assists"":"&amp;N(INDEX('Match Day Reports'!$H:$H,$AW29+4+COLUMNS($AX$20:BE29)))&amp;",""rating"":"&amp;N(INDEX('Match Day Reports'!$I:$I,$AW29+4+COLUMNS($AX$20:BE29)))&amp;"}")</f>
        <v/>
      </c>
      <c r="BF29" t="str" cm="1">
        <f t="array" ref="BF29">IF(INDEX('Match Day Reports'!$C:$C,$AW29+4+COLUMNS($AX$20:BF29))="","","{""name"":"""&amp;INDEX('Match Day Reports'!$C:$C,$AW29+4+COLUMNS($AX$20:BF29))&amp;""",""status"":"""&amp;INDEX('Match Day Reports'!$D:$D,$AW29+4+COLUMNS($AX$20:BF29))&amp;""",""pos"":"""&amp;INDEX('Match Day Reports'!$E:$E,$AW29+4+COLUMNS($AX$20:BF29))&amp;""",""pos2"":"""&amp;INDEX('Match Day Reports'!$F:$F,$AW29+4+COLUMNS($AX$20:BF29))&amp;""",""goals"":"&amp;N(INDEX('Match Day Reports'!$G:$G,$AW29+4+COLUMNS($AX$20:BF29)))&amp;",""assists"":"&amp;N(INDEX('Match Day Reports'!$H:$H,$AW29+4+COLUMNS($AX$20:BF29)))&amp;",""rating"":"&amp;N(INDEX('Match Day Reports'!$I:$I,$AW29+4+COLUMNS($AX$20:BF29)))&amp;"}")</f>
        <v/>
      </c>
      <c r="BG29" t="str" cm="1">
        <f t="array" ref="BG29">IF(INDEX('Match Day Reports'!$C:$C,$AW29+4+COLUMNS($AX$20:BG29))="","","{""name"":"""&amp;INDEX('Match Day Reports'!$C:$C,$AW29+4+COLUMNS($AX$20:BG29))&amp;""",""status"":"""&amp;INDEX('Match Day Reports'!$D:$D,$AW29+4+COLUMNS($AX$20:BG29))&amp;""",""pos"":"""&amp;INDEX('Match Day Reports'!$E:$E,$AW29+4+COLUMNS($AX$20:BG29))&amp;""",""pos2"":"""&amp;INDEX('Match Day Reports'!$F:$F,$AW29+4+COLUMNS($AX$20:BG29))&amp;""",""goals"":"&amp;N(INDEX('Match Day Reports'!$G:$G,$AW29+4+COLUMNS($AX$20:BG29)))&amp;",""assists"":"&amp;N(INDEX('Match Day Reports'!$H:$H,$AW29+4+COLUMNS($AX$20:BG29)))&amp;",""rating"":"&amp;N(INDEX('Match Day Reports'!$I:$I,$AW29+4+COLUMNS($AX$20:BG29)))&amp;"}")</f>
        <v/>
      </c>
      <c r="BH29" t="str" cm="1">
        <f t="array" ref="BH29">IF(INDEX('Match Day Reports'!$C:$C,$AW29+4+COLUMNS($AX$20:BH29))="","","{""name"":"""&amp;INDEX('Match Day Reports'!$C:$C,$AW29+4+COLUMNS($AX$20:BH29))&amp;""",""status"":"""&amp;INDEX('Match Day Reports'!$D:$D,$AW29+4+COLUMNS($AX$20:BH29))&amp;""",""pos"":"""&amp;INDEX('Match Day Reports'!$E:$E,$AW29+4+COLUMNS($AX$20:BH29))&amp;""",""pos2"":"""&amp;INDEX('Match Day Reports'!$F:$F,$AW29+4+COLUMNS($AX$20:BH29))&amp;""",""goals"":"&amp;N(INDEX('Match Day Reports'!$G:$G,$AW29+4+COLUMNS($AX$20:BH29)))&amp;",""assists"":"&amp;N(INDEX('Match Day Reports'!$H:$H,$AW29+4+COLUMNS($AX$20:BH29)))&amp;",""rating"":"&amp;N(INDEX('Match Day Reports'!$I:$I,$AW29+4+COLUMNS($AX$20:BH29)))&amp;"}")</f>
        <v/>
      </c>
      <c r="BI29" t="str" cm="1">
        <f t="array" ref="BI29">IF(INDEX('Match Day Reports'!$C:$C,$AW29+4+COLUMNS($AX$20:BI29))="","","{""name"":"""&amp;INDEX('Match Day Reports'!$C:$C,$AW29+4+COLUMNS($AX$20:BI29))&amp;""",""status"":"""&amp;INDEX('Match Day Reports'!$D:$D,$AW29+4+COLUMNS($AX$20:BI29))&amp;""",""pos"":"""&amp;INDEX('Match Day Reports'!$E:$E,$AW29+4+COLUMNS($AX$20:BI29))&amp;""",""pos2"":"""&amp;INDEX('Match Day Reports'!$F:$F,$AW29+4+COLUMNS($AX$20:BI29))&amp;""",""goals"":"&amp;N(INDEX('Match Day Reports'!$G:$G,$AW29+4+COLUMNS($AX$20:BI29)))&amp;",""assists"":"&amp;N(INDEX('Match Day Reports'!$H:$H,$AW29+4+COLUMNS($AX$20:BI29)))&amp;",""rating"":"&amp;N(INDEX('Match Day Reports'!$I:$I,$AW29+4+COLUMNS($AX$20:BI29)))&amp;"}")</f>
        <v/>
      </c>
      <c r="BJ29" t="str" cm="1">
        <f t="array" ref="BJ29">IF(INDEX('Match Day Reports'!$C:$C,$AW29+4+COLUMNS($AX$20:BJ29))="","","{""name"":"""&amp;INDEX('Match Day Reports'!$C:$C,$AW29+4+COLUMNS($AX$20:BJ29))&amp;""",""status"":"""&amp;INDEX('Match Day Reports'!$D:$D,$AW29+4+COLUMNS($AX$20:BJ29))&amp;""",""pos"":"""&amp;INDEX('Match Day Reports'!$E:$E,$AW29+4+COLUMNS($AX$20:BJ29))&amp;""",""pos2"":"""&amp;INDEX('Match Day Reports'!$F:$F,$AW29+4+COLUMNS($AX$20:BJ29))&amp;""",""goals"":"&amp;N(INDEX('Match Day Reports'!$G:$G,$AW29+4+COLUMNS($AX$20:BJ29)))&amp;",""assists"":"&amp;N(INDEX('Match Day Reports'!$H:$H,$AW29+4+COLUMNS($AX$20:BJ29)))&amp;",""rating"":"&amp;N(INDEX('Match Day Reports'!$I:$I,$AW29+4+COLUMNS($AX$20:BJ29)))&amp;"}")</f>
        <v/>
      </c>
      <c r="BK29" t="str" cm="1">
        <f t="array" ref="BK29">IF(INDEX('Match Day Reports'!$C:$C,$AW29+4+COLUMNS($AX$20:BK29))="","","{""name"":"""&amp;INDEX('Match Day Reports'!$C:$C,$AW29+4+COLUMNS($AX$20:BK29))&amp;""",""status"":"""&amp;INDEX('Match Day Reports'!$D:$D,$AW29+4+COLUMNS($AX$20:BK29))&amp;""",""pos"":"""&amp;INDEX('Match Day Reports'!$E:$E,$AW29+4+COLUMNS($AX$20:BK29))&amp;""",""pos2"":"""&amp;INDEX('Match Day Reports'!$F:$F,$AW29+4+COLUMNS($AX$20:BK29))&amp;""",""goals"":"&amp;N(INDEX('Match Day Reports'!$G:$G,$AW29+4+COLUMNS($AX$20:BK29)))&amp;",""assists"":"&amp;N(INDEX('Match Day Reports'!$H:$H,$AW29+4+COLUMNS($AX$20:BK29)))&amp;",""rating"":"&amp;N(INDEX('Match Day Reports'!$I:$I,$AW29+4+COLUMNS($AX$20:BK29)))&amp;"}")</f>
        <v/>
      </c>
      <c r="BL29" t="str" cm="1">
        <f t="array" ref="BL29">IF(INDEX('Match Day Reports'!$C:$C,$AW29+4+COLUMNS($AX$20:BL29))="","","{""name"":"""&amp;INDEX('Match Day Reports'!$C:$C,$AW29+4+COLUMNS($AX$20:BL29))&amp;""",""status"":"""&amp;INDEX('Match Day Reports'!$D:$D,$AW29+4+COLUMNS($AX$20:BL29))&amp;""",""pos"":"""&amp;INDEX('Match Day Reports'!$E:$E,$AW29+4+COLUMNS($AX$20:BL29))&amp;""",""pos2"":"""&amp;INDEX('Match Day Reports'!$F:$F,$AW29+4+COLUMNS($AX$20:BL29))&amp;""",""goals"":"&amp;N(INDEX('Match Day Reports'!$G:$G,$AW29+4+COLUMNS($AX$20:BL29)))&amp;",""assists"":"&amp;N(INDEX('Match Day Reports'!$H:$H,$AW29+4+COLUMNS($AX$20:BL29)))&amp;",""rating"":"&amp;N(INDEX('Match Day Reports'!$I:$I,$AW29+4+COLUMNS($AX$20:BL29)))&amp;"}")</f>
        <v/>
      </c>
      <c r="BM29" t="str" cm="1">
        <f t="array" ref="BM29">IF(INDEX('Match Day Reports'!$C:$C,$AW29+4+COLUMNS($AX$20:BM29))="","","{""name"":"""&amp;INDEX('Match Day Reports'!$C:$C,$AW29+4+COLUMNS($AX$20:BM29))&amp;""",""status"":"""&amp;INDEX('Match Day Reports'!$D:$D,$AW29+4+COLUMNS($AX$20:BM29))&amp;""",""pos"":"""&amp;INDEX('Match Day Reports'!$E:$E,$AW29+4+COLUMNS($AX$20:BM29))&amp;""",""pos2"":"""&amp;INDEX('Match Day Reports'!$F:$F,$AW29+4+COLUMNS($AX$20:BM29))&amp;""",""goals"":"&amp;N(INDEX('Match Day Reports'!$G:$G,$AW29+4+COLUMNS($AX$20:BM29)))&amp;",""assists"":"&amp;N(INDEX('Match Day Reports'!$H:$H,$AW29+4+COLUMNS($AX$20:BM29)))&amp;",""rating"":"&amp;N(INDEX('Match Day Reports'!$I:$I,$AW29+4+COLUMNS($AX$20:BM29)))&amp;"}")</f>
        <v/>
      </c>
      <c r="BN29" t="str" cm="1">
        <f t="array" ref="BN29">IF(INDEX('Match Day Reports'!$C:$C,$AW29+4+COLUMNS($AX$20:BN29))="","","{""name"":"""&amp;INDEX('Match Day Reports'!$C:$C,$AW29+4+COLUMNS($AX$20:BN29))&amp;""",""status"":"""&amp;INDEX('Match Day Reports'!$D:$D,$AW29+4+COLUMNS($AX$20:BN29))&amp;""",""pos"":"""&amp;INDEX('Match Day Reports'!$E:$E,$AW29+4+COLUMNS($AX$20:BN29))&amp;""",""pos2"":"""&amp;INDEX('Match Day Reports'!$F:$F,$AW29+4+COLUMNS($AX$20:BN29))&amp;""",""goals"":"&amp;N(INDEX('Match Day Reports'!$G:$G,$AW29+4+COLUMNS($AX$20:BN29)))&amp;",""assists"":"&amp;N(INDEX('Match Day Reports'!$H:$H,$AW29+4+COLUMNS($AX$20:BN29)))&amp;",""rating"":"&amp;N(INDEX('Match Day Reports'!$I:$I,$AW29+4+COLUMNS($AX$20:BN29)))&amp;"}")</f>
        <v/>
      </c>
      <c r="BO29" t="str" cm="1">
        <f t="array" ref="BO29">IF(INDEX('Match Day Reports'!$C:$C,$AW29+4+COLUMNS($AX$20:BO29))="","","{""name"":"""&amp;INDEX('Match Day Reports'!$C:$C,$AW29+4+COLUMNS($AX$20:BO29))&amp;""",""status"":"""&amp;INDEX('Match Day Reports'!$D:$D,$AW29+4+COLUMNS($AX$20:BO29))&amp;""",""pos"":"""&amp;INDEX('Match Day Reports'!$E:$E,$AW29+4+COLUMNS($AX$20:BO29))&amp;""",""pos2"":"""&amp;INDEX('Match Day Reports'!$F:$F,$AW29+4+COLUMNS($AX$20:BO29))&amp;""",""goals"":"&amp;N(INDEX('Match Day Reports'!$G:$G,$AW29+4+COLUMNS($AX$20:BO29)))&amp;",""assists"":"&amp;N(INDEX('Match Day Reports'!$H:$H,$AW29+4+COLUMNS($AX$20:BO29)))&amp;",""rating"":"&amp;N(INDEX('Match Day Reports'!$I:$I,$AW29+4+COLUMNS($AX$20:BO29)))&amp;"}")</f>
        <v/>
      </c>
      <c r="BQ29" t="str">
        <f>IF('Team Selection'!$F155="","","{""slot"":"&amp;'Team Selection'!$B155&amp;",""position"":"""&amp;'Team Selection'!$C155&amp;""",""player"":"""&amp;'Team Selection'!$F155&amp;""",""fitScore"":"&amp;ROUND(N('Team Selection'!$G155),2)&amp;",""seasonScore"":"&amp;ROUND(N('Team Selection'!$H155),4)&amp;",""overallGrade"":"&amp;ROUND(N('Team Selection'!$I155),2)&amp;"}")</f>
        <v>{"slot":10,"position":"ST","player":"Zara Freeman","fitScore":12.86,"seasonScore":0.6278,"overallGrade":11.86}</v>
      </c>
      <c r="BS29" t="str">
        <f>IF('Team Selection'!$F169="","","{""slot"":"&amp;'Team Selection'!$B169&amp;",""position"":"""&amp;'Team Selection'!$C169&amp;""",""player"":"""&amp;'Team Selection'!$F169&amp;""",""fitScore"":"&amp;ROUND(N('Team Selection'!$G169),2)&amp;",""seasonScore"":"&amp;ROUND(N('Team Selection'!$H169),4)&amp;",""overallGrade"":"&amp;ROUND(N('Team Selection'!$I169),2)&amp;"}")</f>
        <v>{"slot":10,"position":"ST","player":"Zara Freeman","fitScore":12.86,"seasonScore":0.6278,"overallGrade":11.86}</v>
      </c>
      <c r="BU29" t="str">
        <f>IF('Team Selection'!$C183="","","{""player"":"""&amp;'Team Selection'!$C183&amp;""",""position"":"""&amp;'Team Selection'!$D183&amp;""",""overallGrade"":"&amp;ROUND(N('Team Selection'!$E183),2)&amp;",""seasonScore"":"&amp;ROUND(N('Team Selection'!$F183),4)&amp;",""status"":"""&amp;'Team Selection'!$G183&amp;"""}")</f>
        <v/>
      </c>
      <c r="BW29" t="str">
        <f>IF('Team Selection'!$C206="","","{""player"":"""&amp;'Team Selection'!$C206&amp;""",""position"":"""&amp;'Team Selection'!$D206&amp;""",""overallGrade"":"&amp;ROUND(N('Team Selection'!$E206),2)&amp;",""seasonScore"":"&amp;ROUND(N('Team Selection'!$F206),4)&amp;",""status"":"""&amp;'Team Selection'!$G206&amp;"""}")</f>
        <v/>
      </c>
      <c r="BZ29" cm="1">
        <f t="array" ref="BZ29">IF(Attendance!$D14="","",SUMPRODUCT((Attendance!$E$4:$CN$4="Att")*(Attendance!$E14:$CN14&lt;&gt;"")))</f>
        <v>3</v>
      </c>
      <c r="CA29" cm="1">
        <f t="array" ref="CA29">IF(Attendance!$D14="","",SUMPRODUCT((Attendance!$CP$4:$FY$4="Att")*((Attendance!$CP14:$FY14&lt;&gt;"")+(Attendance!$CQ14:$FZ14&lt;&gt;"")+(Attendance!$CR14:$GA14&lt;&gt;"")+(Attendance!$CS14:$GB14&lt;&gt;"")&gt;0)))</f>
        <v>1</v>
      </c>
    </row>
    <row r="30" spans="1:79" x14ac:dyDescent="0.45">
      <c r="A30" s="320" t="str">
        <f>Workings!$S11</f>
        <v>Match Ready</v>
      </c>
      <c r="B30" s="321">
        <f>Workings!$V11</f>
        <v>1</v>
      </c>
      <c r="C30" s="141" t="str">
        <f t="shared" si="2"/>
        <v/>
      </c>
      <c r="D30" s="141" t="str">
        <f t="shared" si="3"/>
        <v>-</v>
      </c>
      <c r="E30" s="315">
        <f t="shared" si="4"/>
        <v>0</v>
      </c>
      <c r="F30" s="315" t="str">
        <f t="shared" si="5"/>
        <v/>
      </c>
      <c r="J30" t="str">
        <f>IF(Attendance!$D15="","","{""number"":"&amp;Attendance!$C15&amp;",""name"":"""&amp;Attendance!$D15&amp;""",""position"":"""&amp;'Player Grading'!$D16&amp;""",""availability"":"""&amp;'Team Selection'!$E74&amp;""",""unavailableReason"":"""&amp;'Team Selection'!$F74&amp;""",""trainingAttendancePct"":"&amp;ROUND(N(Attendance!$GC15),4)&amp;",""avgWorkRate"":"&amp;ROUND(N(Attendance!$GD15),2)&amp;",""matchdayAttendancePct"":"&amp;ROUND(N(Attendance!$GH15),4)&amp;",""minutes"":"&amp;N(Attendance!$GI15)&amp;",""avgMinutes"":"&amp;ROUND(N(Attendance!$GJ15),1)&amp;",""avgRating"":"&amp;ROUND(N(Attendance!$GK15),2)&amp;",""motm"":"&amp;N(Attendance!$GM15)&amp;",""seasonScore"":"&amp;ROUND(N(Attendance!$GN15),4)&amp;",""comment"":"""&amp;Attendance!$GR15&amp;""",""toWorkOn"":"""&amp;Attendance!$GS15&amp;""",""sessions"":["&amp;$X30&amp;"],""matches"":["&amp;$Z30&amp;"]}")</f>
        <v>{"number":11,"name":"Hannah Fleming","position":"LB / LW","availability":"Yes","unavailableReason":"","trainingAttendancePct":1,"avgWorkRate":3,"matchdayAttendancePct":0,"minutes":0,"avgMinutes":0,"avgRating":8,"motm":0,"seasonScore":0.7667,"comment":"","toWorkOn":"","sessions":[[1,3],[1,3],[1,3]],"matches":[[-1,0,8,0]]}</v>
      </c>
      <c r="L30" t="str">
        <f>IF(Workings!$AE16="","","{""gw"":"&amp;Workings!$AD16&amp;",""date"":"""&amp;TEXT(Workings!$AE16,"yyyy-mm-dd")&amp;""",""opponent"":"""&amp;Workings!$AF16&amp;""",""venue"":"""&amp;Workings!$AG16&amp;""",""gf"":"&amp;N(Workings!$AH16)&amp;",""ga"":"&amp;N(Workings!$AI16)&amp;",""result"":"""&amp;Workings!$AJ16&amp;"""}")</f>
        <v/>
      </c>
      <c r="N30" t="str">
        <f t="array" ref="N30">IF(LEN(INDEX(Attendance!$E$3:$CN$3,1,(11-1)*2+1))=0,"","{""index"":11,""gw"":6,""date"":"""&amp;TEXT(INDEX(Attendance!$E$3:$CN$3,1,(11-1)*2+1),"yyyy-mm-dd")&amp;"""}")</f>
        <v/>
      </c>
      <c r="R30" t="str">
        <f>IF('Team Selection'!$D35="","","{""slot"":"&amp;'Team Selection'!$B35&amp;",""position"":"""&amp;'Team Selection'!$C35&amp;""",""player"":"""&amp;'Team Selection'!$D35&amp;""",""fitScore"":"&amp;ROUND(N('Team Selection'!$E35),2)&amp;",""seasonScore"":"&amp;ROUND(N('Team Selection'!$F35),4)&amp;",""overallGrade"":"&amp;ROUND(N('Team Selection'!$G35),2)&amp;"}")</f>
        <v>{"slot":11,"position":"ST","player":"Amber Kilalee","fitScore":9.57,"seasonScore":0.7667,"overallGrade":9.01}</v>
      </c>
      <c r="T30" t="str">
        <f>IF('Team Selection'!$C50="","","{""player"":"""&amp;'Team Selection'!$C50&amp;""",""position"":"""&amp;'Team Selection'!$D50&amp;""",""overallGrade"":"&amp;ROUND(N('Team Selection'!$E50),2)&amp;",""seasonScore"":"&amp;ROUND(N('Team Selection'!$F50),4)&amp;",""status"":"""&amp;'Team Selection'!$G50&amp;"""}")</f>
        <v/>
      </c>
      <c r="V30" t="str">
        <f>IF(OR('Team Selection'!$C74="",'Team Selection'!$E74="Yes"),"","{""player"":"""&amp;'Team Selection'!$C74&amp;""",""reason"":"""&amp;'Team Selection'!$F74&amp;"""}")</f>
        <v/>
      </c>
      <c r="X30" t="str" cm="1">
        <f t="array" ref="X30">IF(Attendance!$D15="","",_xlfn.TEXTJOIN(",",TRUE(),IF((Attendance!$E$4:$CN$4="Att")*((COLUMN(Attendance!$E$4:$CN$4)-COLUMN(Attendance!$E$4))/2+1&lt;=$BZ$41),"["&amp;IF(Attendance!$E15:$CN15="Yes",1,0)&amp;","&amp;IF(Attendance!$F15:$CO15="",0,Attendance!$F15:$CO15)&amp;"]","")))</f>
        <v>[1,3],[1,3],[1,3]</v>
      </c>
      <c r="Z30" t="str" cm="1">
        <f t="array" ref="Z30">IF(Attendance!$D15="","",_xlfn.TEXTJOIN(",",TRUE(),IF((Attendance!$CP$4:$FY$4="Att")*((COLUMN(Attendance!$CP$4:$FY$4)-COLUMN(Attendance!$CP$4))/4+1&lt;=$BZ$42),"["&amp;IF(Attendance!$CP15:$FY15="Yes",1,IF(Attendance!$CP15:$FY15="No",0,-1))&amp;","&amp;IF(Attendance!$CQ15:$FZ15="",0,Attendance!$CQ15:$FZ15)&amp;","&amp;IF(Attendance!$CR15:$GA15="",0,Attendance!$CR15:$GA15)&amp;","&amp;IF(Attendance!$CS15:$GB15="Yes",1,0)&amp;"]","")))</f>
        <v>[-1,0,8,0]</v>
      </c>
      <c r="AB30" t="str" cm="1">
        <f t="array" ref="AB30">IF(AND(INDEX('Match Day Reports'!$C:$C,$AW30+2)="",COUNTIF($AX30:$BO30,"?*")=0),"","{""gw"":"&amp;ROWS($AB$20:AB30)&amp;",""date"":"""&amp;IF(INDEX('Match Day Reports'!$B:$B,$AW30+2)="","",TEXT(INDEX('Match Day Reports'!$B:$B,$AW30+2),"yyyy-mm-dd"))&amp;""""&amp;",""opponent"":"""&amp;INDEX('Match Day Reports'!$C:$C,$AW30+2)&amp;""""&amp;",""venue"":"""&amp;INDEX('Match Day Reports'!$D:$D,$AW30+2)&amp;""""&amp;",""gf"":"&amp;N(INDEX('Match Day Reports'!$E:$E,$AW30+2))&amp;",""ga"":"&amp;N(INDEX('Match Day Reports'!$F:$F,$AW30+2))&amp;",""result"":"""&amp;INDEX('Match Day Reports'!$G:$G,$AW30+2)&amp;""""&amp;",""motm"":"""&amp;INDEX('Match Day Reports'!$H:$H,$AW30+2)&amp;""""&amp;",""xi"":["&amp;_xlfn.TEXTJOIN(",",TRUE(),$AX30:$BH30)&amp;"]"&amp;",""subs"":["&amp;_xlfn.TEXTJOIN(",",TRUE(),$BI30:$BO30)&amp;"]"&amp;",""matchNotes"":"""&amp;SUBSTITUTE(SUBSTITUTE(INDEX('Match Day Reports'!$C:$C,$AW30+24),"""","'"),CHAR(10)," ")&amp;""""&amp;",""keyNotes"":"""&amp;SUBSTITUTE(SUBSTITUTE(INDEX('Match Day Reports'!$C:$C,$AW30+25),"""","'"),CHAR(10)," ")&amp;""""&amp;"}")</f>
        <v/>
      </c>
      <c r="AD30" t="str">
        <f>IF(Workings!$AO16="","","{""name"":"""&amp;Workings!$AO16&amp;""",""rank"":"&amp;N(Workings!$AX16)&amp;",""sessionsAttended"":"&amp;N(Workings!$AP16)&amp;",""sessionsHeld"":"&amp;N(Workings!$AQ16)&amp;",""attendancePct"":"&amp;ROUND(N(Workings!$AR16),4)&amp;",""avgWorkRate"":"&amp;ROUND(N(Workings!$AS16),2)&amp;",""gradePct"":"&amp;ROUND(N(Workings!$AT16),4)&amp;",""readinessBand"":"""&amp;Workings!$AU16&amp;"""}")</f>
        <v>{"name":"Hannah Fleming","rank":4,"sessionsAttended":8,"sessionsHeld":11,"attendancePct":0.7273,"avgWorkRate":3.25,"gradePct":0.6691,"readinessBand":"Not Ready for 90 min"}</v>
      </c>
      <c r="AP30">
        <f>IF(Dashboard!$C103="","",N(Dashboard!$G103)*1000-ROW())</f>
        <v>-30</v>
      </c>
      <c r="AR30">
        <f>IF(Dashboard!$C103="","",N(Dashboard!$H103)*1000-ROW())</f>
        <v>-30</v>
      </c>
      <c r="AW30">
        <f>80+(ROWS($AW$20:AW30)-1)*27</f>
        <v>350</v>
      </c>
      <c r="AX30" t="str" cm="1">
        <f t="array" ref="AX30">IF(INDEX('Match Day Reports'!$C:$C,$AW30+4+COLUMNS($AX$20:AX30))="","","{""name"":"""&amp;INDEX('Match Day Reports'!$C:$C,$AW30+4+COLUMNS($AX$20:AX30))&amp;""",""status"":"""&amp;INDEX('Match Day Reports'!$D:$D,$AW30+4+COLUMNS($AX$20:AX30))&amp;""",""pos"":"""&amp;INDEX('Match Day Reports'!$E:$E,$AW30+4+COLUMNS($AX$20:AX30))&amp;""",""pos2"":"""&amp;INDEX('Match Day Reports'!$F:$F,$AW30+4+COLUMNS($AX$20:AX30))&amp;""",""goals"":"&amp;N(INDEX('Match Day Reports'!$G:$G,$AW30+4+COLUMNS($AX$20:AX30)))&amp;",""assists"":"&amp;N(INDEX('Match Day Reports'!$H:$H,$AW30+4+COLUMNS($AX$20:AX30)))&amp;",""rating"":"&amp;N(INDEX('Match Day Reports'!$I:$I,$AW30+4+COLUMNS($AX$20:AX30)))&amp;"}")</f>
        <v/>
      </c>
      <c r="AY30" t="str" cm="1">
        <f t="array" ref="AY30">IF(INDEX('Match Day Reports'!$C:$C,$AW30+4+COLUMNS($AX$20:AY30))="","","{""name"":"""&amp;INDEX('Match Day Reports'!$C:$C,$AW30+4+COLUMNS($AX$20:AY30))&amp;""",""status"":"""&amp;INDEX('Match Day Reports'!$D:$D,$AW30+4+COLUMNS($AX$20:AY30))&amp;""",""pos"":"""&amp;INDEX('Match Day Reports'!$E:$E,$AW30+4+COLUMNS($AX$20:AY30))&amp;""",""pos2"":"""&amp;INDEX('Match Day Reports'!$F:$F,$AW30+4+COLUMNS($AX$20:AY30))&amp;""",""goals"":"&amp;N(INDEX('Match Day Reports'!$G:$G,$AW30+4+COLUMNS($AX$20:AY30)))&amp;",""assists"":"&amp;N(INDEX('Match Day Reports'!$H:$H,$AW30+4+COLUMNS($AX$20:AY30)))&amp;",""rating"":"&amp;N(INDEX('Match Day Reports'!$I:$I,$AW30+4+COLUMNS($AX$20:AY30)))&amp;"}")</f>
        <v/>
      </c>
      <c r="AZ30" t="str" cm="1">
        <f t="array" ref="AZ30">IF(INDEX('Match Day Reports'!$C:$C,$AW30+4+COLUMNS($AX$20:AZ30))="","","{""name"":"""&amp;INDEX('Match Day Reports'!$C:$C,$AW30+4+COLUMNS($AX$20:AZ30))&amp;""",""status"":"""&amp;INDEX('Match Day Reports'!$D:$D,$AW30+4+COLUMNS($AX$20:AZ30))&amp;""",""pos"":"""&amp;INDEX('Match Day Reports'!$E:$E,$AW30+4+COLUMNS($AX$20:AZ30))&amp;""",""pos2"":"""&amp;INDEX('Match Day Reports'!$F:$F,$AW30+4+COLUMNS($AX$20:AZ30))&amp;""",""goals"":"&amp;N(INDEX('Match Day Reports'!$G:$G,$AW30+4+COLUMNS($AX$20:AZ30)))&amp;",""assists"":"&amp;N(INDEX('Match Day Reports'!$H:$H,$AW30+4+COLUMNS($AX$20:AZ30)))&amp;",""rating"":"&amp;N(INDEX('Match Day Reports'!$I:$I,$AW30+4+COLUMNS($AX$20:AZ30)))&amp;"}")</f>
        <v/>
      </c>
      <c r="BA30" t="str" cm="1">
        <f t="array" ref="BA30">IF(INDEX('Match Day Reports'!$C:$C,$AW30+4+COLUMNS($AX$20:BA30))="","","{""name"":"""&amp;INDEX('Match Day Reports'!$C:$C,$AW30+4+COLUMNS($AX$20:BA30))&amp;""",""status"":"""&amp;INDEX('Match Day Reports'!$D:$D,$AW30+4+COLUMNS($AX$20:BA30))&amp;""",""pos"":"""&amp;INDEX('Match Day Reports'!$E:$E,$AW30+4+COLUMNS($AX$20:BA30))&amp;""",""pos2"":"""&amp;INDEX('Match Day Reports'!$F:$F,$AW30+4+COLUMNS($AX$20:BA30))&amp;""",""goals"":"&amp;N(INDEX('Match Day Reports'!$G:$G,$AW30+4+COLUMNS($AX$20:BA30)))&amp;",""assists"":"&amp;N(INDEX('Match Day Reports'!$H:$H,$AW30+4+COLUMNS($AX$20:BA30)))&amp;",""rating"":"&amp;N(INDEX('Match Day Reports'!$I:$I,$AW30+4+COLUMNS($AX$20:BA30)))&amp;"}")</f>
        <v/>
      </c>
      <c r="BB30" t="str" cm="1">
        <f t="array" ref="BB30">IF(INDEX('Match Day Reports'!$C:$C,$AW30+4+COLUMNS($AX$20:BB30))="","","{""name"":"""&amp;INDEX('Match Day Reports'!$C:$C,$AW30+4+COLUMNS($AX$20:BB30))&amp;""",""status"":"""&amp;INDEX('Match Day Reports'!$D:$D,$AW30+4+COLUMNS($AX$20:BB30))&amp;""",""pos"":"""&amp;INDEX('Match Day Reports'!$E:$E,$AW30+4+COLUMNS($AX$20:BB30))&amp;""",""pos2"":"""&amp;INDEX('Match Day Reports'!$F:$F,$AW30+4+COLUMNS($AX$20:BB30))&amp;""",""goals"":"&amp;N(INDEX('Match Day Reports'!$G:$G,$AW30+4+COLUMNS($AX$20:BB30)))&amp;",""assists"":"&amp;N(INDEX('Match Day Reports'!$H:$H,$AW30+4+COLUMNS($AX$20:BB30)))&amp;",""rating"":"&amp;N(INDEX('Match Day Reports'!$I:$I,$AW30+4+COLUMNS($AX$20:BB30)))&amp;"}")</f>
        <v/>
      </c>
      <c r="BC30" t="str" cm="1">
        <f t="array" ref="BC30">IF(INDEX('Match Day Reports'!$C:$C,$AW30+4+COLUMNS($AX$20:BC30))="","","{""name"":"""&amp;INDEX('Match Day Reports'!$C:$C,$AW30+4+COLUMNS($AX$20:BC30))&amp;""",""status"":"""&amp;INDEX('Match Day Reports'!$D:$D,$AW30+4+COLUMNS($AX$20:BC30))&amp;""",""pos"":"""&amp;INDEX('Match Day Reports'!$E:$E,$AW30+4+COLUMNS($AX$20:BC30))&amp;""",""pos2"":"""&amp;INDEX('Match Day Reports'!$F:$F,$AW30+4+COLUMNS($AX$20:BC30))&amp;""",""goals"":"&amp;N(INDEX('Match Day Reports'!$G:$G,$AW30+4+COLUMNS($AX$20:BC30)))&amp;",""assists"":"&amp;N(INDEX('Match Day Reports'!$H:$H,$AW30+4+COLUMNS($AX$20:BC30)))&amp;",""rating"":"&amp;N(INDEX('Match Day Reports'!$I:$I,$AW30+4+COLUMNS($AX$20:BC30)))&amp;"}")</f>
        <v/>
      </c>
      <c r="BD30" t="str" cm="1">
        <f t="array" ref="BD30">IF(INDEX('Match Day Reports'!$C:$C,$AW30+4+COLUMNS($AX$20:BD30))="","","{""name"":"""&amp;INDEX('Match Day Reports'!$C:$C,$AW30+4+COLUMNS($AX$20:BD30))&amp;""",""status"":"""&amp;INDEX('Match Day Reports'!$D:$D,$AW30+4+COLUMNS($AX$20:BD30))&amp;""",""pos"":"""&amp;INDEX('Match Day Reports'!$E:$E,$AW30+4+COLUMNS($AX$20:BD30))&amp;""",""pos2"":"""&amp;INDEX('Match Day Reports'!$F:$F,$AW30+4+COLUMNS($AX$20:BD30))&amp;""",""goals"":"&amp;N(INDEX('Match Day Reports'!$G:$G,$AW30+4+COLUMNS($AX$20:BD30)))&amp;",""assists"":"&amp;N(INDEX('Match Day Reports'!$H:$H,$AW30+4+COLUMNS($AX$20:BD30)))&amp;",""rating"":"&amp;N(INDEX('Match Day Reports'!$I:$I,$AW30+4+COLUMNS($AX$20:BD30)))&amp;"}")</f>
        <v/>
      </c>
      <c r="BE30" t="str" cm="1">
        <f t="array" ref="BE30">IF(INDEX('Match Day Reports'!$C:$C,$AW30+4+COLUMNS($AX$20:BE30))="","","{""name"":"""&amp;INDEX('Match Day Reports'!$C:$C,$AW30+4+COLUMNS($AX$20:BE30))&amp;""",""status"":"""&amp;INDEX('Match Day Reports'!$D:$D,$AW30+4+COLUMNS($AX$20:BE30))&amp;""",""pos"":"""&amp;INDEX('Match Day Reports'!$E:$E,$AW30+4+COLUMNS($AX$20:BE30))&amp;""",""pos2"":"""&amp;INDEX('Match Day Reports'!$F:$F,$AW30+4+COLUMNS($AX$20:BE30))&amp;""",""goals"":"&amp;N(INDEX('Match Day Reports'!$G:$G,$AW30+4+COLUMNS($AX$20:BE30)))&amp;",""assists"":"&amp;N(INDEX('Match Day Reports'!$H:$H,$AW30+4+COLUMNS($AX$20:BE30)))&amp;",""rating"":"&amp;N(INDEX('Match Day Reports'!$I:$I,$AW30+4+COLUMNS($AX$20:BE30)))&amp;"}")</f>
        <v/>
      </c>
      <c r="BF30" t="str" cm="1">
        <f t="array" ref="BF30">IF(INDEX('Match Day Reports'!$C:$C,$AW30+4+COLUMNS($AX$20:BF30))="","","{""name"":"""&amp;INDEX('Match Day Reports'!$C:$C,$AW30+4+COLUMNS($AX$20:BF30))&amp;""",""status"":"""&amp;INDEX('Match Day Reports'!$D:$D,$AW30+4+COLUMNS($AX$20:BF30))&amp;""",""pos"":"""&amp;INDEX('Match Day Reports'!$E:$E,$AW30+4+COLUMNS($AX$20:BF30))&amp;""",""pos2"":"""&amp;INDEX('Match Day Reports'!$F:$F,$AW30+4+COLUMNS($AX$20:BF30))&amp;""",""goals"":"&amp;N(INDEX('Match Day Reports'!$G:$G,$AW30+4+COLUMNS($AX$20:BF30)))&amp;",""assists"":"&amp;N(INDEX('Match Day Reports'!$H:$H,$AW30+4+COLUMNS($AX$20:BF30)))&amp;",""rating"":"&amp;N(INDEX('Match Day Reports'!$I:$I,$AW30+4+COLUMNS($AX$20:BF30)))&amp;"}")</f>
        <v/>
      </c>
      <c r="BG30" t="str" cm="1">
        <f t="array" ref="BG30">IF(INDEX('Match Day Reports'!$C:$C,$AW30+4+COLUMNS($AX$20:BG30))="","","{""name"":"""&amp;INDEX('Match Day Reports'!$C:$C,$AW30+4+COLUMNS($AX$20:BG30))&amp;""",""status"":"""&amp;INDEX('Match Day Reports'!$D:$D,$AW30+4+COLUMNS($AX$20:BG30))&amp;""",""pos"":"""&amp;INDEX('Match Day Reports'!$E:$E,$AW30+4+COLUMNS($AX$20:BG30))&amp;""",""pos2"":"""&amp;INDEX('Match Day Reports'!$F:$F,$AW30+4+COLUMNS($AX$20:BG30))&amp;""",""goals"":"&amp;N(INDEX('Match Day Reports'!$G:$G,$AW30+4+COLUMNS($AX$20:BG30)))&amp;",""assists"":"&amp;N(INDEX('Match Day Reports'!$H:$H,$AW30+4+COLUMNS($AX$20:BG30)))&amp;",""rating"":"&amp;N(INDEX('Match Day Reports'!$I:$I,$AW30+4+COLUMNS($AX$20:BG30)))&amp;"}")</f>
        <v/>
      </c>
      <c r="BH30" t="str" cm="1">
        <f t="array" ref="BH30">IF(INDEX('Match Day Reports'!$C:$C,$AW30+4+COLUMNS($AX$20:BH30))="","","{""name"":"""&amp;INDEX('Match Day Reports'!$C:$C,$AW30+4+COLUMNS($AX$20:BH30))&amp;""",""status"":"""&amp;INDEX('Match Day Reports'!$D:$D,$AW30+4+COLUMNS($AX$20:BH30))&amp;""",""pos"":"""&amp;INDEX('Match Day Reports'!$E:$E,$AW30+4+COLUMNS($AX$20:BH30))&amp;""",""pos2"":"""&amp;INDEX('Match Day Reports'!$F:$F,$AW30+4+COLUMNS($AX$20:BH30))&amp;""",""goals"":"&amp;N(INDEX('Match Day Reports'!$G:$G,$AW30+4+COLUMNS($AX$20:BH30)))&amp;",""assists"":"&amp;N(INDEX('Match Day Reports'!$H:$H,$AW30+4+COLUMNS($AX$20:BH30)))&amp;",""rating"":"&amp;N(INDEX('Match Day Reports'!$I:$I,$AW30+4+COLUMNS($AX$20:BH30)))&amp;"}")</f>
        <v/>
      </c>
      <c r="BI30" t="str" cm="1">
        <f t="array" ref="BI30">IF(INDEX('Match Day Reports'!$C:$C,$AW30+4+COLUMNS($AX$20:BI30))="","","{""name"":"""&amp;INDEX('Match Day Reports'!$C:$C,$AW30+4+COLUMNS($AX$20:BI30))&amp;""",""status"":"""&amp;INDEX('Match Day Reports'!$D:$D,$AW30+4+COLUMNS($AX$20:BI30))&amp;""",""pos"":"""&amp;INDEX('Match Day Reports'!$E:$E,$AW30+4+COLUMNS($AX$20:BI30))&amp;""",""pos2"":"""&amp;INDEX('Match Day Reports'!$F:$F,$AW30+4+COLUMNS($AX$20:BI30))&amp;""",""goals"":"&amp;N(INDEX('Match Day Reports'!$G:$G,$AW30+4+COLUMNS($AX$20:BI30)))&amp;",""assists"":"&amp;N(INDEX('Match Day Reports'!$H:$H,$AW30+4+COLUMNS($AX$20:BI30)))&amp;",""rating"":"&amp;N(INDEX('Match Day Reports'!$I:$I,$AW30+4+COLUMNS($AX$20:BI30)))&amp;"}")</f>
        <v/>
      </c>
      <c r="BJ30" t="str" cm="1">
        <f t="array" ref="BJ30">IF(INDEX('Match Day Reports'!$C:$C,$AW30+4+COLUMNS($AX$20:BJ30))="","","{""name"":"""&amp;INDEX('Match Day Reports'!$C:$C,$AW30+4+COLUMNS($AX$20:BJ30))&amp;""",""status"":"""&amp;INDEX('Match Day Reports'!$D:$D,$AW30+4+COLUMNS($AX$20:BJ30))&amp;""",""pos"":"""&amp;INDEX('Match Day Reports'!$E:$E,$AW30+4+COLUMNS($AX$20:BJ30))&amp;""",""pos2"":"""&amp;INDEX('Match Day Reports'!$F:$F,$AW30+4+COLUMNS($AX$20:BJ30))&amp;""",""goals"":"&amp;N(INDEX('Match Day Reports'!$G:$G,$AW30+4+COLUMNS($AX$20:BJ30)))&amp;",""assists"":"&amp;N(INDEX('Match Day Reports'!$H:$H,$AW30+4+COLUMNS($AX$20:BJ30)))&amp;",""rating"":"&amp;N(INDEX('Match Day Reports'!$I:$I,$AW30+4+COLUMNS($AX$20:BJ30)))&amp;"}")</f>
        <v/>
      </c>
      <c r="BK30" t="str" cm="1">
        <f t="array" ref="BK30">IF(INDEX('Match Day Reports'!$C:$C,$AW30+4+COLUMNS($AX$20:BK30))="","","{""name"":"""&amp;INDEX('Match Day Reports'!$C:$C,$AW30+4+COLUMNS($AX$20:BK30))&amp;""",""status"":"""&amp;INDEX('Match Day Reports'!$D:$D,$AW30+4+COLUMNS($AX$20:BK30))&amp;""",""pos"":"""&amp;INDEX('Match Day Reports'!$E:$E,$AW30+4+COLUMNS($AX$20:BK30))&amp;""",""pos2"":"""&amp;INDEX('Match Day Reports'!$F:$F,$AW30+4+COLUMNS($AX$20:BK30))&amp;""",""goals"":"&amp;N(INDEX('Match Day Reports'!$G:$G,$AW30+4+COLUMNS($AX$20:BK30)))&amp;",""assists"":"&amp;N(INDEX('Match Day Reports'!$H:$H,$AW30+4+COLUMNS($AX$20:BK30)))&amp;",""rating"":"&amp;N(INDEX('Match Day Reports'!$I:$I,$AW30+4+COLUMNS($AX$20:BK30)))&amp;"}")</f>
        <v/>
      </c>
      <c r="BL30" t="str" cm="1">
        <f t="array" ref="BL30">IF(INDEX('Match Day Reports'!$C:$C,$AW30+4+COLUMNS($AX$20:BL30))="","","{""name"":"""&amp;INDEX('Match Day Reports'!$C:$C,$AW30+4+COLUMNS($AX$20:BL30))&amp;""",""status"":"""&amp;INDEX('Match Day Reports'!$D:$D,$AW30+4+COLUMNS($AX$20:BL30))&amp;""",""pos"":"""&amp;INDEX('Match Day Reports'!$E:$E,$AW30+4+COLUMNS($AX$20:BL30))&amp;""",""pos2"":"""&amp;INDEX('Match Day Reports'!$F:$F,$AW30+4+COLUMNS($AX$20:BL30))&amp;""",""goals"":"&amp;N(INDEX('Match Day Reports'!$G:$G,$AW30+4+COLUMNS($AX$20:BL30)))&amp;",""assists"":"&amp;N(INDEX('Match Day Reports'!$H:$H,$AW30+4+COLUMNS($AX$20:BL30)))&amp;",""rating"":"&amp;N(INDEX('Match Day Reports'!$I:$I,$AW30+4+COLUMNS($AX$20:BL30)))&amp;"}")</f>
        <v/>
      </c>
      <c r="BM30" t="str" cm="1">
        <f t="array" ref="BM30">IF(INDEX('Match Day Reports'!$C:$C,$AW30+4+COLUMNS($AX$20:BM30))="","","{""name"":"""&amp;INDEX('Match Day Reports'!$C:$C,$AW30+4+COLUMNS($AX$20:BM30))&amp;""",""status"":"""&amp;INDEX('Match Day Reports'!$D:$D,$AW30+4+COLUMNS($AX$20:BM30))&amp;""",""pos"":"""&amp;INDEX('Match Day Reports'!$E:$E,$AW30+4+COLUMNS($AX$20:BM30))&amp;""",""pos2"":"""&amp;INDEX('Match Day Reports'!$F:$F,$AW30+4+COLUMNS($AX$20:BM30))&amp;""",""goals"":"&amp;N(INDEX('Match Day Reports'!$G:$G,$AW30+4+COLUMNS($AX$20:BM30)))&amp;",""assists"":"&amp;N(INDEX('Match Day Reports'!$H:$H,$AW30+4+COLUMNS($AX$20:BM30)))&amp;",""rating"":"&amp;N(INDEX('Match Day Reports'!$I:$I,$AW30+4+COLUMNS($AX$20:BM30)))&amp;"}")</f>
        <v/>
      </c>
      <c r="BN30" t="str" cm="1">
        <f t="array" ref="BN30">IF(INDEX('Match Day Reports'!$C:$C,$AW30+4+COLUMNS($AX$20:BN30))="","","{""name"":"""&amp;INDEX('Match Day Reports'!$C:$C,$AW30+4+COLUMNS($AX$20:BN30))&amp;""",""status"":"""&amp;INDEX('Match Day Reports'!$D:$D,$AW30+4+COLUMNS($AX$20:BN30))&amp;""",""pos"":"""&amp;INDEX('Match Day Reports'!$E:$E,$AW30+4+COLUMNS($AX$20:BN30))&amp;""",""pos2"":"""&amp;INDEX('Match Day Reports'!$F:$F,$AW30+4+COLUMNS($AX$20:BN30))&amp;""",""goals"":"&amp;N(INDEX('Match Day Reports'!$G:$G,$AW30+4+COLUMNS($AX$20:BN30)))&amp;",""assists"":"&amp;N(INDEX('Match Day Reports'!$H:$H,$AW30+4+COLUMNS($AX$20:BN30)))&amp;",""rating"":"&amp;N(INDEX('Match Day Reports'!$I:$I,$AW30+4+COLUMNS($AX$20:BN30)))&amp;"}")</f>
        <v/>
      </c>
      <c r="BO30" t="str" cm="1">
        <f t="array" ref="BO30">IF(INDEX('Match Day Reports'!$C:$C,$AW30+4+COLUMNS($AX$20:BO30))="","","{""name"":"""&amp;INDEX('Match Day Reports'!$C:$C,$AW30+4+COLUMNS($AX$20:BO30))&amp;""",""status"":"""&amp;INDEX('Match Day Reports'!$D:$D,$AW30+4+COLUMNS($AX$20:BO30))&amp;""",""pos"":"""&amp;INDEX('Match Day Reports'!$E:$E,$AW30+4+COLUMNS($AX$20:BO30))&amp;""",""pos2"":"""&amp;INDEX('Match Day Reports'!$F:$F,$AW30+4+COLUMNS($AX$20:BO30))&amp;""",""goals"":"&amp;N(INDEX('Match Day Reports'!$G:$G,$AW30+4+COLUMNS($AX$20:BO30)))&amp;",""assists"":"&amp;N(INDEX('Match Day Reports'!$H:$H,$AW30+4+COLUMNS($AX$20:BO30)))&amp;",""rating"":"&amp;N(INDEX('Match Day Reports'!$I:$I,$AW30+4+COLUMNS($AX$20:BO30)))&amp;"}")</f>
        <v/>
      </c>
      <c r="BQ30" t="str">
        <f>IF('Team Selection'!$F156="","","{""slot"":"&amp;'Team Selection'!$B156&amp;",""position"":"""&amp;'Team Selection'!$C156&amp;""",""player"":"""&amp;'Team Selection'!$F156&amp;""",""fitScore"":"&amp;ROUND(N('Team Selection'!$G156),2)&amp;",""seasonScore"":"&amp;ROUND(N('Team Selection'!$H156),4)&amp;",""overallGrade"":"&amp;ROUND(N('Team Selection'!$I156),2)&amp;"}")</f>
        <v>{"slot":11,"position":"ST","player":"Amber Kilalee","fitScore":9.57,"seasonScore":0.7667,"overallGrade":9.01}</v>
      </c>
      <c r="BS30" t="str">
        <f>IF('Team Selection'!$F170="","","{""slot"":"&amp;'Team Selection'!$B170&amp;",""position"":"""&amp;'Team Selection'!$C170&amp;""",""player"":"""&amp;'Team Selection'!$F170&amp;""",""fitScore"":"&amp;ROUND(N('Team Selection'!$G170),2)&amp;",""seasonScore"":"&amp;ROUND(N('Team Selection'!$H170),4)&amp;",""overallGrade"":"&amp;ROUND(N('Team Selection'!$I170),2)&amp;"}")</f>
        <v>{"slot":11,"position":"LW","player":"Amber Kilalee","fitScore":9.73,"seasonScore":0.7667,"overallGrade":9.01}</v>
      </c>
      <c r="BU30" t="str">
        <f>IF('Team Selection'!$C184="","","{""player"":"""&amp;'Team Selection'!$C184&amp;""",""position"":"""&amp;'Team Selection'!$D184&amp;""",""overallGrade"":"&amp;ROUND(N('Team Selection'!$E184),2)&amp;",""seasonScore"":"&amp;ROUND(N('Team Selection'!$F184),4)&amp;",""status"":"""&amp;'Team Selection'!$G184&amp;"""}")</f>
        <v/>
      </c>
      <c r="BW30" t="str">
        <f>IF('Team Selection'!$C207="","","{""player"":"""&amp;'Team Selection'!$C207&amp;""",""position"":"""&amp;'Team Selection'!$D207&amp;""",""overallGrade"":"&amp;ROUND(N('Team Selection'!$E207),2)&amp;",""seasonScore"":"&amp;ROUND(N('Team Selection'!$F207),4)&amp;",""status"":"""&amp;'Team Selection'!$G207&amp;"""}")</f>
        <v/>
      </c>
      <c r="BZ30" cm="1">
        <f t="array" ref="BZ30">IF(Attendance!$D15="","",SUMPRODUCT((Attendance!$E$4:$CN$4="Att")*(Attendance!$E15:$CN15&lt;&gt;"")))</f>
        <v>3</v>
      </c>
      <c r="CA30" cm="1">
        <f t="array" ref="CA30">IF(Attendance!$D15="","",SUMPRODUCT((Attendance!$CP$4:$FY$4="Att")*((Attendance!$CP15:$FY15&lt;&gt;"")+(Attendance!$CQ15:$FZ15&lt;&gt;"")+(Attendance!$CR15:$GA15&lt;&gt;"")+(Attendance!$CS15:$GB15&lt;&gt;"")&gt;0)))</f>
        <v>1</v>
      </c>
    </row>
    <row r="31" spans="1:79" x14ac:dyDescent="0.45">
      <c r="J31" t="str">
        <f>IF(Attendance!$D16="","","{""number"":"&amp;Attendance!$C16&amp;",""name"":"""&amp;Attendance!$D16&amp;""",""position"":"""&amp;'Player Grading'!$D17&amp;""",""availability"":"""&amp;'Team Selection'!$E75&amp;""",""unavailableReason"":"""&amp;'Team Selection'!$F75&amp;""",""trainingAttendancePct"":"&amp;ROUND(N(Attendance!$GC16),4)&amp;",""avgWorkRate"":"&amp;ROUND(N(Attendance!$GD16),2)&amp;",""matchdayAttendancePct"":"&amp;ROUND(N(Attendance!$GH16),4)&amp;",""minutes"":"&amp;N(Attendance!$GI16)&amp;",""avgMinutes"":"&amp;ROUND(N(Attendance!$GJ16),1)&amp;",""avgRating"":"&amp;ROUND(N(Attendance!$GK16),2)&amp;",""motm"":"&amp;N(Attendance!$GM16)&amp;",""seasonScore"":"&amp;ROUND(N(Attendance!$GN16),4)&amp;",""comment"":"""&amp;Attendance!$GR16&amp;""",""toWorkOn"":"""&amp;Attendance!$GS16&amp;""",""sessions"":["&amp;$X31&amp;"],""matches"":["&amp;$Z31&amp;"]}")</f>
        <v>{"number":12,"name":"Emma Kelly","position":"CB","availability":"Yes","unavailableReason":"","trainingAttendancePct":0.3333,"avgWorkRate":4,"matchdayAttendancePct":0,"minutes":0,"avgMinutes":0,"avgRating":8,"motm":0,"seasonScore":0.6056,"comment":"","toWorkOn":"","sessions":[[0,0],[0,0],[1,4]],"matches":[[-1,0,8,0]]}</v>
      </c>
      <c r="L31" t="str">
        <f>IF(Workings!$AE17="","","{""gw"":"&amp;Workings!$AD17&amp;",""date"":"""&amp;TEXT(Workings!$AE17,"yyyy-mm-dd")&amp;""",""opponent"":"""&amp;Workings!$AF17&amp;""",""venue"":"""&amp;Workings!$AG17&amp;""",""gf"":"&amp;N(Workings!$AH17)&amp;",""ga"":"&amp;N(Workings!$AI17)&amp;",""result"":"""&amp;Workings!$AJ17&amp;"""}")</f>
        <v/>
      </c>
      <c r="N31" t="str">
        <f t="array" ref="N31">IF(LEN(INDEX(Attendance!$E$3:$CN$3,1,(12-1)*2+1))=0,"","{""index"":12,""gw"":6,""date"":"""&amp;TEXT(INDEX(Attendance!$E$3:$CN$3,1,(12-1)*2+1),"yyyy-mm-dd")&amp;"""}")</f>
        <v/>
      </c>
      <c r="T31" t="str">
        <f>IF('Team Selection'!$C51="","","{""player"":"""&amp;'Team Selection'!$C51&amp;""",""position"":"""&amp;'Team Selection'!$D51&amp;""",""overallGrade"":"&amp;ROUND(N('Team Selection'!$E51),2)&amp;",""seasonScore"":"&amp;ROUND(N('Team Selection'!$F51),4)&amp;",""status"":"""&amp;'Team Selection'!$G51&amp;"""}")</f>
        <v/>
      </c>
      <c r="V31" t="str">
        <f>IF(OR('Team Selection'!$C75="",'Team Selection'!$E75="Yes"),"","{""player"":"""&amp;'Team Selection'!$C75&amp;""",""reason"":"""&amp;'Team Selection'!$F75&amp;"""}")</f>
        <v/>
      </c>
      <c r="X31" t="str" cm="1">
        <f t="array" ref="X31">IF(Attendance!$D16="","",_xlfn.TEXTJOIN(",",TRUE(),IF((Attendance!$E$4:$CN$4="Att")*((COLUMN(Attendance!$E$4:$CN$4)-COLUMN(Attendance!$E$4))/2+1&lt;=$BZ$41),"["&amp;IF(Attendance!$E16:$CN16="Yes",1,0)&amp;","&amp;IF(Attendance!$F16:$CO16="",0,Attendance!$F16:$CO16)&amp;"]","")))</f>
        <v>[0,0],[0,0],[1,4]</v>
      </c>
      <c r="Z31" t="str" cm="1">
        <f t="array" ref="Z31">IF(Attendance!$D16="","",_xlfn.TEXTJOIN(",",TRUE(),IF((Attendance!$CP$4:$FY$4="Att")*((COLUMN(Attendance!$CP$4:$FY$4)-COLUMN(Attendance!$CP$4))/4+1&lt;=$BZ$42),"["&amp;IF(Attendance!$CP16:$FY16="Yes",1,IF(Attendance!$CP16:$FY16="No",0,-1))&amp;","&amp;IF(Attendance!$CQ16:$FZ16="",0,Attendance!$CQ16:$FZ16)&amp;","&amp;IF(Attendance!$CR16:$GA16="",0,Attendance!$CR16:$GA16)&amp;","&amp;IF(Attendance!$CS16:$GB16="Yes",1,0)&amp;"]","")))</f>
        <v>[-1,0,8,0]</v>
      </c>
      <c r="AB31" t="str" cm="1">
        <f t="array" ref="AB31">IF(AND(INDEX('Match Day Reports'!$C:$C,$AW31+2)="",COUNTIF($AX31:$BO31,"?*")=0),"","{""gw"":"&amp;ROWS($AB$20:AB31)&amp;",""date"":"""&amp;IF(INDEX('Match Day Reports'!$B:$B,$AW31+2)="","",TEXT(INDEX('Match Day Reports'!$B:$B,$AW31+2),"yyyy-mm-dd"))&amp;""""&amp;",""opponent"":"""&amp;INDEX('Match Day Reports'!$C:$C,$AW31+2)&amp;""""&amp;",""venue"":"""&amp;INDEX('Match Day Reports'!$D:$D,$AW31+2)&amp;""""&amp;",""gf"":"&amp;N(INDEX('Match Day Reports'!$E:$E,$AW31+2))&amp;",""ga"":"&amp;N(INDEX('Match Day Reports'!$F:$F,$AW31+2))&amp;",""result"":"""&amp;INDEX('Match Day Reports'!$G:$G,$AW31+2)&amp;""""&amp;",""motm"":"""&amp;INDEX('Match Day Reports'!$H:$H,$AW31+2)&amp;""""&amp;",""xi"":["&amp;_xlfn.TEXTJOIN(",",TRUE(),$AX31:$BH31)&amp;"]"&amp;",""subs"":["&amp;_xlfn.TEXTJOIN(",",TRUE(),$BI31:$BO31)&amp;"]"&amp;",""matchNotes"":"""&amp;SUBSTITUTE(SUBSTITUTE(INDEX('Match Day Reports'!$C:$C,$AW31+24),"""","'"),CHAR(10)," ")&amp;""""&amp;",""keyNotes"":"""&amp;SUBSTITUTE(SUBSTITUTE(INDEX('Match Day Reports'!$C:$C,$AW31+25),"""","'"),CHAR(10)," ")&amp;""""&amp;"}")</f>
        <v/>
      </c>
      <c r="AD31" t="str">
        <f>IF(Workings!$AO17="","","{""name"":"""&amp;Workings!$AO17&amp;""",""rank"":"&amp;N(Workings!$AX17)&amp;",""sessionsAttended"":"&amp;N(Workings!$AP17)&amp;",""sessionsHeld"":"&amp;N(Workings!$AQ17)&amp;",""attendancePct"":"&amp;ROUND(N(Workings!$AR17),4)&amp;",""avgWorkRate"":"&amp;ROUND(N(Workings!$AS17),2)&amp;",""gradePct"":"&amp;ROUND(N(Workings!$AT17),4)&amp;",""readinessBand"":"""&amp;Workings!$AU17&amp;"""}")</f>
        <v>{"name":"Emma Kelly","rank":9,"sessionsAttended":7,"sessionsHeld":11,"attendancePct":0.6364,"avgWorkRate":3.29,"gradePct":0.5891,"readinessBand":"Not Ready for 90 min"}</v>
      </c>
      <c r="AP31">
        <f>IF(Dashboard!$C104="","",N(Dashboard!$G104)*1000-ROW())</f>
        <v>969</v>
      </c>
      <c r="AR31">
        <f>IF(Dashboard!$C104="","",N(Dashboard!$H104)*1000-ROW())</f>
        <v>-31</v>
      </c>
      <c r="AW31">
        <f>80+(ROWS($AW$20:AW31)-1)*27</f>
        <v>377</v>
      </c>
      <c r="AX31" t="str" cm="1">
        <f t="array" ref="AX31">IF(INDEX('Match Day Reports'!$C:$C,$AW31+4+COLUMNS($AX$20:AX31))="","","{""name"":"""&amp;INDEX('Match Day Reports'!$C:$C,$AW31+4+COLUMNS($AX$20:AX31))&amp;""",""status"":"""&amp;INDEX('Match Day Reports'!$D:$D,$AW31+4+COLUMNS($AX$20:AX31))&amp;""",""pos"":"""&amp;INDEX('Match Day Reports'!$E:$E,$AW31+4+COLUMNS($AX$20:AX31))&amp;""",""pos2"":"""&amp;INDEX('Match Day Reports'!$F:$F,$AW31+4+COLUMNS($AX$20:AX31))&amp;""",""goals"":"&amp;N(INDEX('Match Day Reports'!$G:$G,$AW31+4+COLUMNS($AX$20:AX31)))&amp;",""assists"":"&amp;N(INDEX('Match Day Reports'!$H:$H,$AW31+4+COLUMNS($AX$20:AX31)))&amp;",""rating"":"&amp;N(INDEX('Match Day Reports'!$I:$I,$AW31+4+COLUMNS($AX$20:AX31)))&amp;"}")</f>
        <v/>
      </c>
      <c r="AY31" t="str" cm="1">
        <f t="array" ref="AY31">IF(INDEX('Match Day Reports'!$C:$C,$AW31+4+COLUMNS($AX$20:AY31))="","","{""name"":"""&amp;INDEX('Match Day Reports'!$C:$C,$AW31+4+COLUMNS($AX$20:AY31))&amp;""",""status"":"""&amp;INDEX('Match Day Reports'!$D:$D,$AW31+4+COLUMNS($AX$20:AY31))&amp;""",""pos"":"""&amp;INDEX('Match Day Reports'!$E:$E,$AW31+4+COLUMNS($AX$20:AY31))&amp;""",""pos2"":"""&amp;INDEX('Match Day Reports'!$F:$F,$AW31+4+COLUMNS($AX$20:AY31))&amp;""",""goals"":"&amp;N(INDEX('Match Day Reports'!$G:$G,$AW31+4+COLUMNS($AX$20:AY31)))&amp;",""assists"":"&amp;N(INDEX('Match Day Reports'!$H:$H,$AW31+4+COLUMNS($AX$20:AY31)))&amp;",""rating"":"&amp;N(INDEX('Match Day Reports'!$I:$I,$AW31+4+COLUMNS($AX$20:AY31)))&amp;"}")</f>
        <v/>
      </c>
      <c r="AZ31" t="str" cm="1">
        <f t="array" ref="AZ31">IF(INDEX('Match Day Reports'!$C:$C,$AW31+4+COLUMNS($AX$20:AZ31))="","","{""name"":"""&amp;INDEX('Match Day Reports'!$C:$C,$AW31+4+COLUMNS($AX$20:AZ31))&amp;""",""status"":"""&amp;INDEX('Match Day Reports'!$D:$D,$AW31+4+COLUMNS($AX$20:AZ31))&amp;""",""pos"":"""&amp;INDEX('Match Day Reports'!$E:$E,$AW31+4+COLUMNS($AX$20:AZ31))&amp;""",""pos2"":"""&amp;INDEX('Match Day Reports'!$F:$F,$AW31+4+COLUMNS($AX$20:AZ31))&amp;""",""goals"":"&amp;N(INDEX('Match Day Reports'!$G:$G,$AW31+4+COLUMNS($AX$20:AZ31)))&amp;",""assists"":"&amp;N(INDEX('Match Day Reports'!$H:$H,$AW31+4+COLUMNS($AX$20:AZ31)))&amp;",""rating"":"&amp;N(INDEX('Match Day Reports'!$I:$I,$AW31+4+COLUMNS($AX$20:AZ31)))&amp;"}")</f>
        <v/>
      </c>
      <c r="BA31" t="str" cm="1">
        <f t="array" ref="BA31">IF(INDEX('Match Day Reports'!$C:$C,$AW31+4+COLUMNS($AX$20:BA31))="","","{""name"":"""&amp;INDEX('Match Day Reports'!$C:$C,$AW31+4+COLUMNS($AX$20:BA31))&amp;""",""status"":"""&amp;INDEX('Match Day Reports'!$D:$D,$AW31+4+COLUMNS($AX$20:BA31))&amp;""",""pos"":"""&amp;INDEX('Match Day Reports'!$E:$E,$AW31+4+COLUMNS($AX$20:BA31))&amp;""",""pos2"":"""&amp;INDEX('Match Day Reports'!$F:$F,$AW31+4+COLUMNS($AX$20:BA31))&amp;""",""goals"":"&amp;N(INDEX('Match Day Reports'!$G:$G,$AW31+4+COLUMNS($AX$20:BA31)))&amp;",""assists"":"&amp;N(INDEX('Match Day Reports'!$H:$H,$AW31+4+COLUMNS($AX$20:BA31)))&amp;",""rating"":"&amp;N(INDEX('Match Day Reports'!$I:$I,$AW31+4+COLUMNS($AX$20:BA31)))&amp;"}")</f>
        <v/>
      </c>
      <c r="BB31" t="str" cm="1">
        <f t="array" ref="BB31">IF(INDEX('Match Day Reports'!$C:$C,$AW31+4+COLUMNS($AX$20:BB31))="","","{""name"":"""&amp;INDEX('Match Day Reports'!$C:$C,$AW31+4+COLUMNS($AX$20:BB31))&amp;""",""status"":"""&amp;INDEX('Match Day Reports'!$D:$D,$AW31+4+COLUMNS($AX$20:BB31))&amp;""",""pos"":"""&amp;INDEX('Match Day Reports'!$E:$E,$AW31+4+COLUMNS($AX$20:BB31))&amp;""",""pos2"":"""&amp;INDEX('Match Day Reports'!$F:$F,$AW31+4+COLUMNS($AX$20:BB31))&amp;""",""goals"":"&amp;N(INDEX('Match Day Reports'!$G:$G,$AW31+4+COLUMNS($AX$20:BB31)))&amp;",""assists"":"&amp;N(INDEX('Match Day Reports'!$H:$H,$AW31+4+COLUMNS($AX$20:BB31)))&amp;",""rating"":"&amp;N(INDEX('Match Day Reports'!$I:$I,$AW31+4+COLUMNS($AX$20:BB31)))&amp;"}")</f>
        <v/>
      </c>
      <c r="BC31" t="str" cm="1">
        <f t="array" ref="BC31">IF(INDEX('Match Day Reports'!$C:$C,$AW31+4+COLUMNS($AX$20:BC31))="","","{""name"":"""&amp;INDEX('Match Day Reports'!$C:$C,$AW31+4+COLUMNS($AX$20:BC31))&amp;""",""status"":"""&amp;INDEX('Match Day Reports'!$D:$D,$AW31+4+COLUMNS($AX$20:BC31))&amp;""",""pos"":"""&amp;INDEX('Match Day Reports'!$E:$E,$AW31+4+COLUMNS($AX$20:BC31))&amp;""",""pos2"":"""&amp;INDEX('Match Day Reports'!$F:$F,$AW31+4+COLUMNS($AX$20:BC31))&amp;""",""goals"":"&amp;N(INDEX('Match Day Reports'!$G:$G,$AW31+4+COLUMNS($AX$20:BC31)))&amp;",""assists"":"&amp;N(INDEX('Match Day Reports'!$H:$H,$AW31+4+COLUMNS($AX$20:BC31)))&amp;",""rating"":"&amp;N(INDEX('Match Day Reports'!$I:$I,$AW31+4+COLUMNS($AX$20:BC31)))&amp;"}")</f>
        <v/>
      </c>
      <c r="BD31" t="str" cm="1">
        <f t="array" ref="BD31">IF(INDEX('Match Day Reports'!$C:$C,$AW31+4+COLUMNS($AX$20:BD31))="","","{""name"":"""&amp;INDEX('Match Day Reports'!$C:$C,$AW31+4+COLUMNS($AX$20:BD31))&amp;""",""status"":"""&amp;INDEX('Match Day Reports'!$D:$D,$AW31+4+COLUMNS($AX$20:BD31))&amp;""",""pos"":"""&amp;INDEX('Match Day Reports'!$E:$E,$AW31+4+COLUMNS($AX$20:BD31))&amp;""",""pos2"":"""&amp;INDEX('Match Day Reports'!$F:$F,$AW31+4+COLUMNS($AX$20:BD31))&amp;""",""goals"":"&amp;N(INDEX('Match Day Reports'!$G:$G,$AW31+4+COLUMNS($AX$20:BD31)))&amp;",""assists"":"&amp;N(INDEX('Match Day Reports'!$H:$H,$AW31+4+COLUMNS($AX$20:BD31)))&amp;",""rating"":"&amp;N(INDEX('Match Day Reports'!$I:$I,$AW31+4+COLUMNS($AX$20:BD31)))&amp;"}")</f>
        <v/>
      </c>
      <c r="BE31" t="str" cm="1">
        <f t="array" ref="BE31">IF(INDEX('Match Day Reports'!$C:$C,$AW31+4+COLUMNS($AX$20:BE31))="","","{""name"":"""&amp;INDEX('Match Day Reports'!$C:$C,$AW31+4+COLUMNS($AX$20:BE31))&amp;""",""status"":"""&amp;INDEX('Match Day Reports'!$D:$D,$AW31+4+COLUMNS($AX$20:BE31))&amp;""",""pos"":"""&amp;INDEX('Match Day Reports'!$E:$E,$AW31+4+COLUMNS($AX$20:BE31))&amp;""",""pos2"":"""&amp;INDEX('Match Day Reports'!$F:$F,$AW31+4+COLUMNS($AX$20:BE31))&amp;""",""goals"":"&amp;N(INDEX('Match Day Reports'!$G:$G,$AW31+4+COLUMNS($AX$20:BE31)))&amp;",""assists"":"&amp;N(INDEX('Match Day Reports'!$H:$H,$AW31+4+COLUMNS($AX$20:BE31)))&amp;",""rating"":"&amp;N(INDEX('Match Day Reports'!$I:$I,$AW31+4+COLUMNS($AX$20:BE31)))&amp;"}")</f>
        <v/>
      </c>
      <c r="BF31" t="str" cm="1">
        <f t="array" ref="BF31">IF(INDEX('Match Day Reports'!$C:$C,$AW31+4+COLUMNS($AX$20:BF31))="","","{""name"":"""&amp;INDEX('Match Day Reports'!$C:$C,$AW31+4+COLUMNS($AX$20:BF31))&amp;""",""status"":"""&amp;INDEX('Match Day Reports'!$D:$D,$AW31+4+COLUMNS($AX$20:BF31))&amp;""",""pos"":"""&amp;INDEX('Match Day Reports'!$E:$E,$AW31+4+COLUMNS($AX$20:BF31))&amp;""",""pos2"":"""&amp;INDEX('Match Day Reports'!$F:$F,$AW31+4+COLUMNS($AX$20:BF31))&amp;""",""goals"":"&amp;N(INDEX('Match Day Reports'!$G:$G,$AW31+4+COLUMNS($AX$20:BF31)))&amp;",""assists"":"&amp;N(INDEX('Match Day Reports'!$H:$H,$AW31+4+COLUMNS($AX$20:BF31)))&amp;",""rating"":"&amp;N(INDEX('Match Day Reports'!$I:$I,$AW31+4+COLUMNS($AX$20:BF31)))&amp;"}")</f>
        <v/>
      </c>
      <c r="BG31" t="str" cm="1">
        <f t="array" ref="BG31">IF(INDEX('Match Day Reports'!$C:$C,$AW31+4+COLUMNS($AX$20:BG31))="","","{""name"":"""&amp;INDEX('Match Day Reports'!$C:$C,$AW31+4+COLUMNS($AX$20:BG31))&amp;""",""status"":"""&amp;INDEX('Match Day Reports'!$D:$D,$AW31+4+COLUMNS($AX$20:BG31))&amp;""",""pos"":"""&amp;INDEX('Match Day Reports'!$E:$E,$AW31+4+COLUMNS($AX$20:BG31))&amp;""",""pos2"":"""&amp;INDEX('Match Day Reports'!$F:$F,$AW31+4+COLUMNS($AX$20:BG31))&amp;""",""goals"":"&amp;N(INDEX('Match Day Reports'!$G:$G,$AW31+4+COLUMNS($AX$20:BG31)))&amp;",""assists"":"&amp;N(INDEX('Match Day Reports'!$H:$H,$AW31+4+COLUMNS($AX$20:BG31)))&amp;",""rating"":"&amp;N(INDEX('Match Day Reports'!$I:$I,$AW31+4+COLUMNS($AX$20:BG31)))&amp;"}")</f>
        <v/>
      </c>
      <c r="BH31" t="str" cm="1">
        <f t="array" ref="BH31">IF(INDEX('Match Day Reports'!$C:$C,$AW31+4+COLUMNS($AX$20:BH31))="","","{""name"":"""&amp;INDEX('Match Day Reports'!$C:$C,$AW31+4+COLUMNS($AX$20:BH31))&amp;""",""status"":"""&amp;INDEX('Match Day Reports'!$D:$D,$AW31+4+COLUMNS($AX$20:BH31))&amp;""",""pos"":"""&amp;INDEX('Match Day Reports'!$E:$E,$AW31+4+COLUMNS($AX$20:BH31))&amp;""",""pos2"":"""&amp;INDEX('Match Day Reports'!$F:$F,$AW31+4+COLUMNS($AX$20:BH31))&amp;""",""goals"":"&amp;N(INDEX('Match Day Reports'!$G:$G,$AW31+4+COLUMNS($AX$20:BH31)))&amp;",""assists"":"&amp;N(INDEX('Match Day Reports'!$H:$H,$AW31+4+COLUMNS($AX$20:BH31)))&amp;",""rating"":"&amp;N(INDEX('Match Day Reports'!$I:$I,$AW31+4+COLUMNS($AX$20:BH31)))&amp;"}")</f>
        <v/>
      </c>
      <c r="BI31" t="str" cm="1">
        <f t="array" ref="BI31">IF(INDEX('Match Day Reports'!$C:$C,$AW31+4+COLUMNS($AX$20:BI31))="","","{""name"":"""&amp;INDEX('Match Day Reports'!$C:$C,$AW31+4+COLUMNS($AX$20:BI31))&amp;""",""status"":"""&amp;INDEX('Match Day Reports'!$D:$D,$AW31+4+COLUMNS($AX$20:BI31))&amp;""",""pos"":"""&amp;INDEX('Match Day Reports'!$E:$E,$AW31+4+COLUMNS($AX$20:BI31))&amp;""",""pos2"":"""&amp;INDEX('Match Day Reports'!$F:$F,$AW31+4+COLUMNS($AX$20:BI31))&amp;""",""goals"":"&amp;N(INDEX('Match Day Reports'!$G:$G,$AW31+4+COLUMNS($AX$20:BI31)))&amp;",""assists"":"&amp;N(INDEX('Match Day Reports'!$H:$H,$AW31+4+COLUMNS($AX$20:BI31)))&amp;",""rating"":"&amp;N(INDEX('Match Day Reports'!$I:$I,$AW31+4+COLUMNS($AX$20:BI31)))&amp;"}")</f>
        <v/>
      </c>
      <c r="BJ31" t="str" cm="1">
        <f t="array" ref="BJ31">IF(INDEX('Match Day Reports'!$C:$C,$AW31+4+COLUMNS($AX$20:BJ31))="","","{""name"":"""&amp;INDEX('Match Day Reports'!$C:$C,$AW31+4+COLUMNS($AX$20:BJ31))&amp;""",""status"":"""&amp;INDEX('Match Day Reports'!$D:$D,$AW31+4+COLUMNS($AX$20:BJ31))&amp;""",""pos"":"""&amp;INDEX('Match Day Reports'!$E:$E,$AW31+4+COLUMNS($AX$20:BJ31))&amp;""",""pos2"":"""&amp;INDEX('Match Day Reports'!$F:$F,$AW31+4+COLUMNS($AX$20:BJ31))&amp;""",""goals"":"&amp;N(INDEX('Match Day Reports'!$G:$G,$AW31+4+COLUMNS($AX$20:BJ31)))&amp;",""assists"":"&amp;N(INDEX('Match Day Reports'!$H:$H,$AW31+4+COLUMNS($AX$20:BJ31)))&amp;",""rating"":"&amp;N(INDEX('Match Day Reports'!$I:$I,$AW31+4+COLUMNS($AX$20:BJ31)))&amp;"}")</f>
        <v/>
      </c>
      <c r="BK31" t="str" cm="1">
        <f t="array" ref="BK31">IF(INDEX('Match Day Reports'!$C:$C,$AW31+4+COLUMNS($AX$20:BK31))="","","{""name"":"""&amp;INDEX('Match Day Reports'!$C:$C,$AW31+4+COLUMNS($AX$20:BK31))&amp;""",""status"":"""&amp;INDEX('Match Day Reports'!$D:$D,$AW31+4+COLUMNS($AX$20:BK31))&amp;""",""pos"":"""&amp;INDEX('Match Day Reports'!$E:$E,$AW31+4+COLUMNS($AX$20:BK31))&amp;""",""pos2"":"""&amp;INDEX('Match Day Reports'!$F:$F,$AW31+4+COLUMNS($AX$20:BK31))&amp;""",""goals"":"&amp;N(INDEX('Match Day Reports'!$G:$G,$AW31+4+COLUMNS($AX$20:BK31)))&amp;",""assists"":"&amp;N(INDEX('Match Day Reports'!$H:$H,$AW31+4+COLUMNS($AX$20:BK31)))&amp;",""rating"":"&amp;N(INDEX('Match Day Reports'!$I:$I,$AW31+4+COLUMNS($AX$20:BK31)))&amp;"}")</f>
        <v/>
      </c>
      <c r="BL31" t="str" cm="1">
        <f t="array" ref="BL31">IF(INDEX('Match Day Reports'!$C:$C,$AW31+4+COLUMNS($AX$20:BL31))="","","{""name"":"""&amp;INDEX('Match Day Reports'!$C:$C,$AW31+4+COLUMNS($AX$20:BL31))&amp;""",""status"":"""&amp;INDEX('Match Day Reports'!$D:$D,$AW31+4+COLUMNS($AX$20:BL31))&amp;""",""pos"":"""&amp;INDEX('Match Day Reports'!$E:$E,$AW31+4+COLUMNS($AX$20:BL31))&amp;""",""pos2"":"""&amp;INDEX('Match Day Reports'!$F:$F,$AW31+4+COLUMNS($AX$20:BL31))&amp;""",""goals"":"&amp;N(INDEX('Match Day Reports'!$G:$G,$AW31+4+COLUMNS($AX$20:BL31)))&amp;",""assists"":"&amp;N(INDEX('Match Day Reports'!$H:$H,$AW31+4+COLUMNS($AX$20:BL31)))&amp;",""rating"":"&amp;N(INDEX('Match Day Reports'!$I:$I,$AW31+4+COLUMNS($AX$20:BL31)))&amp;"}")</f>
        <v/>
      </c>
      <c r="BM31" t="str" cm="1">
        <f t="array" ref="BM31">IF(INDEX('Match Day Reports'!$C:$C,$AW31+4+COLUMNS($AX$20:BM31))="","","{""name"":"""&amp;INDEX('Match Day Reports'!$C:$C,$AW31+4+COLUMNS($AX$20:BM31))&amp;""",""status"":"""&amp;INDEX('Match Day Reports'!$D:$D,$AW31+4+COLUMNS($AX$20:BM31))&amp;""",""pos"":"""&amp;INDEX('Match Day Reports'!$E:$E,$AW31+4+COLUMNS($AX$20:BM31))&amp;""",""pos2"":"""&amp;INDEX('Match Day Reports'!$F:$F,$AW31+4+COLUMNS($AX$20:BM31))&amp;""",""goals"":"&amp;N(INDEX('Match Day Reports'!$G:$G,$AW31+4+COLUMNS($AX$20:BM31)))&amp;",""assists"":"&amp;N(INDEX('Match Day Reports'!$H:$H,$AW31+4+COLUMNS($AX$20:BM31)))&amp;",""rating"":"&amp;N(INDEX('Match Day Reports'!$I:$I,$AW31+4+COLUMNS($AX$20:BM31)))&amp;"}")</f>
        <v/>
      </c>
      <c r="BN31" t="str" cm="1">
        <f t="array" ref="BN31">IF(INDEX('Match Day Reports'!$C:$C,$AW31+4+COLUMNS($AX$20:BN31))="","","{""name"":"""&amp;INDEX('Match Day Reports'!$C:$C,$AW31+4+COLUMNS($AX$20:BN31))&amp;""",""status"":"""&amp;INDEX('Match Day Reports'!$D:$D,$AW31+4+COLUMNS($AX$20:BN31))&amp;""",""pos"":"""&amp;INDEX('Match Day Reports'!$E:$E,$AW31+4+COLUMNS($AX$20:BN31))&amp;""",""pos2"":"""&amp;INDEX('Match Day Reports'!$F:$F,$AW31+4+COLUMNS($AX$20:BN31))&amp;""",""goals"":"&amp;N(INDEX('Match Day Reports'!$G:$G,$AW31+4+COLUMNS($AX$20:BN31)))&amp;",""assists"":"&amp;N(INDEX('Match Day Reports'!$H:$H,$AW31+4+COLUMNS($AX$20:BN31)))&amp;",""rating"":"&amp;N(INDEX('Match Day Reports'!$I:$I,$AW31+4+COLUMNS($AX$20:BN31)))&amp;"}")</f>
        <v/>
      </c>
      <c r="BO31" t="str" cm="1">
        <f t="array" ref="BO31">IF(INDEX('Match Day Reports'!$C:$C,$AW31+4+COLUMNS($AX$20:BO31))="","","{""name"":"""&amp;INDEX('Match Day Reports'!$C:$C,$AW31+4+COLUMNS($AX$20:BO31))&amp;""",""status"":"""&amp;INDEX('Match Day Reports'!$D:$D,$AW31+4+COLUMNS($AX$20:BO31))&amp;""",""pos"":"""&amp;INDEX('Match Day Reports'!$E:$E,$AW31+4+COLUMNS($AX$20:BO31))&amp;""",""pos2"":"""&amp;INDEX('Match Day Reports'!$F:$F,$AW31+4+COLUMNS($AX$20:BO31))&amp;""",""goals"":"&amp;N(INDEX('Match Day Reports'!$G:$G,$AW31+4+COLUMNS($AX$20:BO31)))&amp;",""assists"":"&amp;N(INDEX('Match Day Reports'!$H:$H,$AW31+4+COLUMNS($AX$20:BO31)))&amp;",""rating"":"&amp;N(INDEX('Match Day Reports'!$I:$I,$AW31+4+COLUMNS($AX$20:BO31)))&amp;"}")</f>
        <v/>
      </c>
      <c r="BU31" t="str">
        <f>IF('Team Selection'!$C185="","","{""player"":"""&amp;'Team Selection'!$C185&amp;""",""position"":"""&amp;'Team Selection'!$D185&amp;""",""overallGrade"":"&amp;ROUND(N('Team Selection'!$E185),2)&amp;",""seasonScore"":"&amp;ROUND(N('Team Selection'!$F185),4)&amp;",""status"":"""&amp;'Team Selection'!$G185&amp;"""}")</f>
        <v/>
      </c>
      <c r="BW31" t="str">
        <f>IF('Team Selection'!$C208="","","{""player"":"""&amp;'Team Selection'!$C208&amp;""",""position"":"""&amp;'Team Selection'!$D208&amp;""",""overallGrade"":"&amp;ROUND(N('Team Selection'!$E208),2)&amp;",""seasonScore"":"&amp;ROUND(N('Team Selection'!$F208),4)&amp;",""status"":"""&amp;'Team Selection'!$G208&amp;"""}")</f>
        <v/>
      </c>
      <c r="BZ31" cm="1">
        <f t="array" ref="BZ31">IF(Attendance!$D16="","",SUMPRODUCT((Attendance!$E$4:$CN$4="Att")*(Attendance!$E16:$CN16&lt;&gt;"")))</f>
        <v>3</v>
      </c>
      <c r="CA31" cm="1">
        <f t="array" ref="CA31">IF(Attendance!$D16="","",SUMPRODUCT((Attendance!$CP$4:$FY$4="Att")*((Attendance!$CP16:$FY16&lt;&gt;"")+(Attendance!$CQ16:$FZ16&lt;&gt;"")+(Attendance!$CR16:$GA16&lt;&gt;"")+(Attendance!$CS16:$GB16&lt;&gt;"")&gt;0)))</f>
        <v>1</v>
      </c>
    </row>
    <row r="32" spans="1:79" x14ac:dyDescent="0.45">
      <c r="A32" s="290" t="s">
        <v>435</v>
      </c>
      <c r="B32" t="str">
        <f>IF($B$22="","-",IFERROR(MID($B$22,FIND("""generated"":""",$B$22)+13,16),"not found"))</f>
        <v>-</v>
      </c>
      <c r="J32" t="str">
        <f>IF(Attendance!$D17="","","{""number"":"&amp;Attendance!$C17&amp;",""name"":"""&amp;Attendance!$D17&amp;""",""position"":"""&amp;'Player Grading'!$D18&amp;""",""availability"":"""&amp;'Team Selection'!$E76&amp;""",""unavailableReason"":"""&amp;'Team Selection'!$F76&amp;""",""trainingAttendancePct"":"&amp;ROUND(N(Attendance!$GC17),4)&amp;",""avgWorkRate"":"&amp;ROUND(N(Attendance!$GD17),2)&amp;",""matchdayAttendancePct"":"&amp;ROUND(N(Attendance!$GH17),4)&amp;",""minutes"":"&amp;N(Attendance!$GI17)&amp;",""avgMinutes"":"&amp;ROUND(N(Attendance!$GJ17),1)&amp;",""avgRating"":"&amp;ROUND(N(Attendance!$GK17),2)&amp;",""motm"":"&amp;N(Attendance!$GM17)&amp;",""seasonScore"":"&amp;ROUND(N(Attendance!$GN17),4)&amp;",""comment"":"""&amp;Attendance!$GR17&amp;""",""toWorkOn"":"""&amp;Attendance!$GS17&amp;""",""sessions"":["&amp;$X32&amp;"],""matches"":["&amp;$Z32&amp;"]}")</f>
        <v>{"number":13,"name":"Roma Memon","position":"DM / CM","availability":"Yes","unavailableReason":"","trainingAttendancePct":0.6667,"avgWorkRate":3,"matchdayAttendancePct":0,"minutes":0,"avgMinutes":0,"avgRating":6.5,"motm":0,"seasonScore":0.6278,"comment":"","toWorkOn":"","sessions":[[1,3],[0,0],[1,3]],"matches":[[-1,0,6.5,0]]}</v>
      </c>
      <c r="L32" t="str">
        <f>IF(Workings!$AE18="","","{""gw"":"&amp;Workings!$AD18&amp;",""date"":"""&amp;TEXT(Workings!$AE18,"yyyy-mm-dd")&amp;""",""opponent"":"""&amp;Workings!$AF18&amp;""",""venue"":"""&amp;Workings!$AG18&amp;""",""gf"":"&amp;N(Workings!$AH18)&amp;",""ga"":"&amp;N(Workings!$AI18)&amp;",""result"":"""&amp;Workings!$AJ18&amp;"""}")</f>
        <v/>
      </c>
      <c r="N32" t="str">
        <f t="array" ref="N32">IF(LEN(INDEX(Attendance!$E$3:$CN$3,1,(13-1)*2+1))=0,"","{""index"":13,""gw"":7,""date"":"""&amp;TEXT(INDEX(Attendance!$E$3:$CN$3,1,(13-1)*2+1),"yyyy-mm-dd")&amp;"""}")</f>
        <v/>
      </c>
      <c r="T32" t="str">
        <f>IF('Team Selection'!$C52="","","{""player"":"""&amp;'Team Selection'!$C52&amp;""",""position"":"""&amp;'Team Selection'!$D52&amp;""",""overallGrade"":"&amp;ROUND(N('Team Selection'!$E52),2)&amp;",""seasonScore"":"&amp;ROUND(N('Team Selection'!$F52),4)&amp;",""status"":"""&amp;'Team Selection'!$G52&amp;"""}")</f>
        <v/>
      </c>
      <c r="V32" t="str">
        <f>IF(OR('Team Selection'!$C76="",'Team Selection'!$E76="Yes"),"","{""player"":"""&amp;'Team Selection'!$C76&amp;""",""reason"":"""&amp;'Team Selection'!$F76&amp;"""}")</f>
        <v/>
      </c>
      <c r="X32" t="str" cm="1">
        <f t="array" ref="X32">IF(Attendance!$D17="","",_xlfn.TEXTJOIN(",",TRUE(),IF((Attendance!$E$4:$CN$4="Att")*((COLUMN(Attendance!$E$4:$CN$4)-COLUMN(Attendance!$E$4))/2+1&lt;=$BZ$41),"["&amp;IF(Attendance!$E17:$CN17="Yes",1,0)&amp;","&amp;IF(Attendance!$F17:$CO17="",0,Attendance!$F17:$CO17)&amp;"]","")))</f>
        <v>[1,3],[0,0],[1,3]</v>
      </c>
      <c r="Z32" t="str" cm="1">
        <f t="array" ref="Z32">IF(Attendance!$D17="","",_xlfn.TEXTJOIN(",",TRUE(),IF((Attendance!$CP$4:$FY$4="Att")*((COLUMN(Attendance!$CP$4:$FY$4)-COLUMN(Attendance!$CP$4))/4+1&lt;=$BZ$42),"["&amp;IF(Attendance!$CP17:$FY17="Yes",1,IF(Attendance!$CP17:$FY17="No",0,-1))&amp;","&amp;IF(Attendance!$CQ17:$FZ17="",0,Attendance!$CQ17:$FZ17)&amp;","&amp;IF(Attendance!$CR17:$GA17="",0,Attendance!$CR17:$GA17)&amp;","&amp;IF(Attendance!$CS17:$GB17="Yes",1,0)&amp;"]","")))</f>
        <v>[-1,0,6.5,0]</v>
      </c>
      <c r="AB32" t="str" cm="1">
        <f t="array" ref="AB32">IF(AND(INDEX('Match Day Reports'!$C:$C,$AW32+2)="",COUNTIF($AX32:$BO32,"?*")=0),"","{""gw"":"&amp;ROWS($AB$20:AB32)&amp;",""date"":"""&amp;IF(INDEX('Match Day Reports'!$B:$B,$AW32+2)="","",TEXT(INDEX('Match Day Reports'!$B:$B,$AW32+2),"yyyy-mm-dd"))&amp;""""&amp;",""opponent"":"""&amp;INDEX('Match Day Reports'!$C:$C,$AW32+2)&amp;""""&amp;",""venue"":"""&amp;INDEX('Match Day Reports'!$D:$D,$AW32+2)&amp;""""&amp;",""gf"":"&amp;N(INDEX('Match Day Reports'!$E:$E,$AW32+2))&amp;",""ga"":"&amp;N(INDEX('Match Day Reports'!$F:$F,$AW32+2))&amp;",""result"":"""&amp;INDEX('Match Day Reports'!$G:$G,$AW32+2)&amp;""""&amp;",""motm"":"""&amp;INDEX('Match Day Reports'!$H:$H,$AW32+2)&amp;""""&amp;",""xi"":["&amp;_xlfn.TEXTJOIN(",",TRUE(),$AX32:$BH32)&amp;"]"&amp;",""subs"":["&amp;_xlfn.TEXTJOIN(",",TRUE(),$BI32:$BO32)&amp;"]"&amp;",""matchNotes"":"""&amp;SUBSTITUTE(SUBSTITUTE(INDEX('Match Day Reports'!$C:$C,$AW32+24),"""","'"),CHAR(10)," ")&amp;""""&amp;",""keyNotes"":"""&amp;SUBSTITUTE(SUBSTITUTE(INDEX('Match Day Reports'!$C:$C,$AW32+25),"""","'"),CHAR(10)," ")&amp;""""&amp;"}")</f>
        <v/>
      </c>
      <c r="AD32" t="str">
        <f>IF(Workings!$AO18="","","{""name"":"""&amp;Workings!$AO18&amp;""",""rank"":"&amp;N(Workings!$AX18)&amp;",""sessionsAttended"":"&amp;N(Workings!$AP18)&amp;",""sessionsHeld"":"&amp;N(Workings!$AQ18)&amp;",""attendancePct"":"&amp;ROUND(N(Workings!$AR18),4)&amp;",""avgWorkRate"":"&amp;ROUND(N(Workings!$AS18),2)&amp;",""gradePct"":"&amp;ROUND(N(Workings!$AT18),4)&amp;",""readinessBand"":"""&amp;Workings!$AU18&amp;"""}")</f>
        <v>{"name":"Roma Memon","rank":10,"sessionsAttended":7,"sessionsHeld":11,"attendancePct":0.6364,"avgWorkRate":3.29,"gradePct":0.5891,"readinessBand":"Not Ready for 90 min"}</v>
      </c>
      <c r="AP32">
        <f>IF(Dashboard!$C105="","",N(Dashboard!$G105)*1000-ROW())</f>
        <v>-32</v>
      </c>
      <c r="AR32">
        <f>IF(Dashboard!$C105="","",N(Dashboard!$H105)*1000-ROW())</f>
        <v>-32</v>
      </c>
      <c r="AW32">
        <f>80+(ROWS($AW$20:AW32)-1)*27</f>
        <v>404</v>
      </c>
      <c r="AX32" t="str" cm="1">
        <f t="array" ref="AX32">IF(INDEX('Match Day Reports'!$C:$C,$AW32+4+COLUMNS($AX$20:AX32))="","","{""name"":"""&amp;INDEX('Match Day Reports'!$C:$C,$AW32+4+COLUMNS($AX$20:AX32))&amp;""",""status"":"""&amp;INDEX('Match Day Reports'!$D:$D,$AW32+4+COLUMNS($AX$20:AX32))&amp;""",""pos"":"""&amp;INDEX('Match Day Reports'!$E:$E,$AW32+4+COLUMNS($AX$20:AX32))&amp;""",""pos2"":"""&amp;INDEX('Match Day Reports'!$F:$F,$AW32+4+COLUMNS($AX$20:AX32))&amp;""",""goals"":"&amp;N(INDEX('Match Day Reports'!$G:$G,$AW32+4+COLUMNS($AX$20:AX32)))&amp;",""assists"":"&amp;N(INDEX('Match Day Reports'!$H:$H,$AW32+4+COLUMNS($AX$20:AX32)))&amp;",""rating"":"&amp;N(INDEX('Match Day Reports'!$I:$I,$AW32+4+COLUMNS($AX$20:AX32)))&amp;"}")</f>
        <v/>
      </c>
      <c r="AY32" t="str" cm="1">
        <f t="array" ref="AY32">IF(INDEX('Match Day Reports'!$C:$C,$AW32+4+COLUMNS($AX$20:AY32))="","","{""name"":"""&amp;INDEX('Match Day Reports'!$C:$C,$AW32+4+COLUMNS($AX$20:AY32))&amp;""",""status"":"""&amp;INDEX('Match Day Reports'!$D:$D,$AW32+4+COLUMNS($AX$20:AY32))&amp;""",""pos"":"""&amp;INDEX('Match Day Reports'!$E:$E,$AW32+4+COLUMNS($AX$20:AY32))&amp;""",""pos2"":"""&amp;INDEX('Match Day Reports'!$F:$F,$AW32+4+COLUMNS($AX$20:AY32))&amp;""",""goals"":"&amp;N(INDEX('Match Day Reports'!$G:$G,$AW32+4+COLUMNS($AX$20:AY32)))&amp;",""assists"":"&amp;N(INDEX('Match Day Reports'!$H:$H,$AW32+4+COLUMNS($AX$20:AY32)))&amp;",""rating"":"&amp;N(INDEX('Match Day Reports'!$I:$I,$AW32+4+COLUMNS($AX$20:AY32)))&amp;"}")</f>
        <v/>
      </c>
      <c r="AZ32" t="str" cm="1">
        <f t="array" ref="AZ32">IF(INDEX('Match Day Reports'!$C:$C,$AW32+4+COLUMNS($AX$20:AZ32))="","","{""name"":"""&amp;INDEX('Match Day Reports'!$C:$C,$AW32+4+COLUMNS($AX$20:AZ32))&amp;""",""status"":"""&amp;INDEX('Match Day Reports'!$D:$D,$AW32+4+COLUMNS($AX$20:AZ32))&amp;""",""pos"":"""&amp;INDEX('Match Day Reports'!$E:$E,$AW32+4+COLUMNS($AX$20:AZ32))&amp;""",""pos2"":"""&amp;INDEX('Match Day Reports'!$F:$F,$AW32+4+COLUMNS($AX$20:AZ32))&amp;""",""goals"":"&amp;N(INDEX('Match Day Reports'!$G:$G,$AW32+4+COLUMNS($AX$20:AZ32)))&amp;",""assists"":"&amp;N(INDEX('Match Day Reports'!$H:$H,$AW32+4+COLUMNS($AX$20:AZ32)))&amp;",""rating"":"&amp;N(INDEX('Match Day Reports'!$I:$I,$AW32+4+COLUMNS($AX$20:AZ32)))&amp;"}")</f>
        <v/>
      </c>
      <c r="BA32" t="str" cm="1">
        <f t="array" ref="BA32">IF(INDEX('Match Day Reports'!$C:$C,$AW32+4+COLUMNS($AX$20:BA32))="","","{""name"":"""&amp;INDEX('Match Day Reports'!$C:$C,$AW32+4+COLUMNS($AX$20:BA32))&amp;""",""status"":"""&amp;INDEX('Match Day Reports'!$D:$D,$AW32+4+COLUMNS($AX$20:BA32))&amp;""",""pos"":"""&amp;INDEX('Match Day Reports'!$E:$E,$AW32+4+COLUMNS($AX$20:BA32))&amp;""",""pos2"":"""&amp;INDEX('Match Day Reports'!$F:$F,$AW32+4+COLUMNS($AX$20:BA32))&amp;""",""goals"":"&amp;N(INDEX('Match Day Reports'!$G:$G,$AW32+4+COLUMNS($AX$20:BA32)))&amp;",""assists"":"&amp;N(INDEX('Match Day Reports'!$H:$H,$AW32+4+COLUMNS($AX$20:BA32)))&amp;",""rating"":"&amp;N(INDEX('Match Day Reports'!$I:$I,$AW32+4+COLUMNS($AX$20:BA32)))&amp;"}")</f>
        <v/>
      </c>
      <c r="BB32" t="str" cm="1">
        <f t="array" ref="BB32">IF(INDEX('Match Day Reports'!$C:$C,$AW32+4+COLUMNS($AX$20:BB32))="","","{""name"":"""&amp;INDEX('Match Day Reports'!$C:$C,$AW32+4+COLUMNS($AX$20:BB32))&amp;""",""status"":"""&amp;INDEX('Match Day Reports'!$D:$D,$AW32+4+COLUMNS($AX$20:BB32))&amp;""",""pos"":"""&amp;INDEX('Match Day Reports'!$E:$E,$AW32+4+COLUMNS($AX$20:BB32))&amp;""",""pos2"":"""&amp;INDEX('Match Day Reports'!$F:$F,$AW32+4+COLUMNS($AX$20:BB32))&amp;""",""goals"":"&amp;N(INDEX('Match Day Reports'!$G:$G,$AW32+4+COLUMNS($AX$20:BB32)))&amp;",""assists"":"&amp;N(INDEX('Match Day Reports'!$H:$H,$AW32+4+COLUMNS($AX$20:BB32)))&amp;",""rating"":"&amp;N(INDEX('Match Day Reports'!$I:$I,$AW32+4+COLUMNS($AX$20:BB32)))&amp;"}")</f>
        <v/>
      </c>
      <c r="BC32" t="str" cm="1">
        <f t="array" ref="BC32">IF(INDEX('Match Day Reports'!$C:$C,$AW32+4+COLUMNS($AX$20:BC32))="","","{""name"":"""&amp;INDEX('Match Day Reports'!$C:$C,$AW32+4+COLUMNS($AX$20:BC32))&amp;""",""status"":"""&amp;INDEX('Match Day Reports'!$D:$D,$AW32+4+COLUMNS($AX$20:BC32))&amp;""",""pos"":"""&amp;INDEX('Match Day Reports'!$E:$E,$AW32+4+COLUMNS($AX$20:BC32))&amp;""",""pos2"":"""&amp;INDEX('Match Day Reports'!$F:$F,$AW32+4+COLUMNS($AX$20:BC32))&amp;""",""goals"":"&amp;N(INDEX('Match Day Reports'!$G:$G,$AW32+4+COLUMNS($AX$20:BC32)))&amp;",""assists"":"&amp;N(INDEX('Match Day Reports'!$H:$H,$AW32+4+COLUMNS($AX$20:BC32)))&amp;",""rating"":"&amp;N(INDEX('Match Day Reports'!$I:$I,$AW32+4+COLUMNS($AX$20:BC32)))&amp;"}")</f>
        <v/>
      </c>
      <c r="BD32" t="str" cm="1">
        <f t="array" ref="BD32">IF(INDEX('Match Day Reports'!$C:$C,$AW32+4+COLUMNS($AX$20:BD32))="","","{""name"":"""&amp;INDEX('Match Day Reports'!$C:$C,$AW32+4+COLUMNS($AX$20:BD32))&amp;""",""status"":"""&amp;INDEX('Match Day Reports'!$D:$D,$AW32+4+COLUMNS($AX$20:BD32))&amp;""",""pos"":"""&amp;INDEX('Match Day Reports'!$E:$E,$AW32+4+COLUMNS($AX$20:BD32))&amp;""",""pos2"":"""&amp;INDEX('Match Day Reports'!$F:$F,$AW32+4+COLUMNS($AX$20:BD32))&amp;""",""goals"":"&amp;N(INDEX('Match Day Reports'!$G:$G,$AW32+4+COLUMNS($AX$20:BD32)))&amp;",""assists"":"&amp;N(INDEX('Match Day Reports'!$H:$H,$AW32+4+COLUMNS($AX$20:BD32)))&amp;",""rating"":"&amp;N(INDEX('Match Day Reports'!$I:$I,$AW32+4+COLUMNS($AX$20:BD32)))&amp;"}")</f>
        <v/>
      </c>
      <c r="BE32" t="str" cm="1">
        <f t="array" ref="BE32">IF(INDEX('Match Day Reports'!$C:$C,$AW32+4+COLUMNS($AX$20:BE32))="","","{""name"":"""&amp;INDEX('Match Day Reports'!$C:$C,$AW32+4+COLUMNS($AX$20:BE32))&amp;""",""status"":"""&amp;INDEX('Match Day Reports'!$D:$D,$AW32+4+COLUMNS($AX$20:BE32))&amp;""",""pos"":"""&amp;INDEX('Match Day Reports'!$E:$E,$AW32+4+COLUMNS($AX$20:BE32))&amp;""",""pos2"":"""&amp;INDEX('Match Day Reports'!$F:$F,$AW32+4+COLUMNS($AX$20:BE32))&amp;""",""goals"":"&amp;N(INDEX('Match Day Reports'!$G:$G,$AW32+4+COLUMNS($AX$20:BE32)))&amp;",""assists"":"&amp;N(INDEX('Match Day Reports'!$H:$H,$AW32+4+COLUMNS($AX$20:BE32)))&amp;",""rating"":"&amp;N(INDEX('Match Day Reports'!$I:$I,$AW32+4+COLUMNS($AX$20:BE32)))&amp;"}")</f>
        <v/>
      </c>
      <c r="BF32" t="str" cm="1">
        <f t="array" ref="BF32">IF(INDEX('Match Day Reports'!$C:$C,$AW32+4+COLUMNS($AX$20:BF32))="","","{""name"":"""&amp;INDEX('Match Day Reports'!$C:$C,$AW32+4+COLUMNS($AX$20:BF32))&amp;""",""status"":"""&amp;INDEX('Match Day Reports'!$D:$D,$AW32+4+COLUMNS($AX$20:BF32))&amp;""",""pos"":"""&amp;INDEX('Match Day Reports'!$E:$E,$AW32+4+COLUMNS($AX$20:BF32))&amp;""",""pos2"":"""&amp;INDEX('Match Day Reports'!$F:$F,$AW32+4+COLUMNS($AX$20:BF32))&amp;""",""goals"":"&amp;N(INDEX('Match Day Reports'!$G:$G,$AW32+4+COLUMNS($AX$20:BF32)))&amp;",""assists"":"&amp;N(INDEX('Match Day Reports'!$H:$H,$AW32+4+COLUMNS($AX$20:BF32)))&amp;",""rating"":"&amp;N(INDEX('Match Day Reports'!$I:$I,$AW32+4+COLUMNS($AX$20:BF32)))&amp;"}")</f>
        <v/>
      </c>
      <c r="BG32" t="str" cm="1">
        <f t="array" ref="BG32">IF(INDEX('Match Day Reports'!$C:$C,$AW32+4+COLUMNS($AX$20:BG32))="","","{""name"":"""&amp;INDEX('Match Day Reports'!$C:$C,$AW32+4+COLUMNS($AX$20:BG32))&amp;""",""status"":"""&amp;INDEX('Match Day Reports'!$D:$D,$AW32+4+COLUMNS($AX$20:BG32))&amp;""",""pos"":"""&amp;INDEX('Match Day Reports'!$E:$E,$AW32+4+COLUMNS($AX$20:BG32))&amp;""",""pos2"":"""&amp;INDEX('Match Day Reports'!$F:$F,$AW32+4+COLUMNS($AX$20:BG32))&amp;""",""goals"":"&amp;N(INDEX('Match Day Reports'!$G:$G,$AW32+4+COLUMNS($AX$20:BG32)))&amp;",""assists"":"&amp;N(INDEX('Match Day Reports'!$H:$H,$AW32+4+COLUMNS($AX$20:BG32)))&amp;",""rating"":"&amp;N(INDEX('Match Day Reports'!$I:$I,$AW32+4+COLUMNS($AX$20:BG32)))&amp;"}")</f>
        <v/>
      </c>
      <c r="BH32" t="str" cm="1">
        <f t="array" ref="BH32">IF(INDEX('Match Day Reports'!$C:$C,$AW32+4+COLUMNS($AX$20:BH32))="","","{""name"":"""&amp;INDEX('Match Day Reports'!$C:$C,$AW32+4+COLUMNS($AX$20:BH32))&amp;""",""status"":"""&amp;INDEX('Match Day Reports'!$D:$D,$AW32+4+COLUMNS($AX$20:BH32))&amp;""",""pos"":"""&amp;INDEX('Match Day Reports'!$E:$E,$AW32+4+COLUMNS($AX$20:BH32))&amp;""",""pos2"":"""&amp;INDEX('Match Day Reports'!$F:$F,$AW32+4+COLUMNS($AX$20:BH32))&amp;""",""goals"":"&amp;N(INDEX('Match Day Reports'!$G:$G,$AW32+4+COLUMNS($AX$20:BH32)))&amp;",""assists"":"&amp;N(INDEX('Match Day Reports'!$H:$H,$AW32+4+COLUMNS($AX$20:BH32)))&amp;",""rating"":"&amp;N(INDEX('Match Day Reports'!$I:$I,$AW32+4+COLUMNS($AX$20:BH32)))&amp;"}")</f>
        <v/>
      </c>
      <c r="BI32" t="str" cm="1">
        <f t="array" ref="BI32">IF(INDEX('Match Day Reports'!$C:$C,$AW32+4+COLUMNS($AX$20:BI32))="","","{""name"":"""&amp;INDEX('Match Day Reports'!$C:$C,$AW32+4+COLUMNS($AX$20:BI32))&amp;""",""status"":"""&amp;INDEX('Match Day Reports'!$D:$D,$AW32+4+COLUMNS($AX$20:BI32))&amp;""",""pos"":"""&amp;INDEX('Match Day Reports'!$E:$E,$AW32+4+COLUMNS($AX$20:BI32))&amp;""",""pos2"":"""&amp;INDEX('Match Day Reports'!$F:$F,$AW32+4+COLUMNS($AX$20:BI32))&amp;""",""goals"":"&amp;N(INDEX('Match Day Reports'!$G:$G,$AW32+4+COLUMNS($AX$20:BI32)))&amp;",""assists"":"&amp;N(INDEX('Match Day Reports'!$H:$H,$AW32+4+COLUMNS($AX$20:BI32)))&amp;",""rating"":"&amp;N(INDEX('Match Day Reports'!$I:$I,$AW32+4+COLUMNS($AX$20:BI32)))&amp;"}")</f>
        <v/>
      </c>
      <c r="BJ32" t="str" cm="1">
        <f t="array" ref="BJ32">IF(INDEX('Match Day Reports'!$C:$C,$AW32+4+COLUMNS($AX$20:BJ32))="","","{""name"":"""&amp;INDEX('Match Day Reports'!$C:$C,$AW32+4+COLUMNS($AX$20:BJ32))&amp;""",""status"":"""&amp;INDEX('Match Day Reports'!$D:$D,$AW32+4+COLUMNS($AX$20:BJ32))&amp;""",""pos"":"""&amp;INDEX('Match Day Reports'!$E:$E,$AW32+4+COLUMNS($AX$20:BJ32))&amp;""",""pos2"":"""&amp;INDEX('Match Day Reports'!$F:$F,$AW32+4+COLUMNS($AX$20:BJ32))&amp;""",""goals"":"&amp;N(INDEX('Match Day Reports'!$G:$G,$AW32+4+COLUMNS($AX$20:BJ32)))&amp;",""assists"":"&amp;N(INDEX('Match Day Reports'!$H:$H,$AW32+4+COLUMNS($AX$20:BJ32)))&amp;",""rating"":"&amp;N(INDEX('Match Day Reports'!$I:$I,$AW32+4+COLUMNS($AX$20:BJ32)))&amp;"}")</f>
        <v/>
      </c>
      <c r="BK32" t="str" cm="1">
        <f t="array" ref="BK32">IF(INDEX('Match Day Reports'!$C:$C,$AW32+4+COLUMNS($AX$20:BK32))="","","{""name"":"""&amp;INDEX('Match Day Reports'!$C:$C,$AW32+4+COLUMNS($AX$20:BK32))&amp;""",""status"":"""&amp;INDEX('Match Day Reports'!$D:$D,$AW32+4+COLUMNS($AX$20:BK32))&amp;""",""pos"":"""&amp;INDEX('Match Day Reports'!$E:$E,$AW32+4+COLUMNS($AX$20:BK32))&amp;""",""pos2"":"""&amp;INDEX('Match Day Reports'!$F:$F,$AW32+4+COLUMNS($AX$20:BK32))&amp;""",""goals"":"&amp;N(INDEX('Match Day Reports'!$G:$G,$AW32+4+COLUMNS($AX$20:BK32)))&amp;",""assists"":"&amp;N(INDEX('Match Day Reports'!$H:$H,$AW32+4+COLUMNS($AX$20:BK32)))&amp;",""rating"":"&amp;N(INDEX('Match Day Reports'!$I:$I,$AW32+4+COLUMNS($AX$20:BK32)))&amp;"}")</f>
        <v/>
      </c>
      <c r="BL32" t="str" cm="1">
        <f t="array" ref="BL32">IF(INDEX('Match Day Reports'!$C:$C,$AW32+4+COLUMNS($AX$20:BL32))="","","{""name"":"""&amp;INDEX('Match Day Reports'!$C:$C,$AW32+4+COLUMNS($AX$20:BL32))&amp;""",""status"":"""&amp;INDEX('Match Day Reports'!$D:$D,$AW32+4+COLUMNS($AX$20:BL32))&amp;""",""pos"":"""&amp;INDEX('Match Day Reports'!$E:$E,$AW32+4+COLUMNS($AX$20:BL32))&amp;""",""pos2"":"""&amp;INDEX('Match Day Reports'!$F:$F,$AW32+4+COLUMNS($AX$20:BL32))&amp;""",""goals"":"&amp;N(INDEX('Match Day Reports'!$G:$G,$AW32+4+COLUMNS($AX$20:BL32)))&amp;",""assists"":"&amp;N(INDEX('Match Day Reports'!$H:$H,$AW32+4+COLUMNS($AX$20:BL32)))&amp;",""rating"":"&amp;N(INDEX('Match Day Reports'!$I:$I,$AW32+4+COLUMNS($AX$20:BL32)))&amp;"}")</f>
        <v/>
      </c>
      <c r="BM32" t="str" cm="1">
        <f t="array" ref="BM32">IF(INDEX('Match Day Reports'!$C:$C,$AW32+4+COLUMNS($AX$20:BM32))="","","{""name"":"""&amp;INDEX('Match Day Reports'!$C:$C,$AW32+4+COLUMNS($AX$20:BM32))&amp;""",""status"":"""&amp;INDEX('Match Day Reports'!$D:$D,$AW32+4+COLUMNS($AX$20:BM32))&amp;""",""pos"":"""&amp;INDEX('Match Day Reports'!$E:$E,$AW32+4+COLUMNS($AX$20:BM32))&amp;""",""pos2"":"""&amp;INDEX('Match Day Reports'!$F:$F,$AW32+4+COLUMNS($AX$20:BM32))&amp;""",""goals"":"&amp;N(INDEX('Match Day Reports'!$G:$G,$AW32+4+COLUMNS($AX$20:BM32)))&amp;",""assists"":"&amp;N(INDEX('Match Day Reports'!$H:$H,$AW32+4+COLUMNS($AX$20:BM32)))&amp;",""rating"":"&amp;N(INDEX('Match Day Reports'!$I:$I,$AW32+4+COLUMNS($AX$20:BM32)))&amp;"}")</f>
        <v/>
      </c>
      <c r="BN32" t="str" cm="1">
        <f t="array" ref="BN32">IF(INDEX('Match Day Reports'!$C:$C,$AW32+4+COLUMNS($AX$20:BN32))="","","{""name"":"""&amp;INDEX('Match Day Reports'!$C:$C,$AW32+4+COLUMNS($AX$20:BN32))&amp;""",""status"":"""&amp;INDEX('Match Day Reports'!$D:$D,$AW32+4+COLUMNS($AX$20:BN32))&amp;""",""pos"":"""&amp;INDEX('Match Day Reports'!$E:$E,$AW32+4+COLUMNS($AX$20:BN32))&amp;""",""pos2"":"""&amp;INDEX('Match Day Reports'!$F:$F,$AW32+4+COLUMNS($AX$20:BN32))&amp;""",""goals"":"&amp;N(INDEX('Match Day Reports'!$G:$G,$AW32+4+COLUMNS($AX$20:BN32)))&amp;",""assists"":"&amp;N(INDEX('Match Day Reports'!$H:$H,$AW32+4+COLUMNS($AX$20:BN32)))&amp;",""rating"":"&amp;N(INDEX('Match Day Reports'!$I:$I,$AW32+4+COLUMNS($AX$20:BN32)))&amp;"}")</f>
        <v/>
      </c>
      <c r="BO32" t="str" cm="1">
        <f t="array" ref="BO32">IF(INDEX('Match Day Reports'!$C:$C,$AW32+4+COLUMNS($AX$20:BO32))="","","{""name"":"""&amp;INDEX('Match Day Reports'!$C:$C,$AW32+4+COLUMNS($AX$20:BO32))&amp;""",""status"":"""&amp;INDEX('Match Day Reports'!$D:$D,$AW32+4+COLUMNS($AX$20:BO32))&amp;""",""pos"":"""&amp;INDEX('Match Day Reports'!$E:$E,$AW32+4+COLUMNS($AX$20:BO32))&amp;""",""pos2"":"""&amp;INDEX('Match Day Reports'!$F:$F,$AW32+4+COLUMNS($AX$20:BO32))&amp;""",""goals"":"&amp;N(INDEX('Match Day Reports'!$G:$G,$AW32+4+COLUMNS($AX$20:BO32)))&amp;",""assists"":"&amp;N(INDEX('Match Day Reports'!$H:$H,$AW32+4+COLUMNS($AX$20:BO32)))&amp;",""rating"":"&amp;N(INDEX('Match Day Reports'!$I:$I,$AW32+4+COLUMNS($AX$20:BO32)))&amp;"}")</f>
        <v/>
      </c>
      <c r="BU32" t="str">
        <f>IF('Team Selection'!$C186="","","{""player"":"""&amp;'Team Selection'!$C186&amp;""",""position"":"""&amp;'Team Selection'!$D186&amp;""",""overallGrade"":"&amp;ROUND(N('Team Selection'!$E186),2)&amp;",""seasonScore"":"&amp;ROUND(N('Team Selection'!$F186),4)&amp;",""status"":"""&amp;'Team Selection'!$G186&amp;"""}")</f>
        <v/>
      </c>
      <c r="BW32" t="str">
        <f>IF('Team Selection'!$C209="","","{""player"":"""&amp;'Team Selection'!$C209&amp;""",""position"":"""&amp;'Team Selection'!$D209&amp;""",""overallGrade"":"&amp;ROUND(N('Team Selection'!$E209),2)&amp;",""seasonScore"":"&amp;ROUND(N('Team Selection'!$F209),4)&amp;",""status"":"""&amp;'Team Selection'!$G209&amp;"""}")</f>
        <v/>
      </c>
      <c r="BZ32" cm="1">
        <f t="array" ref="BZ32">IF(Attendance!$D17="","",SUMPRODUCT((Attendance!$E$4:$CN$4="Att")*(Attendance!$E17:$CN17&lt;&gt;"")))</f>
        <v>3</v>
      </c>
      <c r="CA32" cm="1">
        <f t="array" ref="CA32">IF(Attendance!$D17="","",SUMPRODUCT((Attendance!$CP$4:$FY$4="Att")*((Attendance!$CP17:$FY17&lt;&gt;"")+(Attendance!$CQ17:$FZ17&lt;&gt;"")+(Attendance!$CR17:$GA17&lt;&gt;"")+(Attendance!$CS17:$GB17&lt;&gt;"")&gt;0)))</f>
        <v>1</v>
      </c>
    </row>
    <row r="33" spans="1:79" x14ac:dyDescent="0.45">
      <c r="A33" s="290" t="s">
        <v>436</v>
      </c>
      <c r="B33" s="314" t="str">
        <f ca="1">IFERROR(MID($A$4,FIND("""generated"":""",$A$4)+13,16),"not found")</f>
        <v>2026-08-31 13:33</v>
      </c>
      <c r="J33" t="str">
        <f>IF(Attendance!$D18="","","{""number"":"&amp;Attendance!$C18&amp;",""name"":"""&amp;Attendance!$D18&amp;""",""position"":"""&amp;'Player Grading'!$D19&amp;""",""availability"":"""&amp;'Team Selection'!$E77&amp;""",""unavailableReason"":"""&amp;'Team Selection'!$F77&amp;""",""trainingAttendancePct"":"&amp;ROUND(N(Attendance!$GC18),4)&amp;",""avgWorkRate"":"&amp;ROUND(N(Attendance!$GD18),2)&amp;",""matchdayAttendancePct"":"&amp;ROUND(N(Attendance!$GH18),4)&amp;",""minutes"":"&amp;N(Attendance!$GI18)&amp;",""avgMinutes"":"&amp;ROUND(N(Attendance!$GJ18),1)&amp;",""avgRating"":"&amp;ROUND(N(Attendance!$GK18),2)&amp;",""motm"":"&amp;N(Attendance!$GM18)&amp;",""seasonScore"":"&amp;ROUND(N(Attendance!$GN18),4)&amp;",""comment"":"""&amp;Attendance!$GR18&amp;""",""toWorkOn"":"""&amp;Attendance!$GS18&amp;""",""sessions"":["&amp;$X33&amp;"],""matches"":["&amp;$Z33&amp;"]}")</f>
        <v>{"number":14,"name":"Emma Dromgoole","position":"RW / ST","availability":"No","unavailableReason":"Injured - Knee injury  (back 28 Aug)","trainingAttendancePct":1,"avgWorkRate":3,"matchdayAttendancePct":0,"minutes":0,"avgMinutes":0,"avgRating":6.5,"motm":0,"seasonScore":0.7667,"comment":"","toWorkOn":"","sessions":[[1,3],[1,3],[1,3]],"matches":[[-1,0,6.5,0]]}</v>
      </c>
      <c r="L33" t="str">
        <f>IF(Workings!$AE19="","","{""gw"":"&amp;Workings!$AD19&amp;",""date"":"""&amp;TEXT(Workings!$AE19,"yyyy-mm-dd")&amp;""",""opponent"":"""&amp;Workings!$AF19&amp;""",""venue"":"""&amp;Workings!$AG19&amp;""",""gf"":"&amp;N(Workings!$AH19)&amp;",""ga"":"&amp;N(Workings!$AI19)&amp;",""result"":"""&amp;Workings!$AJ19&amp;"""}")</f>
        <v/>
      </c>
      <c r="N33" t="str">
        <f t="array" ref="N33">IF(LEN(INDEX(Attendance!$E$3:$CN$3,1,(14-1)*2+1))=0,"","{""index"":14,""gw"":7,""date"":"""&amp;TEXT(INDEX(Attendance!$E$3:$CN$3,1,(14-1)*2+1),"yyyy-mm-dd")&amp;"""}")</f>
        <v/>
      </c>
      <c r="T33" t="str">
        <f>IF('Team Selection'!$C53="","","{""player"":"""&amp;'Team Selection'!$C53&amp;""",""position"":"""&amp;'Team Selection'!$D53&amp;""",""overallGrade"":"&amp;ROUND(N('Team Selection'!$E53),2)&amp;",""seasonScore"":"&amp;ROUND(N('Team Selection'!$F53),4)&amp;",""status"":"""&amp;'Team Selection'!$G53&amp;"""}")</f>
        <v/>
      </c>
      <c r="V33" t="str">
        <f>IF(OR('Team Selection'!$C77="",'Team Selection'!$E77="Yes"),"","{""player"":"""&amp;'Team Selection'!$C77&amp;""",""reason"":"""&amp;'Team Selection'!$F77&amp;"""}")</f>
        <v>{"player":"Emma Dromgoole","reason":"Injured - Knee injury  (back 28 Aug)"}</v>
      </c>
      <c r="X33" t="str" cm="1">
        <f t="array" ref="X33">IF(Attendance!$D18="","",_xlfn.TEXTJOIN(",",TRUE(),IF((Attendance!$E$4:$CN$4="Att")*((COLUMN(Attendance!$E$4:$CN$4)-COLUMN(Attendance!$E$4))/2+1&lt;=$BZ$41),"["&amp;IF(Attendance!$E18:$CN18="Yes",1,0)&amp;","&amp;IF(Attendance!$F18:$CO18="",0,Attendance!$F18:$CO18)&amp;"]","")))</f>
        <v>[1,3],[1,3],[1,3]</v>
      </c>
      <c r="Z33" t="str" cm="1">
        <f t="array" ref="Z33">IF(Attendance!$D18="","",_xlfn.TEXTJOIN(",",TRUE(),IF((Attendance!$CP$4:$FY$4="Att")*((COLUMN(Attendance!$CP$4:$FY$4)-COLUMN(Attendance!$CP$4))/4+1&lt;=$BZ$42),"["&amp;IF(Attendance!$CP18:$FY18="Yes",1,IF(Attendance!$CP18:$FY18="No",0,-1))&amp;","&amp;IF(Attendance!$CQ18:$FZ18="",0,Attendance!$CQ18:$FZ18)&amp;","&amp;IF(Attendance!$CR18:$GA18="",0,Attendance!$CR18:$GA18)&amp;","&amp;IF(Attendance!$CS18:$GB18="Yes",1,0)&amp;"]","")))</f>
        <v>[-1,0,6.5,0]</v>
      </c>
      <c r="AB33" t="str" cm="1">
        <f t="array" ref="AB33">IF(AND(INDEX('Match Day Reports'!$C:$C,$AW33+2)="",COUNTIF($AX33:$BO33,"?*")=0),"","{""gw"":"&amp;ROWS($AB$20:AB33)&amp;",""date"":"""&amp;IF(INDEX('Match Day Reports'!$B:$B,$AW33+2)="","",TEXT(INDEX('Match Day Reports'!$B:$B,$AW33+2),"yyyy-mm-dd"))&amp;""""&amp;",""opponent"":"""&amp;INDEX('Match Day Reports'!$C:$C,$AW33+2)&amp;""""&amp;",""venue"":"""&amp;INDEX('Match Day Reports'!$D:$D,$AW33+2)&amp;""""&amp;",""gf"":"&amp;N(INDEX('Match Day Reports'!$E:$E,$AW33+2))&amp;",""ga"":"&amp;N(INDEX('Match Day Reports'!$F:$F,$AW33+2))&amp;",""result"":"""&amp;INDEX('Match Day Reports'!$G:$G,$AW33+2)&amp;""""&amp;",""motm"":"""&amp;INDEX('Match Day Reports'!$H:$H,$AW33+2)&amp;""""&amp;",""xi"":["&amp;_xlfn.TEXTJOIN(",",TRUE(),$AX33:$BH33)&amp;"]"&amp;",""subs"":["&amp;_xlfn.TEXTJOIN(",",TRUE(),$BI33:$BO33)&amp;"]"&amp;",""matchNotes"":"""&amp;SUBSTITUTE(SUBSTITUTE(INDEX('Match Day Reports'!$C:$C,$AW33+24),"""","'"),CHAR(10)," ")&amp;""""&amp;",""keyNotes"":"""&amp;SUBSTITUTE(SUBSTITUTE(INDEX('Match Day Reports'!$C:$C,$AW33+25),"""","'"),CHAR(10)," ")&amp;""""&amp;"}")</f>
        <v/>
      </c>
      <c r="AD33" t="str">
        <f>IF(Workings!$AO19="","","{""name"":"""&amp;Workings!$AO19&amp;""",""rank"":"&amp;N(Workings!$AX19)&amp;",""sessionsAttended"":"&amp;N(Workings!$AP19)&amp;",""sessionsHeld"":"&amp;N(Workings!$AQ19)&amp;",""attendancePct"":"&amp;ROUND(N(Workings!$AR19),4)&amp;",""avgWorkRate"":"&amp;ROUND(N(Workings!$AS19),2)&amp;",""gradePct"":"&amp;ROUND(N(Workings!$AT19),4)&amp;",""readinessBand"":"""&amp;Workings!$AU19&amp;"""}")</f>
        <v>{"name":"Emma Dromgoole","rank":12,"sessionsAttended":6,"sessionsHeld":11,"attendancePct":0.5455,"avgWorkRate":3.5,"gradePct":0.5236,"readinessBand":"Match Ready"}</v>
      </c>
      <c r="AP33">
        <f>IF(Dashboard!$C106="","",N(Dashboard!$G106)*1000-ROW())</f>
        <v>-33</v>
      </c>
      <c r="AR33">
        <f>IF(Dashboard!$C106="","",N(Dashboard!$H106)*1000-ROW())</f>
        <v>-33</v>
      </c>
      <c r="AW33">
        <f>80+(ROWS($AW$20:AW33)-1)*27</f>
        <v>431</v>
      </c>
      <c r="AX33" t="str" cm="1">
        <f t="array" ref="AX33">IF(INDEX('Match Day Reports'!$C:$C,$AW33+4+COLUMNS($AX$20:AX33))="","","{""name"":"""&amp;INDEX('Match Day Reports'!$C:$C,$AW33+4+COLUMNS($AX$20:AX33))&amp;""",""status"":"""&amp;INDEX('Match Day Reports'!$D:$D,$AW33+4+COLUMNS($AX$20:AX33))&amp;""",""pos"":"""&amp;INDEX('Match Day Reports'!$E:$E,$AW33+4+COLUMNS($AX$20:AX33))&amp;""",""pos2"":"""&amp;INDEX('Match Day Reports'!$F:$F,$AW33+4+COLUMNS($AX$20:AX33))&amp;""",""goals"":"&amp;N(INDEX('Match Day Reports'!$G:$G,$AW33+4+COLUMNS($AX$20:AX33)))&amp;",""assists"":"&amp;N(INDEX('Match Day Reports'!$H:$H,$AW33+4+COLUMNS($AX$20:AX33)))&amp;",""rating"":"&amp;N(INDEX('Match Day Reports'!$I:$I,$AW33+4+COLUMNS($AX$20:AX33)))&amp;"}")</f>
        <v/>
      </c>
      <c r="AY33" t="str" cm="1">
        <f t="array" ref="AY33">IF(INDEX('Match Day Reports'!$C:$C,$AW33+4+COLUMNS($AX$20:AY33))="","","{""name"":"""&amp;INDEX('Match Day Reports'!$C:$C,$AW33+4+COLUMNS($AX$20:AY33))&amp;""",""status"":"""&amp;INDEX('Match Day Reports'!$D:$D,$AW33+4+COLUMNS($AX$20:AY33))&amp;""",""pos"":"""&amp;INDEX('Match Day Reports'!$E:$E,$AW33+4+COLUMNS($AX$20:AY33))&amp;""",""pos2"":"""&amp;INDEX('Match Day Reports'!$F:$F,$AW33+4+COLUMNS($AX$20:AY33))&amp;""",""goals"":"&amp;N(INDEX('Match Day Reports'!$G:$G,$AW33+4+COLUMNS($AX$20:AY33)))&amp;",""assists"":"&amp;N(INDEX('Match Day Reports'!$H:$H,$AW33+4+COLUMNS($AX$20:AY33)))&amp;",""rating"":"&amp;N(INDEX('Match Day Reports'!$I:$I,$AW33+4+COLUMNS($AX$20:AY33)))&amp;"}")</f>
        <v/>
      </c>
      <c r="AZ33" t="str" cm="1">
        <f t="array" ref="AZ33">IF(INDEX('Match Day Reports'!$C:$C,$AW33+4+COLUMNS($AX$20:AZ33))="","","{""name"":"""&amp;INDEX('Match Day Reports'!$C:$C,$AW33+4+COLUMNS($AX$20:AZ33))&amp;""",""status"":"""&amp;INDEX('Match Day Reports'!$D:$D,$AW33+4+COLUMNS($AX$20:AZ33))&amp;""",""pos"":"""&amp;INDEX('Match Day Reports'!$E:$E,$AW33+4+COLUMNS($AX$20:AZ33))&amp;""",""pos2"":"""&amp;INDEX('Match Day Reports'!$F:$F,$AW33+4+COLUMNS($AX$20:AZ33))&amp;""",""goals"":"&amp;N(INDEX('Match Day Reports'!$G:$G,$AW33+4+COLUMNS($AX$20:AZ33)))&amp;",""assists"":"&amp;N(INDEX('Match Day Reports'!$H:$H,$AW33+4+COLUMNS($AX$20:AZ33)))&amp;",""rating"":"&amp;N(INDEX('Match Day Reports'!$I:$I,$AW33+4+COLUMNS($AX$20:AZ33)))&amp;"}")</f>
        <v/>
      </c>
      <c r="BA33" t="str" cm="1">
        <f t="array" ref="BA33">IF(INDEX('Match Day Reports'!$C:$C,$AW33+4+COLUMNS($AX$20:BA33))="","","{""name"":"""&amp;INDEX('Match Day Reports'!$C:$C,$AW33+4+COLUMNS($AX$20:BA33))&amp;""",""status"":"""&amp;INDEX('Match Day Reports'!$D:$D,$AW33+4+COLUMNS($AX$20:BA33))&amp;""",""pos"":"""&amp;INDEX('Match Day Reports'!$E:$E,$AW33+4+COLUMNS($AX$20:BA33))&amp;""",""pos2"":"""&amp;INDEX('Match Day Reports'!$F:$F,$AW33+4+COLUMNS($AX$20:BA33))&amp;""",""goals"":"&amp;N(INDEX('Match Day Reports'!$G:$G,$AW33+4+COLUMNS($AX$20:BA33)))&amp;",""assists"":"&amp;N(INDEX('Match Day Reports'!$H:$H,$AW33+4+COLUMNS($AX$20:BA33)))&amp;",""rating"":"&amp;N(INDEX('Match Day Reports'!$I:$I,$AW33+4+COLUMNS($AX$20:BA33)))&amp;"}")</f>
        <v/>
      </c>
      <c r="BB33" t="str" cm="1">
        <f t="array" ref="BB33">IF(INDEX('Match Day Reports'!$C:$C,$AW33+4+COLUMNS($AX$20:BB33))="","","{""name"":"""&amp;INDEX('Match Day Reports'!$C:$C,$AW33+4+COLUMNS($AX$20:BB33))&amp;""",""status"":"""&amp;INDEX('Match Day Reports'!$D:$D,$AW33+4+COLUMNS($AX$20:BB33))&amp;""",""pos"":"""&amp;INDEX('Match Day Reports'!$E:$E,$AW33+4+COLUMNS($AX$20:BB33))&amp;""",""pos2"":"""&amp;INDEX('Match Day Reports'!$F:$F,$AW33+4+COLUMNS($AX$20:BB33))&amp;""",""goals"":"&amp;N(INDEX('Match Day Reports'!$G:$G,$AW33+4+COLUMNS($AX$20:BB33)))&amp;",""assists"":"&amp;N(INDEX('Match Day Reports'!$H:$H,$AW33+4+COLUMNS($AX$20:BB33)))&amp;",""rating"":"&amp;N(INDEX('Match Day Reports'!$I:$I,$AW33+4+COLUMNS($AX$20:BB33)))&amp;"}")</f>
        <v/>
      </c>
      <c r="BC33" t="str" cm="1">
        <f t="array" ref="BC33">IF(INDEX('Match Day Reports'!$C:$C,$AW33+4+COLUMNS($AX$20:BC33))="","","{""name"":"""&amp;INDEX('Match Day Reports'!$C:$C,$AW33+4+COLUMNS($AX$20:BC33))&amp;""",""status"":"""&amp;INDEX('Match Day Reports'!$D:$D,$AW33+4+COLUMNS($AX$20:BC33))&amp;""",""pos"":"""&amp;INDEX('Match Day Reports'!$E:$E,$AW33+4+COLUMNS($AX$20:BC33))&amp;""",""pos2"":"""&amp;INDEX('Match Day Reports'!$F:$F,$AW33+4+COLUMNS($AX$20:BC33))&amp;""",""goals"":"&amp;N(INDEX('Match Day Reports'!$G:$G,$AW33+4+COLUMNS($AX$20:BC33)))&amp;",""assists"":"&amp;N(INDEX('Match Day Reports'!$H:$H,$AW33+4+COLUMNS($AX$20:BC33)))&amp;",""rating"":"&amp;N(INDEX('Match Day Reports'!$I:$I,$AW33+4+COLUMNS($AX$20:BC33)))&amp;"}")</f>
        <v/>
      </c>
      <c r="BD33" t="str" cm="1">
        <f t="array" ref="BD33">IF(INDEX('Match Day Reports'!$C:$C,$AW33+4+COLUMNS($AX$20:BD33))="","","{""name"":"""&amp;INDEX('Match Day Reports'!$C:$C,$AW33+4+COLUMNS($AX$20:BD33))&amp;""",""status"":"""&amp;INDEX('Match Day Reports'!$D:$D,$AW33+4+COLUMNS($AX$20:BD33))&amp;""",""pos"":"""&amp;INDEX('Match Day Reports'!$E:$E,$AW33+4+COLUMNS($AX$20:BD33))&amp;""",""pos2"":"""&amp;INDEX('Match Day Reports'!$F:$F,$AW33+4+COLUMNS($AX$20:BD33))&amp;""",""goals"":"&amp;N(INDEX('Match Day Reports'!$G:$G,$AW33+4+COLUMNS($AX$20:BD33)))&amp;",""assists"":"&amp;N(INDEX('Match Day Reports'!$H:$H,$AW33+4+COLUMNS($AX$20:BD33)))&amp;",""rating"":"&amp;N(INDEX('Match Day Reports'!$I:$I,$AW33+4+COLUMNS($AX$20:BD33)))&amp;"}")</f>
        <v/>
      </c>
      <c r="BE33" t="str" cm="1">
        <f t="array" ref="BE33">IF(INDEX('Match Day Reports'!$C:$C,$AW33+4+COLUMNS($AX$20:BE33))="","","{""name"":"""&amp;INDEX('Match Day Reports'!$C:$C,$AW33+4+COLUMNS($AX$20:BE33))&amp;""",""status"":"""&amp;INDEX('Match Day Reports'!$D:$D,$AW33+4+COLUMNS($AX$20:BE33))&amp;""",""pos"":"""&amp;INDEX('Match Day Reports'!$E:$E,$AW33+4+COLUMNS($AX$20:BE33))&amp;""",""pos2"":"""&amp;INDEX('Match Day Reports'!$F:$F,$AW33+4+COLUMNS($AX$20:BE33))&amp;""",""goals"":"&amp;N(INDEX('Match Day Reports'!$G:$G,$AW33+4+COLUMNS($AX$20:BE33)))&amp;",""assists"":"&amp;N(INDEX('Match Day Reports'!$H:$H,$AW33+4+COLUMNS($AX$20:BE33)))&amp;",""rating"":"&amp;N(INDEX('Match Day Reports'!$I:$I,$AW33+4+COLUMNS($AX$20:BE33)))&amp;"}")</f>
        <v/>
      </c>
      <c r="BF33" t="str" cm="1">
        <f t="array" ref="BF33">IF(INDEX('Match Day Reports'!$C:$C,$AW33+4+COLUMNS($AX$20:BF33))="","","{""name"":"""&amp;INDEX('Match Day Reports'!$C:$C,$AW33+4+COLUMNS($AX$20:BF33))&amp;""",""status"":"""&amp;INDEX('Match Day Reports'!$D:$D,$AW33+4+COLUMNS($AX$20:BF33))&amp;""",""pos"":"""&amp;INDEX('Match Day Reports'!$E:$E,$AW33+4+COLUMNS($AX$20:BF33))&amp;""",""pos2"":"""&amp;INDEX('Match Day Reports'!$F:$F,$AW33+4+COLUMNS($AX$20:BF33))&amp;""",""goals"":"&amp;N(INDEX('Match Day Reports'!$G:$G,$AW33+4+COLUMNS($AX$20:BF33)))&amp;",""assists"":"&amp;N(INDEX('Match Day Reports'!$H:$H,$AW33+4+COLUMNS($AX$20:BF33)))&amp;",""rating"":"&amp;N(INDEX('Match Day Reports'!$I:$I,$AW33+4+COLUMNS($AX$20:BF33)))&amp;"}")</f>
        <v/>
      </c>
      <c r="BG33" t="str" cm="1">
        <f t="array" ref="BG33">IF(INDEX('Match Day Reports'!$C:$C,$AW33+4+COLUMNS($AX$20:BG33))="","","{""name"":"""&amp;INDEX('Match Day Reports'!$C:$C,$AW33+4+COLUMNS($AX$20:BG33))&amp;""",""status"":"""&amp;INDEX('Match Day Reports'!$D:$D,$AW33+4+COLUMNS($AX$20:BG33))&amp;""",""pos"":"""&amp;INDEX('Match Day Reports'!$E:$E,$AW33+4+COLUMNS($AX$20:BG33))&amp;""",""pos2"":"""&amp;INDEX('Match Day Reports'!$F:$F,$AW33+4+COLUMNS($AX$20:BG33))&amp;""",""goals"":"&amp;N(INDEX('Match Day Reports'!$G:$G,$AW33+4+COLUMNS($AX$20:BG33)))&amp;",""assists"":"&amp;N(INDEX('Match Day Reports'!$H:$H,$AW33+4+COLUMNS($AX$20:BG33)))&amp;",""rating"":"&amp;N(INDEX('Match Day Reports'!$I:$I,$AW33+4+COLUMNS($AX$20:BG33)))&amp;"}")</f>
        <v/>
      </c>
      <c r="BH33" t="str" cm="1">
        <f t="array" ref="BH33">IF(INDEX('Match Day Reports'!$C:$C,$AW33+4+COLUMNS($AX$20:BH33))="","","{""name"":"""&amp;INDEX('Match Day Reports'!$C:$C,$AW33+4+COLUMNS($AX$20:BH33))&amp;""",""status"":"""&amp;INDEX('Match Day Reports'!$D:$D,$AW33+4+COLUMNS($AX$20:BH33))&amp;""",""pos"":"""&amp;INDEX('Match Day Reports'!$E:$E,$AW33+4+COLUMNS($AX$20:BH33))&amp;""",""pos2"":"""&amp;INDEX('Match Day Reports'!$F:$F,$AW33+4+COLUMNS($AX$20:BH33))&amp;""",""goals"":"&amp;N(INDEX('Match Day Reports'!$G:$G,$AW33+4+COLUMNS($AX$20:BH33)))&amp;",""assists"":"&amp;N(INDEX('Match Day Reports'!$H:$H,$AW33+4+COLUMNS($AX$20:BH33)))&amp;",""rating"":"&amp;N(INDEX('Match Day Reports'!$I:$I,$AW33+4+COLUMNS($AX$20:BH33)))&amp;"}")</f>
        <v/>
      </c>
      <c r="BI33" t="str" cm="1">
        <f t="array" ref="BI33">IF(INDEX('Match Day Reports'!$C:$C,$AW33+4+COLUMNS($AX$20:BI33))="","","{""name"":"""&amp;INDEX('Match Day Reports'!$C:$C,$AW33+4+COLUMNS($AX$20:BI33))&amp;""",""status"":"""&amp;INDEX('Match Day Reports'!$D:$D,$AW33+4+COLUMNS($AX$20:BI33))&amp;""",""pos"":"""&amp;INDEX('Match Day Reports'!$E:$E,$AW33+4+COLUMNS($AX$20:BI33))&amp;""",""pos2"":"""&amp;INDEX('Match Day Reports'!$F:$F,$AW33+4+COLUMNS($AX$20:BI33))&amp;""",""goals"":"&amp;N(INDEX('Match Day Reports'!$G:$G,$AW33+4+COLUMNS($AX$20:BI33)))&amp;",""assists"":"&amp;N(INDEX('Match Day Reports'!$H:$H,$AW33+4+COLUMNS($AX$20:BI33)))&amp;",""rating"":"&amp;N(INDEX('Match Day Reports'!$I:$I,$AW33+4+COLUMNS($AX$20:BI33)))&amp;"}")</f>
        <v/>
      </c>
      <c r="BJ33" t="str" cm="1">
        <f t="array" ref="BJ33">IF(INDEX('Match Day Reports'!$C:$C,$AW33+4+COLUMNS($AX$20:BJ33))="","","{""name"":"""&amp;INDEX('Match Day Reports'!$C:$C,$AW33+4+COLUMNS($AX$20:BJ33))&amp;""",""status"":"""&amp;INDEX('Match Day Reports'!$D:$D,$AW33+4+COLUMNS($AX$20:BJ33))&amp;""",""pos"":"""&amp;INDEX('Match Day Reports'!$E:$E,$AW33+4+COLUMNS($AX$20:BJ33))&amp;""",""pos2"":"""&amp;INDEX('Match Day Reports'!$F:$F,$AW33+4+COLUMNS($AX$20:BJ33))&amp;""",""goals"":"&amp;N(INDEX('Match Day Reports'!$G:$G,$AW33+4+COLUMNS($AX$20:BJ33)))&amp;",""assists"":"&amp;N(INDEX('Match Day Reports'!$H:$H,$AW33+4+COLUMNS($AX$20:BJ33)))&amp;",""rating"":"&amp;N(INDEX('Match Day Reports'!$I:$I,$AW33+4+COLUMNS($AX$20:BJ33)))&amp;"}")</f>
        <v/>
      </c>
      <c r="BK33" t="str" cm="1">
        <f t="array" ref="BK33">IF(INDEX('Match Day Reports'!$C:$C,$AW33+4+COLUMNS($AX$20:BK33))="","","{""name"":"""&amp;INDEX('Match Day Reports'!$C:$C,$AW33+4+COLUMNS($AX$20:BK33))&amp;""",""status"":"""&amp;INDEX('Match Day Reports'!$D:$D,$AW33+4+COLUMNS($AX$20:BK33))&amp;""",""pos"":"""&amp;INDEX('Match Day Reports'!$E:$E,$AW33+4+COLUMNS($AX$20:BK33))&amp;""",""pos2"":"""&amp;INDEX('Match Day Reports'!$F:$F,$AW33+4+COLUMNS($AX$20:BK33))&amp;""",""goals"":"&amp;N(INDEX('Match Day Reports'!$G:$G,$AW33+4+COLUMNS($AX$20:BK33)))&amp;",""assists"":"&amp;N(INDEX('Match Day Reports'!$H:$H,$AW33+4+COLUMNS($AX$20:BK33)))&amp;",""rating"":"&amp;N(INDEX('Match Day Reports'!$I:$I,$AW33+4+COLUMNS($AX$20:BK33)))&amp;"}")</f>
        <v/>
      </c>
      <c r="BL33" t="str" cm="1">
        <f t="array" ref="BL33">IF(INDEX('Match Day Reports'!$C:$C,$AW33+4+COLUMNS($AX$20:BL33))="","","{""name"":"""&amp;INDEX('Match Day Reports'!$C:$C,$AW33+4+COLUMNS($AX$20:BL33))&amp;""",""status"":"""&amp;INDEX('Match Day Reports'!$D:$D,$AW33+4+COLUMNS($AX$20:BL33))&amp;""",""pos"":"""&amp;INDEX('Match Day Reports'!$E:$E,$AW33+4+COLUMNS($AX$20:BL33))&amp;""",""pos2"":"""&amp;INDEX('Match Day Reports'!$F:$F,$AW33+4+COLUMNS($AX$20:BL33))&amp;""",""goals"":"&amp;N(INDEX('Match Day Reports'!$G:$G,$AW33+4+COLUMNS($AX$20:BL33)))&amp;",""assists"":"&amp;N(INDEX('Match Day Reports'!$H:$H,$AW33+4+COLUMNS($AX$20:BL33)))&amp;",""rating"":"&amp;N(INDEX('Match Day Reports'!$I:$I,$AW33+4+COLUMNS($AX$20:BL33)))&amp;"}")</f>
        <v/>
      </c>
      <c r="BM33" t="str" cm="1">
        <f t="array" ref="BM33">IF(INDEX('Match Day Reports'!$C:$C,$AW33+4+COLUMNS($AX$20:BM33))="","","{""name"":"""&amp;INDEX('Match Day Reports'!$C:$C,$AW33+4+COLUMNS($AX$20:BM33))&amp;""",""status"":"""&amp;INDEX('Match Day Reports'!$D:$D,$AW33+4+COLUMNS($AX$20:BM33))&amp;""",""pos"":"""&amp;INDEX('Match Day Reports'!$E:$E,$AW33+4+COLUMNS($AX$20:BM33))&amp;""",""pos2"":"""&amp;INDEX('Match Day Reports'!$F:$F,$AW33+4+COLUMNS($AX$20:BM33))&amp;""",""goals"":"&amp;N(INDEX('Match Day Reports'!$G:$G,$AW33+4+COLUMNS($AX$20:BM33)))&amp;",""assists"":"&amp;N(INDEX('Match Day Reports'!$H:$H,$AW33+4+COLUMNS($AX$20:BM33)))&amp;",""rating"":"&amp;N(INDEX('Match Day Reports'!$I:$I,$AW33+4+COLUMNS($AX$20:BM33)))&amp;"}")</f>
        <v/>
      </c>
      <c r="BN33" t="str" cm="1">
        <f t="array" ref="BN33">IF(INDEX('Match Day Reports'!$C:$C,$AW33+4+COLUMNS($AX$20:BN33))="","","{""name"":"""&amp;INDEX('Match Day Reports'!$C:$C,$AW33+4+COLUMNS($AX$20:BN33))&amp;""",""status"":"""&amp;INDEX('Match Day Reports'!$D:$D,$AW33+4+COLUMNS($AX$20:BN33))&amp;""",""pos"":"""&amp;INDEX('Match Day Reports'!$E:$E,$AW33+4+COLUMNS($AX$20:BN33))&amp;""",""pos2"":"""&amp;INDEX('Match Day Reports'!$F:$F,$AW33+4+COLUMNS($AX$20:BN33))&amp;""",""goals"":"&amp;N(INDEX('Match Day Reports'!$G:$G,$AW33+4+COLUMNS($AX$20:BN33)))&amp;",""assists"":"&amp;N(INDEX('Match Day Reports'!$H:$H,$AW33+4+COLUMNS($AX$20:BN33)))&amp;",""rating"":"&amp;N(INDEX('Match Day Reports'!$I:$I,$AW33+4+COLUMNS($AX$20:BN33)))&amp;"}")</f>
        <v/>
      </c>
      <c r="BO33" t="str" cm="1">
        <f t="array" ref="BO33">IF(INDEX('Match Day Reports'!$C:$C,$AW33+4+COLUMNS($AX$20:BO33))="","","{""name"":"""&amp;INDEX('Match Day Reports'!$C:$C,$AW33+4+COLUMNS($AX$20:BO33))&amp;""",""status"":"""&amp;INDEX('Match Day Reports'!$D:$D,$AW33+4+COLUMNS($AX$20:BO33))&amp;""",""pos"":"""&amp;INDEX('Match Day Reports'!$E:$E,$AW33+4+COLUMNS($AX$20:BO33))&amp;""",""pos2"":"""&amp;INDEX('Match Day Reports'!$F:$F,$AW33+4+COLUMNS($AX$20:BO33))&amp;""",""goals"":"&amp;N(INDEX('Match Day Reports'!$G:$G,$AW33+4+COLUMNS($AX$20:BO33)))&amp;",""assists"":"&amp;N(INDEX('Match Day Reports'!$H:$H,$AW33+4+COLUMNS($AX$20:BO33)))&amp;",""rating"":"&amp;N(INDEX('Match Day Reports'!$I:$I,$AW33+4+COLUMNS($AX$20:BO33)))&amp;"}")</f>
        <v/>
      </c>
      <c r="BU33" t="str">
        <f>IF('Team Selection'!$C187="","","{""player"":"""&amp;'Team Selection'!$C187&amp;""",""position"":"""&amp;'Team Selection'!$D187&amp;""",""overallGrade"":"&amp;ROUND(N('Team Selection'!$E187),2)&amp;",""seasonScore"":"&amp;ROUND(N('Team Selection'!$F187),4)&amp;",""status"":"""&amp;'Team Selection'!$G187&amp;"""}")</f>
        <v/>
      </c>
      <c r="BW33" t="str">
        <f>IF('Team Selection'!$C210="","","{""player"":"""&amp;'Team Selection'!$C210&amp;""",""position"":"""&amp;'Team Selection'!$D210&amp;""",""overallGrade"":"&amp;ROUND(N('Team Selection'!$E210),2)&amp;",""seasonScore"":"&amp;ROUND(N('Team Selection'!$F210),4)&amp;",""status"":"""&amp;'Team Selection'!$G210&amp;"""}")</f>
        <v/>
      </c>
      <c r="BZ33" cm="1">
        <f t="array" ref="BZ33">IF(Attendance!$D18="","",SUMPRODUCT((Attendance!$E$4:$CN$4="Att")*(Attendance!$E18:$CN18&lt;&gt;"")))</f>
        <v>3</v>
      </c>
      <c r="CA33" cm="1">
        <f t="array" ref="CA33">IF(Attendance!$D18="","",SUMPRODUCT((Attendance!$CP$4:$FY$4="Att")*((Attendance!$CP18:$FY18&lt;&gt;"")+(Attendance!$CQ18:$FZ18&lt;&gt;"")+(Attendance!$CR18:$GA18&lt;&gt;"")+(Attendance!$CS18:$GB18&lt;&gt;"")&gt;0)))</f>
        <v>1</v>
      </c>
    </row>
    <row r="34" spans="1:79" x14ac:dyDescent="0.45">
      <c r="J34" t="str">
        <f>IF(Attendance!$D19="","","{""number"":"&amp;Attendance!$C19&amp;",""name"":"""&amp;Attendance!$D19&amp;""",""position"":"""&amp;'Player Grading'!$D20&amp;""",""availability"":"""&amp;'Team Selection'!$E78&amp;""",""unavailableReason"":"""&amp;'Team Selection'!$F78&amp;""",""trainingAttendancePct"":"&amp;ROUND(N(Attendance!$GC19),4)&amp;",""avgWorkRate"":"&amp;ROUND(N(Attendance!$GD19),2)&amp;",""matchdayAttendancePct"":"&amp;ROUND(N(Attendance!$GH19),4)&amp;",""minutes"":"&amp;N(Attendance!$GI19)&amp;",""avgMinutes"":"&amp;ROUND(N(Attendance!$GJ19),1)&amp;",""avgRating"":"&amp;ROUND(N(Attendance!$GK19),2)&amp;",""motm"":"&amp;N(Attendance!$GM19)&amp;",""seasonScore"":"&amp;ROUND(N(Attendance!$GN19),4)&amp;",""comment"":"""&amp;Attendance!$GR19&amp;""",""toWorkOn"":"""&amp;Attendance!$GS19&amp;""",""sessions"":["&amp;$X34&amp;"],""matches"":["&amp;$Z34&amp;"]}")</f>
        <v>{"number":15,"name":"Elsie Morrison","position":"LW / ST / GK","availability":"Yes","unavailableReason":"","trainingAttendancePct":1,"avgWorkRate":3,"matchdayAttendancePct":0,"minutes":0,"avgMinutes":0,"avgRating":8,"motm":0,"seasonScore":0.7667,"comment":"","toWorkOn":"","sessions":[[1,2],[1,3],[1,4]],"matches":[[-1,0,8,0]]}</v>
      </c>
      <c r="L34" t="str">
        <f>IF(Workings!$AE20="","","{""gw"":"&amp;Workings!$AD20&amp;",""date"":"""&amp;TEXT(Workings!$AE20,"yyyy-mm-dd")&amp;""",""opponent"":"""&amp;Workings!$AF20&amp;""",""venue"":"""&amp;Workings!$AG20&amp;""",""gf"":"&amp;N(Workings!$AH20)&amp;",""ga"":"&amp;N(Workings!$AI20)&amp;",""result"":"""&amp;Workings!$AJ20&amp;"""}")</f>
        <v/>
      </c>
      <c r="N34" t="str">
        <f t="array" ref="N34">IF(LEN(INDEX(Attendance!$E$3:$CN$3,1,(15-1)*2+1))=0,"","{""index"":15,""gw"":8,""date"":"""&amp;TEXT(INDEX(Attendance!$E$3:$CN$3,1,(15-1)*2+1),"yyyy-mm-dd")&amp;"""}")</f>
        <v/>
      </c>
      <c r="T34" t="str">
        <f>IF('Team Selection'!$C54="","","{""player"":"""&amp;'Team Selection'!$C54&amp;""",""position"":"""&amp;'Team Selection'!$D54&amp;""",""overallGrade"":"&amp;ROUND(N('Team Selection'!$E54),2)&amp;",""seasonScore"":"&amp;ROUND(N('Team Selection'!$F54),4)&amp;",""status"":"""&amp;'Team Selection'!$G54&amp;"""}")</f>
        <v/>
      </c>
      <c r="V34" t="str">
        <f>IF(OR('Team Selection'!$C78="",'Team Selection'!$E78="Yes"),"","{""player"":"""&amp;'Team Selection'!$C78&amp;""",""reason"":"""&amp;'Team Selection'!$F78&amp;"""}")</f>
        <v/>
      </c>
      <c r="X34" t="str" cm="1">
        <f t="array" ref="X34">IF(Attendance!$D19="","",_xlfn.TEXTJOIN(",",TRUE(),IF((Attendance!$E$4:$CN$4="Att")*((COLUMN(Attendance!$E$4:$CN$4)-COLUMN(Attendance!$E$4))/2+1&lt;=$BZ$41),"["&amp;IF(Attendance!$E19:$CN19="Yes",1,0)&amp;","&amp;IF(Attendance!$F19:$CO19="",0,Attendance!$F19:$CO19)&amp;"]","")))</f>
        <v>[1,2],[1,3],[1,4]</v>
      </c>
      <c r="Z34" t="str" cm="1">
        <f t="array" ref="Z34">IF(Attendance!$D19="","",_xlfn.TEXTJOIN(",",TRUE(),IF((Attendance!$CP$4:$FY$4="Att")*((COLUMN(Attendance!$CP$4:$FY$4)-COLUMN(Attendance!$CP$4))/4+1&lt;=$BZ$42),"["&amp;IF(Attendance!$CP19:$FY19="Yes",1,IF(Attendance!$CP19:$FY19="No",0,-1))&amp;","&amp;IF(Attendance!$CQ19:$FZ19="",0,Attendance!$CQ19:$FZ19)&amp;","&amp;IF(Attendance!$CR19:$GA19="",0,Attendance!$CR19:$GA19)&amp;","&amp;IF(Attendance!$CS19:$GB19="Yes",1,0)&amp;"]","")))</f>
        <v>[-1,0,8,0]</v>
      </c>
      <c r="AB34" t="str" cm="1">
        <f t="array" ref="AB34">IF(AND(INDEX('Match Day Reports'!$C:$C,$AW34+2)="",COUNTIF($AX34:$BO34,"?*")=0),"","{""gw"":"&amp;ROWS($AB$20:AB34)&amp;",""date"":"""&amp;IF(INDEX('Match Day Reports'!$B:$B,$AW34+2)="","",TEXT(INDEX('Match Day Reports'!$B:$B,$AW34+2),"yyyy-mm-dd"))&amp;""""&amp;",""opponent"":"""&amp;INDEX('Match Day Reports'!$C:$C,$AW34+2)&amp;""""&amp;",""venue"":"""&amp;INDEX('Match Day Reports'!$D:$D,$AW34+2)&amp;""""&amp;",""gf"":"&amp;N(INDEX('Match Day Reports'!$E:$E,$AW34+2))&amp;",""ga"":"&amp;N(INDEX('Match Day Reports'!$F:$F,$AW34+2))&amp;",""result"":"""&amp;INDEX('Match Day Reports'!$G:$G,$AW34+2)&amp;""""&amp;",""motm"":"""&amp;INDEX('Match Day Reports'!$H:$H,$AW34+2)&amp;""""&amp;",""xi"":["&amp;_xlfn.TEXTJOIN(",",TRUE(),$AX34:$BH34)&amp;"]"&amp;",""subs"":["&amp;_xlfn.TEXTJOIN(",",TRUE(),$BI34:$BO34)&amp;"]"&amp;",""matchNotes"":"""&amp;SUBSTITUTE(SUBSTITUTE(INDEX('Match Day Reports'!$C:$C,$AW34+24),"""","'"),CHAR(10)," ")&amp;""""&amp;",""keyNotes"":"""&amp;SUBSTITUTE(SUBSTITUTE(INDEX('Match Day Reports'!$C:$C,$AW34+25),"""","'"),CHAR(10)," ")&amp;""""&amp;"}")</f>
        <v/>
      </c>
      <c r="AD34" t="str">
        <f>IF(Workings!$AO20="","","{""name"":"""&amp;Workings!$AO20&amp;""",""rank"":"&amp;N(Workings!$AX20)&amp;",""sessionsAttended"":"&amp;N(Workings!$AP20)&amp;",""sessionsHeld"":"&amp;N(Workings!$AQ20)&amp;",""attendancePct"":"&amp;ROUND(N(Workings!$AR20),4)&amp;",""avgWorkRate"":"&amp;ROUND(N(Workings!$AS20),2)&amp;",""gradePct"":"&amp;ROUND(N(Workings!$AT20),4)&amp;",""readinessBand"":"""&amp;Workings!$AU20&amp;"""}")</f>
        <v>{"name":"Elsie Morrison","rank":3,"sessionsAttended":9,"sessionsHeld":11,"attendancePct":0.8182,"avgWorkRate":3.22,"gradePct":0.7139,"readinessBand":"Not Ready for 90 min"}</v>
      </c>
      <c r="AP34">
        <f>IF(Dashboard!$C107="","",N(Dashboard!$G107)*1000-ROW())</f>
        <v>966</v>
      </c>
      <c r="AR34">
        <f>IF(Dashboard!$C107="","",N(Dashboard!$H107)*1000-ROW())</f>
        <v>-34</v>
      </c>
      <c r="AW34">
        <f>80+(ROWS($AW$20:AW34)-1)*27</f>
        <v>458</v>
      </c>
      <c r="AX34" t="str" cm="1">
        <f t="array" ref="AX34">IF(INDEX('Match Day Reports'!$C:$C,$AW34+4+COLUMNS($AX$20:AX34))="","","{""name"":"""&amp;INDEX('Match Day Reports'!$C:$C,$AW34+4+COLUMNS($AX$20:AX34))&amp;""",""status"":"""&amp;INDEX('Match Day Reports'!$D:$D,$AW34+4+COLUMNS($AX$20:AX34))&amp;""",""pos"":"""&amp;INDEX('Match Day Reports'!$E:$E,$AW34+4+COLUMNS($AX$20:AX34))&amp;""",""pos2"":"""&amp;INDEX('Match Day Reports'!$F:$F,$AW34+4+COLUMNS($AX$20:AX34))&amp;""",""goals"":"&amp;N(INDEX('Match Day Reports'!$G:$G,$AW34+4+COLUMNS($AX$20:AX34)))&amp;",""assists"":"&amp;N(INDEX('Match Day Reports'!$H:$H,$AW34+4+COLUMNS($AX$20:AX34)))&amp;",""rating"":"&amp;N(INDEX('Match Day Reports'!$I:$I,$AW34+4+COLUMNS($AX$20:AX34)))&amp;"}")</f>
        <v/>
      </c>
      <c r="AY34" t="str" cm="1">
        <f t="array" ref="AY34">IF(INDEX('Match Day Reports'!$C:$C,$AW34+4+COLUMNS($AX$20:AY34))="","","{""name"":"""&amp;INDEX('Match Day Reports'!$C:$C,$AW34+4+COLUMNS($AX$20:AY34))&amp;""",""status"":"""&amp;INDEX('Match Day Reports'!$D:$D,$AW34+4+COLUMNS($AX$20:AY34))&amp;""",""pos"":"""&amp;INDEX('Match Day Reports'!$E:$E,$AW34+4+COLUMNS($AX$20:AY34))&amp;""",""pos2"":"""&amp;INDEX('Match Day Reports'!$F:$F,$AW34+4+COLUMNS($AX$20:AY34))&amp;""",""goals"":"&amp;N(INDEX('Match Day Reports'!$G:$G,$AW34+4+COLUMNS($AX$20:AY34)))&amp;",""assists"":"&amp;N(INDEX('Match Day Reports'!$H:$H,$AW34+4+COLUMNS($AX$20:AY34)))&amp;",""rating"":"&amp;N(INDEX('Match Day Reports'!$I:$I,$AW34+4+COLUMNS($AX$20:AY34)))&amp;"}")</f>
        <v/>
      </c>
      <c r="AZ34" t="str" cm="1">
        <f t="array" ref="AZ34">IF(INDEX('Match Day Reports'!$C:$C,$AW34+4+COLUMNS($AX$20:AZ34))="","","{""name"":"""&amp;INDEX('Match Day Reports'!$C:$C,$AW34+4+COLUMNS($AX$20:AZ34))&amp;""",""status"":"""&amp;INDEX('Match Day Reports'!$D:$D,$AW34+4+COLUMNS($AX$20:AZ34))&amp;""",""pos"":"""&amp;INDEX('Match Day Reports'!$E:$E,$AW34+4+COLUMNS($AX$20:AZ34))&amp;""",""pos2"":"""&amp;INDEX('Match Day Reports'!$F:$F,$AW34+4+COLUMNS($AX$20:AZ34))&amp;""",""goals"":"&amp;N(INDEX('Match Day Reports'!$G:$G,$AW34+4+COLUMNS($AX$20:AZ34)))&amp;",""assists"":"&amp;N(INDEX('Match Day Reports'!$H:$H,$AW34+4+COLUMNS($AX$20:AZ34)))&amp;",""rating"":"&amp;N(INDEX('Match Day Reports'!$I:$I,$AW34+4+COLUMNS($AX$20:AZ34)))&amp;"}")</f>
        <v/>
      </c>
      <c r="BA34" t="str" cm="1">
        <f t="array" ref="BA34">IF(INDEX('Match Day Reports'!$C:$C,$AW34+4+COLUMNS($AX$20:BA34))="","","{""name"":"""&amp;INDEX('Match Day Reports'!$C:$C,$AW34+4+COLUMNS($AX$20:BA34))&amp;""",""status"":"""&amp;INDEX('Match Day Reports'!$D:$D,$AW34+4+COLUMNS($AX$20:BA34))&amp;""",""pos"":"""&amp;INDEX('Match Day Reports'!$E:$E,$AW34+4+COLUMNS($AX$20:BA34))&amp;""",""pos2"":"""&amp;INDEX('Match Day Reports'!$F:$F,$AW34+4+COLUMNS($AX$20:BA34))&amp;""",""goals"":"&amp;N(INDEX('Match Day Reports'!$G:$G,$AW34+4+COLUMNS($AX$20:BA34)))&amp;",""assists"":"&amp;N(INDEX('Match Day Reports'!$H:$H,$AW34+4+COLUMNS($AX$20:BA34)))&amp;",""rating"":"&amp;N(INDEX('Match Day Reports'!$I:$I,$AW34+4+COLUMNS($AX$20:BA34)))&amp;"}")</f>
        <v/>
      </c>
      <c r="BB34" t="str" cm="1">
        <f t="array" ref="BB34">IF(INDEX('Match Day Reports'!$C:$C,$AW34+4+COLUMNS($AX$20:BB34))="","","{""name"":"""&amp;INDEX('Match Day Reports'!$C:$C,$AW34+4+COLUMNS($AX$20:BB34))&amp;""",""status"":"""&amp;INDEX('Match Day Reports'!$D:$D,$AW34+4+COLUMNS($AX$20:BB34))&amp;""",""pos"":"""&amp;INDEX('Match Day Reports'!$E:$E,$AW34+4+COLUMNS($AX$20:BB34))&amp;""",""pos2"":"""&amp;INDEX('Match Day Reports'!$F:$F,$AW34+4+COLUMNS($AX$20:BB34))&amp;""",""goals"":"&amp;N(INDEX('Match Day Reports'!$G:$G,$AW34+4+COLUMNS($AX$20:BB34)))&amp;",""assists"":"&amp;N(INDEX('Match Day Reports'!$H:$H,$AW34+4+COLUMNS($AX$20:BB34)))&amp;",""rating"":"&amp;N(INDEX('Match Day Reports'!$I:$I,$AW34+4+COLUMNS($AX$20:BB34)))&amp;"}")</f>
        <v/>
      </c>
      <c r="BC34" t="str" cm="1">
        <f t="array" ref="BC34">IF(INDEX('Match Day Reports'!$C:$C,$AW34+4+COLUMNS($AX$20:BC34))="","","{""name"":"""&amp;INDEX('Match Day Reports'!$C:$C,$AW34+4+COLUMNS($AX$20:BC34))&amp;""",""status"":"""&amp;INDEX('Match Day Reports'!$D:$D,$AW34+4+COLUMNS($AX$20:BC34))&amp;""",""pos"":"""&amp;INDEX('Match Day Reports'!$E:$E,$AW34+4+COLUMNS($AX$20:BC34))&amp;""",""pos2"":"""&amp;INDEX('Match Day Reports'!$F:$F,$AW34+4+COLUMNS($AX$20:BC34))&amp;""",""goals"":"&amp;N(INDEX('Match Day Reports'!$G:$G,$AW34+4+COLUMNS($AX$20:BC34)))&amp;",""assists"":"&amp;N(INDEX('Match Day Reports'!$H:$H,$AW34+4+COLUMNS($AX$20:BC34)))&amp;",""rating"":"&amp;N(INDEX('Match Day Reports'!$I:$I,$AW34+4+COLUMNS($AX$20:BC34)))&amp;"}")</f>
        <v/>
      </c>
      <c r="BD34" t="str" cm="1">
        <f t="array" ref="BD34">IF(INDEX('Match Day Reports'!$C:$C,$AW34+4+COLUMNS($AX$20:BD34))="","","{""name"":"""&amp;INDEX('Match Day Reports'!$C:$C,$AW34+4+COLUMNS($AX$20:BD34))&amp;""",""status"":"""&amp;INDEX('Match Day Reports'!$D:$D,$AW34+4+COLUMNS($AX$20:BD34))&amp;""",""pos"":"""&amp;INDEX('Match Day Reports'!$E:$E,$AW34+4+COLUMNS($AX$20:BD34))&amp;""",""pos2"":"""&amp;INDEX('Match Day Reports'!$F:$F,$AW34+4+COLUMNS($AX$20:BD34))&amp;""",""goals"":"&amp;N(INDEX('Match Day Reports'!$G:$G,$AW34+4+COLUMNS($AX$20:BD34)))&amp;",""assists"":"&amp;N(INDEX('Match Day Reports'!$H:$H,$AW34+4+COLUMNS($AX$20:BD34)))&amp;",""rating"":"&amp;N(INDEX('Match Day Reports'!$I:$I,$AW34+4+COLUMNS($AX$20:BD34)))&amp;"}")</f>
        <v/>
      </c>
      <c r="BE34" t="str" cm="1">
        <f t="array" ref="BE34">IF(INDEX('Match Day Reports'!$C:$C,$AW34+4+COLUMNS($AX$20:BE34))="","","{""name"":"""&amp;INDEX('Match Day Reports'!$C:$C,$AW34+4+COLUMNS($AX$20:BE34))&amp;""",""status"":"""&amp;INDEX('Match Day Reports'!$D:$D,$AW34+4+COLUMNS($AX$20:BE34))&amp;""",""pos"":"""&amp;INDEX('Match Day Reports'!$E:$E,$AW34+4+COLUMNS($AX$20:BE34))&amp;""",""pos2"":"""&amp;INDEX('Match Day Reports'!$F:$F,$AW34+4+COLUMNS($AX$20:BE34))&amp;""",""goals"":"&amp;N(INDEX('Match Day Reports'!$G:$G,$AW34+4+COLUMNS($AX$20:BE34)))&amp;",""assists"":"&amp;N(INDEX('Match Day Reports'!$H:$H,$AW34+4+COLUMNS($AX$20:BE34)))&amp;",""rating"":"&amp;N(INDEX('Match Day Reports'!$I:$I,$AW34+4+COLUMNS($AX$20:BE34)))&amp;"}")</f>
        <v/>
      </c>
      <c r="BF34" t="str" cm="1">
        <f t="array" ref="BF34">IF(INDEX('Match Day Reports'!$C:$C,$AW34+4+COLUMNS($AX$20:BF34))="","","{""name"":"""&amp;INDEX('Match Day Reports'!$C:$C,$AW34+4+COLUMNS($AX$20:BF34))&amp;""",""status"":"""&amp;INDEX('Match Day Reports'!$D:$D,$AW34+4+COLUMNS($AX$20:BF34))&amp;""",""pos"":"""&amp;INDEX('Match Day Reports'!$E:$E,$AW34+4+COLUMNS($AX$20:BF34))&amp;""",""pos2"":"""&amp;INDEX('Match Day Reports'!$F:$F,$AW34+4+COLUMNS($AX$20:BF34))&amp;""",""goals"":"&amp;N(INDEX('Match Day Reports'!$G:$G,$AW34+4+COLUMNS($AX$20:BF34)))&amp;",""assists"":"&amp;N(INDEX('Match Day Reports'!$H:$H,$AW34+4+COLUMNS($AX$20:BF34)))&amp;",""rating"":"&amp;N(INDEX('Match Day Reports'!$I:$I,$AW34+4+COLUMNS($AX$20:BF34)))&amp;"}")</f>
        <v/>
      </c>
      <c r="BG34" t="str" cm="1">
        <f t="array" ref="BG34">IF(INDEX('Match Day Reports'!$C:$C,$AW34+4+COLUMNS($AX$20:BG34))="","","{""name"":"""&amp;INDEX('Match Day Reports'!$C:$C,$AW34+4+COLUMNS($AX$20:BG34))&amp;""",""status"":"""&amp;INDEX('Match Day Reports'!$D:$D,$AW34+4+COLUMNS($AX$20:BG34))&amp;""",""pos"":"""&amp;INDEX('Match Day Reports'!$E:$E,$AW34+4+COLUMNS($AX$20:BG34))&amp;""",""pos2"":"""&amp;INDEX('Match Day Reports'!$F:$F,$AW34+4+COLUMNS($AX$20:BG34))&amp;""",""goals"":"&amp;N(INDEX('Match Day Reports'!$G:$G,$AW34+4+COLUMNS($AX$20:BG34)))&amp;",""assists"":"&amp;N(INDEX('Match Day Reports'!$H:$H,$AW34+4+COLUMNS($AX$20:BG34)))&amp;",""rating"":"&amp;N(INDEX('Match Day Reports'!$I:$I,$AW34+4+COLUMNS($AX$20:BG34)))&amp;"}")</f>
        <v/>
      </c>
      <c r="BH34" t="str" cm="1">
        <f t="array" ref="BH34">IF(INDEX('Match Day Reports'!$C:$C,$AW34+4+COLUMNS($AX$20:BH34))="","","{""name"":"""&amp;INDEX('Match Day Reports'!$C:$C,$AW34+4+COLUMNS($AX$20:BH34))&amp;""",""status"":"""&amp;INDEX('Match Day Reports'!$D:$D,$AW34+4+COLUMNS($AX$20:BH34))&amp;""",""pos"":"""&amp;INDEX('Match Day Reports'!$E:$E,$AW34+4+COLUMNS($AX$20:BH34))&amp;""",""pos2"":"""&amp;INDEX('Match Day Reports'!$F:$F,$AW34+4+COLUMNS($AX$20:BH34))&amp;""",""goals"":"&amp;N(INDEX('Match Day Reports'!$G:$G,$AW34+4+COLUMNS($AX$20:BH34)))&amp;",""assists"":"&amp;N(INDEX('Match Day Reports'!$H:$H,$AW34+4+COLUMNS($AX$20:BH34)))&amp;",""rating"":"&amp;N(INDEX('Match Day Reports'!$I:$I,$AW34+4+COLUMNS($AX$20:BH34)))&amp;"}")</f>
        <v/>
      </c>
      <c r="BI34" t="str" cm="1">
        <f t="array" ref="BI34">IF(INDEX('Match Day Reports'!$C:$C,$AW34+4+COLUMNS($AX$20:BI34))="","","{""name"":"""&amp;INDEX('Match Day Reports'!$C:$C,$AW34+4+COLUMNS($AX$20:BI34))&amp;""",""status"":"""&amp;INDEX('Match Day Reports'!$D:$D,$AW34+4+COLUMNS($AX$20:BI34))&amp;""",""pos"":"""&amp;INDEX('Match Day Reports'!$E:$E,$AW34+4+COLUMNS($AX$20:BI34))&amp;""",""pos2"":"""&amp;INDEX('Match Day Reports'!$F:$F,$AW34+4+COLUMNS($AX$20:BI34))&amp;""",""goals"":"&amp;N(INDEX('Match Day Reports'!$G:$G,$AW34+4+COLUMNS($AX$20:BI34)))&amp;",""assists"":"&amp;N(INDEX('Match Day Reports'!$H:$H,$AW34+4+COLUMNS($AX$20:BI34)))&amp;",""rating"":"&amp;N(INDEX('Match Day Reports'!$I:$I,$AW34+4+COLUMNS($AX$20:BI34)))&amp;"}")</f>
        <v/>
      </c>
      <c r="BJ34" t="str" cm="1">
        <f t="array" ref="BJ34">IF(INDEX('Match Day Reports'!$C:$C,$AW34+4+COLUMNS($AX$20:BJ34))="","","{""name"":"""&amp;INDEX('Match Day Reports'!$C:$C,$AW34+4+COLUMNS($AX$20:BJ34))&amp;""",""status"":"""&amp;INDEX('Match Day Reports'!$D:$D,$AW34+4+COLUMNS($AX$20:BJ34))&amp;""",""pos"":"""&amp;INDEX('Match Day Reports'!$E:$E,$AW34+4+COLUMNS($AX$20:BJ34))&amp;""",""pos2"":"""&amp;INDEX('Match Day Reports'!$F:$F,$AW34+4+COLUMNS($AX$20:BJ34))&amp;""",""goals"":"&amp;N(INDEX('Match Day Reports'!$G:$G,$AW34+4+COLUMNS($AX$20:BJ34)))&amp;",""assists"":"&amp;N(INDEX('Match Day Reports'!$H:$H,$AW34+4+COLUMNS($AX$20:BJ34)))&amp;",""rating"":"&amp;N(INDEX('Match Day Reports'!$I:$I,$AW34+4+COLUMNS($AX$20:BJ34)))&amp;"}")</f>
        <v/>
      </c>
      <c r="BK34" t="str" cm="1">
        <f t="array" ref="BK34">IF(INDEX('Match Day Reports'!$C:$C,$AW34+4+COLUMNS($AX$20:BK34))="","","{""name"":"""&amp;INDEX('Match Day Reports'!$C:$C,$AW34+4+COLUMNS($AX$20:BK34))&amp;""",""status"":"""&amp;INDEX('Match Day Reports'!$D:$D,$AW34+4+COLUMNS($AX$20:BK34))&amp;""",""pos"":"""&amp;INDEX('Match Day Reports'!$E:$E,$AW34+4+COLUMNS($AX$20:BK34))&amp;""",""pos2"":"""&amp;INDEX('Match Day Reports'!$F:$F,$AW34+4+COLUMNS($AX$20:BK34))&amp;""",""goals"":"&amp;N(INDEX('Match Day Reports'!$G:$G,$AW34+4+COLUMNS($AX$20:BK34)))&amp;",""assists"":"&amp;N(INDEX('Match Day Reports'!$H:$H,$AW34+4+COLUMNS($AX$20:BK34)))&amp;",""rating"":"&amp;N(INDEX('Match Day Reports'!$I:$I,$AW34+4+COLUMNS($AX$20:BK34)))&amp;"}")</f>
        <v/>
      </c>
      <c r="BL34" t="str" cm="1">
        <f t="array" ref="BL34">IF(INDEX('Match Day Reports'!$C:$C,$AW34+4+COLUMNS($AX$20:BL34))="","","{""name"":"""&amp;INDEX('Match Day Reports'!$C:$C,$AW34+4+COLUMNS($AX$20:BL34))&amp;""",""status"":"""&amp;INDEX('Match Day Reports'!$D:$D,$AW34+4+COLUMNS($AX$20:BL34))&amp;""",""pos"":"""&amp;INDEX('Match Day Reports'!$E:$E,$AW34+4+COLUMNS($AX$20:BL34))&amp;""",""pos2"":"""&amp;INDEX('Match Day Reports'!$F:$F,$AW34+4+COLUMNS($AX$20:BL34))&amp;""",""goals"":"&amp;N(INDEX('Match Day Reports'!$G:$G,$AW34+4+COLUMNS($AX$20:BL34)))&amp;",""assists"":"&amp;N(INDEX('Match Day Reports'!$H:$H,$AW34+4+COLUMNS($AX$20:BL34)))&amp;",""rating"":"&amp;N(INDEX('Match Day Reports'!$I:$I,$AW34+4+COLUMNS($AX$20:BL34)))&amp;"}")</f>
        <v/>
      </c>
      <c r="BM34" t="str" cm="1">
        <f t="array" ref="BM34">IF(INDEX('Match Day Reports'!$C:$C,$AW34+4+COLUMNS($AX$20:BM34))="","","{""name"":"""&amp;INDEX('Match Day Reports'!$C:$C,$AW34+4+COLUMNS($AX$20:BM34))&amp;""",""status"":"""&amp;INDEX('Match Day Reports'!$D:$D,$AW34+4+COLUMNS($AX$20:BM34))&amp;""",""pos"":"""&amp;INDEX('Match Day Reports'!$E:$E,$AW34+4+COLUMNS($AX$20:BM34))&amp;""",""pos2"":"""&amp;INDEX('Match Day Reports'!$F:$F,$AW34+4+COLUMNS($AX$20:BM34))&amp;""",""goals"":"&amp;N(INDEX('Match Day Reports'!$G:$G,$AW34+4+COLUMNS($AX$20:BM34)))&amp;",""assists"":"&amp;N(INDEX('Match Day Reports'!$H:$H,$AW34+4+COLUMNS($AX$20:BM34)))&amp;",""rating"":"&amp;N(INDEX('Match Day Reports'!$I:$I,$AW34+4+COLUMNS($AX$20:BM34)))&amp;"}")</f>
        <v/>
      </c>
      <c r="BN34" t="str" cm="1">
        <f t="array" ref="BN34">IF(INDEX('Match Day Reports'!$C:$C,$AW34+4+COLUMNS($AX$20:BN34))="","","{""name"":"""&amp;INDEX('Match Day Reports'!$C:$C,$AW34+4+COLUMNS($AX$20:BN34))&amp;""",""status"":"""&amp;INDEX('Match Day Reports'!$D:$D,$AW34+4+COLUMNS($AX$20:BN34))&amp;""",""pos"":"""&amp;INDEX('Match Day Reports'!$E:$E,$AW34+4+COLUMNS($AX$20:BN34))&amp;""",""pos2"":"""&amp;INDEX('Match Day Reports'!$F:$F,$AW34+4+COLUMNS($AX$20:BN34))&amp;""",""goals"":"&amp;N(INDEX('Match Day Reports'!$G:$G,$AW34+4+COLUMNS($AX$20:BN34)))&amp;",""assists"":"&amp;N(INDEX('Match Day Reports'!$H:$H,$AW34+4+COLUMNS($AX$20:BN34)))&amp;",""rating"":"&amp;N(INDEX('Match Day Reports'!$I:$I,$AW34+4+COLUMNS($AX$20:BN34)))&amp;"}")</f>
        <v/>
      </c>
      <c r="BO34" t="str" cm="1">
        <f t="array" ref="BO34">IF(INDEX('Match Day Reports'!$C:$C,$AW34+4+COLUMNS($AX$20:BO34))="","","{""name"":"""&amp;INDEX('Match Day Reports'!$C:$C,$AW34+4+COLUMNS($AX$20:BO34))&amp;""",""status"":"""&amp;INDEX('Match Day Reports'!$D:$D,$AW34+4+COLUMNS($AX$20:BO34))&amp;""",""pos"":"""&amp;INDEX('Match Day Reports'!$E:$E,$AW34+4+COLUMNS($AX$20:BO34))&amp;""",""pos2"":"""&amp;INDEX('Match Day Reports'!$F:$F,$AW34+4+COLUMNS($AX$20:BO34))&amp;""",""goals"":"&amp;N(INDEX('Match Day Reports'!$G:$G,$AW34+4+COLUMNS($AX$20:BO34)))&amp;",""assists"":"&amp;N(INDEX('Match Day Reports'!$H:$H,$AW34+4+COLUMNS($AX$20:BO34)))&amp;",""rating"":"&amp;N(INDEX('Match Day Reports'!$I:$I,$AW34+4+COLUMNS($AX$20:BO34)))&amp;"}")</f>
        <v/>
      </c>
      <c r="BU34" t="str">
        <f>IF('Team Selection'!$C188="","","{""player"":"""&amp;'Team Selection'!$C188&amp;""",""position"":"""&amp;'Team Selection'!$D188&amp;""",""overallGrade"":"&amp;ROUND(N('Team Selection'!$E188),2)&amp;",""seasonScore"":"&amp;ROUND(N('Team Selection'!$F188),4)&amp;",""status"":"""&amp;'Team Selection'!$G188&amp;"""}")</f>
        <v/>
      </c>
      <c r="BW34" t="str">
        <f>IF('Team Selection'!$C211="","","{""player"":"""&amp;'Team Selection'!$C211&amp;""",""position"":"""&amp;'Team Selection'!$D211&amp;""",""overallGrade"":"&amp;ROUND(N('Team Selection'!$E211),2)&amp;",""seasonScore"":"&amp;ROUND(N('Team Selection'!$F211),4)&amp;",""status"":"""&amp;'Team Selection'!$G211&amp;"""}")</f>
        <v/>
      </c>
      <c r="BZ34" cm="1">
        <f t="array" ref="BZ34">IF(Attendance!$D19="","",SUMPRODUCT((Attendance!$E$4:$CN$4="Att")*(Attendance!$E19:$CN19&lt;&gt;"")))</f>
        <v>3</v>
      </c>
      <c r="CA34" cm="1">
        <f t="array" ref="CA34">IF(Attendance!$D19="","",SUMPRODUCT((Attendance!$CP$4:$FY$4="Att")*((Attendance!$CP19:$FY19&lt;&gt;"")+(Attendance!$CQ19:$FZ19&lt;&gt;"")+(Attendance!$CR19:$GA19&lt;&gt;"")+(Attendance!$CS19:$GB19&lt;&gt;"")&gt;0)))</f>
        <v>1</v>
      </c>
    </row>
    <row r="35" spans="1:79" ht="15.75" x14ac:dyDescent="0.5">
      <c r="A35" s="45" t="s">
        <v>437</v>
      </c>
      <c r="B35" s="290" t="str">
        <f>IF($B$22="","Paste the live site JSON into B22 to run the check",IF(COUNTIF($D$25:$D$30,"OK")=6,"IN SYNC - site bands match the workbook (built "&amp;$B$32&amp;")","STALE OR WRONG - "&amp;COUNTIF($D$25:$D$30,"MISMATCH")+COUNTIF($D$25:$D$30,"BAND NOT FOUND")&amp;" of 6 bands differ. Re-copy cell A4 into the website."))</f>
        <v>Paste the live site JSON into B22 to run the check</v>
      </c>
      <c r="J35" t="str">
        <f>IF(Attendance!$D20="","","{""number"":"&amp;Attendance!$C20&amp;",""name"":"""&amp;Attendance!$D20&amp;""",""position"":"""&amp;'Player Grading'!$D21&amp;""",""availability"":"""&amp;'Team Selection'!$E79&amp;""",""unavailableReason"":"""&amp;'Team Selection'!$F79&amp;""",""trainingAttendancePct"":"&amp;ROUND(N(Attendance!$GC20),4)&amp;",""avgWorkRate"":"&amp;ROUND(N(Attendance!$GD20),2)&amp;",""matchdayAttendancePct"":"&amp;ROUND(N(Attendance!$GH20),4)&amp;",""minutes"":"&amp;N(Attendance!$GI20)&amp;",""avgMinutes"":"&amp;ROUND(N(Attendance!$GJ20),1)&amp;",""avgRating"":"&amp;ROUND(N(Attendance!$GK20),2)&amp;",""motm"":"&amp;N(Attendance!$GM20)&amp;",""seasonScore"":"&amp;ROUND(N(Attendance!$GN20),4)&amp;",""comment"":"""&amp;Attendance!$GR20&amp;""",""toWorkOn"":"""&amp;Attendance!$GS20&amp;""",""sessions"":["&amp;$X35&amp;"],""matches"":["&amp;$Z35&amp;"]}")</f>
        <v>{"number":16,"name":"Zara Freeman","position":"ST ","availability":"Yes","unavailableReason":"","trainingAttendancePct":0.6667,"avgWorkRate":3,"matchdayAttendancePct":0,"minutes":0,"avgMinutes":0,"avgRating":8.5,"motm":0,"seasonScore":0.6278,"comment":"","toWorkOn":"","sessions":[[0,0],[1,3],[1,3]],"matches":[[-1,0,8.5,0]]}</v>
      </c>
      <c r="L35" t="str">
        <f>IF(Workings!$AE21="","","{""gw"":"&amp;Workings!$AD21&amp;",""date"":"""&amp;TEXT(Workings!$AE21,"yyyy-mm-dd")&amp;""",""opponent"":"""&amp;Workings!$AF21&amp;""",""venue"":"""&amp;Workings!$AG21&amp;""",""gf"":"&amp;N(Workings!$AH21)&amp;",""ga"":"&amp;N(Workings!$AI21)&amp;",""result"":"""&amp;Workings!$AJ21&amp;"""}")</f>
        <v/>
      </c>
      <c r="N35" t="str">
        <f t="array" ref="N35">IF(LEN(INDEX(Attendance!$E$3:$CN$3,1,(16-1)*2+1))=0,"","{""index"":16,""gw"":8,""date"":"""&amp;TEXT(INDEX(Attendance!$E$3:$CN$3,1,(16-1)*2+1),"yyyy-mm-dd")&amp;"""}")</f>
        <v/>
      </c>
      <c r="T35" t="str">
        <f>IF('Team Selection'!$C55="","","{""player"":"""&amp;'Team Selection'!$C55&amp;""",""position"":"""&amp;'Team Selection'!$D55&amp;""",""overallGrade"":"&amp;ROUND(N('Team Selection'!$E55),2)&amp;",""seasonScore"":"&amp;ROUND(N('Team Selection'!$F55),4)&amp;",""status"":"""&amp;'Team Selection'!$G55&amp;"""}")</f>
        <v/>
      </c>
      <c r="V35" t="str">
        <f>IF(OR('Team Selection'!$C79="",'Team Selection'!$E79="Yes"),"","{""player"":"""&amp;'Team Selection'!$C79&amp;""",""reason"":"""&amp;'Team Selection'!$F79&amp;"""}")</f>
        <v/>
      </c>
      <c r="X35" t="str" cm="1">
        <f t="array" ref="X35">IF(Attendance!$D20="","",_xlfn.TEXTJOIN(",",TRUE(),IF((Attendance!$E$4:$CN$4="Att")*((COLUMN(Attendance!$E$4:$CN$4)-COLUMN(Attendance!$E$4))/2+1&lt;=$BZ$41),"["&amp;IF(Attendance!$E20:$CN20="Yes",1,0)&amp;","&amp;IF(Attendance!$F20:$CO20="",0,Attendance!$F20:$CO20)&amp;"]","")))</f>
        <v>[0,0],[1,3],[1,3]</v>
      </c>
      <c r="Z35" t="str" cm="1">
        <f t="array" ref="Z35">IF(Attendance!$D20="","",_xlfn.TEXTJOIN(",",TRUE(),IF((Attendance!$CP$4:$FY$4="Att")*((COLUMN(Attendance!$CP$4:$FY$4)-COLUMN(Attendance!$CP$4))/4+1&lt;=$BZ$42),"["&amp;IF(Attendance!$CP20:$FY20="Yes",1,IF(Attendance!$CP20:$FY20="No",0,-1))&amp;","&amp;IF(Attendance!$CQ20:$FZ20="",0,Attendance!$CQ20:$FZ20)&amp;","&amp;IF(Attendance!$CR20:$GA20="",0,Attendance!$CR20:$GA20)&amp;","&amp;IF(Attendance!$CS20:$GB20="Yes",1,0)&amp;"]","")))</f>
        <v>[-1,0,8.5,0]</v>
      </c>
      <c r="AB35" t="str" cm="1">
        <f t="array" ref="AB35">IF(AND(INDEX('Match Day Reports'!$C:$C,$AW35+2)="",COUNTIF($AX35:$BO35,"?*")=0),"","{""gw"":"&amp;ROWS($AB$20:AB35)&amp;",""date"":"""&amp;IF(INDEX('Match Day Reports'!$B:$B,$AW35+2)="","",TEXT(INDEX('Match Day Reports'!$B:$B,$AW35+2),"yyyy-mm-dd"))&amp;""""&amp;",""opponent"":"""&amp;INDEX('Match Day Reports'!$C:$C,$AW35+2)&amp;""""&amp;",""venue"":"""&amp;INDEX('Match Day Reports'!$D:$D,$AW35+2)&amp;""""&amp;",""gf"":"&amp;N(INDEX('Match Day Reports'!$E:$E,$AW35+2))&amp;",""ga"":"&amp;N(INDEX('Match Day Reports'!$F:$F,$AW35+2))&amp;",""result"":"""&amp;INDEX('Match Day Reports'!$G:$G,$AW35+2)&amp;""""&amp;",""motm"":"""&amp;INDEX('Match Day Reports'!$H:$H,$AW35+2)&amp;""""&amp;",""xi"":["&amp;_xlfn.TEXTJOIN(",",TRUE(),$AX35:$BH35)&amp;"]"&amp;",""subs"":["&amp;_xlfn.TEXTJOIN(",",TRUE(),$BI35:$BO35)&amp;"]"&amp;",""matchNotes"":"""&amp;SUBSTITUTE(SUBSTITUTE(INDEX('Match Day Reports'!$C:$C,$AW35+24),"""","'"),CHAR(10)," ")&amp;""""&amp;",""keyNotes"":"""&amp;SUBSTITUTE(SUBSTITUTE(INDEX('Match Day Reports'!$C:$C,$AW35+25),"""","'"),CHAR(10)," ")&amp;""""&amp;"}")</f>
        <v/>
      </c>
      <c r="AD35" t="str">
        <f>IF(Workings!$AO21="","","{""name"":"""&amp;Workings!$AO21&amp;""",""rank"":"&amp;N(Workings!$AX21)&amp;",""sessionsAttended"":"&amp;N(Workings!$AP21)&amp;",""sessionsHeld"":"&amp;N(Workings!$AQ21)&amp;",""attendancePct"":"&amp;ROUND(N(Workings!$AR21),4)&amp;",""avgWorkRate"":"&amp;ROUND(N(Workings!$AS21),2)&amp;",""gradePct"":"&amp;ROUND(N(Workings!$AT21),4)&amp;",""readinessBand"":"""&amp;Workings!$AU21&amp;"""}")</f>
        <v>{"name":"Zara Freeman","rank":14,"sessionsAttended":3,"sessionsHeld":11,"attendancePct":0.2727,"avgWorkRate":3.33,"gradePct":0.2545,"readinessBand":"Insufficient data"}</v>
      </c>
      <c r="AP35">
        <f>IF(Dashboard!$C108="","",N(Dashboard!$G108)*1000-ROW())</f>
        <v>965</v>
      </c>
      <c r="AR35">
        <f>IF(Dashboard!$C108="","",N(Dashboard!$H108)*1000-ROW())</f>
        <v>-35</v>
      </c>
      <c r="AW35">
        <f>80+(ROWS($AW$20:AW35)-1)*27</f>
        <v>485</v>
      </c>
      <c r="AX35" t="str" cm="1">
        <f t="array" ref="AX35">IF(INDEX('Match Day Reports'!$C:$C,$AW35+4+COLUMNS($AX$20:AX35))="","","{""name"":"""&amp;INDEX('Match Day Reports'!$C:$C,$AW35+4+COLUMNS($AX$20:AX35))&amp;""",""status"":"""&amp;INDEX('Match Day Reports'!$D:$D,$AW35+4+COLUMNS($AX$20:AX35))&amp;""",""pos"":"""&amp;INDEX('Match Day Reports'!$E:$E,$AW35+4+COLUMNS($AX$20:AX35))&amp;""",""pos2"":"""&amp;INDEX('Match Day Reports'!$F:$F,$AW35+4+COLUMNS($AX$20:AX35))&amp;""",""goals"":"&amp;N(INDEX('Match Day Reports'!$G:$G,$AW35+4+COLUMNS($AX$20:AX35)))&amp;",""assists"":"&amp;N(INDEX('Match Day Reports'!$H:$H,$AW35+4+COLUMNS($AX$20:AX35)))&amp;",""rating"":"&amp;N(INDEX('Match Day Reports'!$I:$I,$AW35+4+COLUMNS($AX$20:AX35)))&amp;"}")</f>
        <v/>
      </c>
      <c r="AY35" t="str" cm="1">
        <f t="array" ref="AY35">IF(INDEX('Match Day Reports'!$C:$C,$AW35+4+COLUMNS($AX$20:AY35))="","","{""name"":"""&amp;INDEX('Match Day Reports'!$C:$C,$AW35+4+COLUMNS($AX$20:AY35))&amp;""",""status"":"""&amp;INDEX('Match Day Reports'!$D:$D,$AW35+4+COLUMNS($AX$20:AY35))&amp;""",""pos"":"""&amp;INDEX('Match Day Reports'!$E:$E,$AW35+4+COLUMNS($AX$20:AY35))&amp;""",""pos2"":"""&amp;INDEX('Match Day Reports'!$F:$F,$AW35+4+COLUMNS($AX$20:AY35))&amp;""",""goals"":"&amp;N(INDEX('Match Day Reports'!$G:$G,$AW35+4+COLUMNS($AX$20:AY35)))&amp;",""assists"":"&amp;N(INDEX('Match Day Reports'!$H:$H,$AW35+4+COLUMNS($AX$20:AY35)))&amp;",""rating"":"&amp;N(INDEX('Match Day Reports'!$I:$I,$AW35+4+COLUMNS($AX$20:AY35)))&amp;"}")</f>
        <v/>
      </c>
      <c r="AZ35" t="str" cm="1">
        <f t="array" ref="AZ35">IF(INDEX('Match Day Reports'!$C:$C,$AW35+4+COLUMNS($AX$20:AZ35))="","","{""name"":"""&amp;INDEX('Match Day Reports'!$C:$C,$AW35+4+COLUMNS($AX$20:AZ35))&amp;""",""status"":"""&amp;INDEX('Match Day Reports'!$D:$D,$AW35+4+COLUMNS($AX$20:AZ35))&amp;""",""pos"":"""&amp;INDEX('Match Day Reports'!$E:$E,$AW35+4+COLUMNS($AX$20:AZ35))&amp;""",""pos2"":"""&amp;INDEX('Match Day Reports'!$F:$F,$AW35+4+COLUMNS($AX$20:AZ35))&amp;""",""goals"":"&amp;N(INDEX('Match Day Reports'!$G:$G,$AW35+4+COLUMNS($AX$20:AZ35)))&amp;",""assists"":"&amp;N(INDEX('Match Day Reports'!$H:$H,$AW35+4+COLUMNS($AX$20:AZ35)))&amp;",""rating"":"&amp;N(INDEX('Match Day Reports'!$I:$I,$AW35+4+COLUMNS($AX$20:AZ35)))&amp;"}")</f>
        <v/>
      </c>
      <c r="BA35" t="str" cm="1">
        <f t="array" ref="BA35">IF(INDEX('Match Day Reports'!$C:$C,$AW35+4+COLUMNS($AX$20:BA35))="","","{""name"":"""&amp;INDEX('Match Day Reports'!$C:$C,$AW35+4+COLUMNS($AX$20:BA35))&amp;""",""status"":"""&amp;INDEX('Match Day Reports'!$D:$D,$AW35+4+COLUMNS($AX$20:BA35))&amp;""",""pos"":"""&amp;INDEX('Match Day Reports'!$E:$E,$AW35+4+COLUMNS($AX$20:BA35))&amp;""",""pos2"":"""&amp;INDEX('Match Day Reports'!$F:$F,$AW35+4+COLUMNS($AX$20:BA35))&amp;""",""goals"":"&amp;N(INDEX('Match Day Reports'!$G:$G,$AW35+4+COLUMNS($AX$20:BA35)))&amp;",""assists"":"&amp;N(INDEX('Match Day Reports'!$H:$H,$AW35+4+COLUMNS($AX$20:BA35)))&amp;",""rating"":"&amp;N(INDEX('Match Day Reports'!$I:$I,$AW35+4+COLUMNS($AX$20:BA35)))&amp;"}")</f>
        <v/>
      </c>
      <c r="BB35" t="str" cm="1">
        <f t="array" ref="BB35">IF(INDEX('Match Day Reports'!$C:$C,$AW35+4+COLUMNS($AX$20:BB35))="","","{""name"":"""&amp;INDEX('Match Day Reports'!$C:$C,$AW35+4+COLUMNS($AX$20:BB35))&amp;""",""status"":"""&amp;INDEX('Match Day Reports'!$D:$D,$AW35+4+COLUMNS($AX$20:BB35))&amp;""",""pos"":"""&amp;INDEX('Match Day Reports'!$E:$E,$AW35+4+COLUMNS($AX$20:BB35))&amp;""",""pos2"":"""&amp;INDEX('Match Day Reports'!$F:$F,$AW35+4+COLUMNS($AX$20:BB35))&amp;""",""goals"":"&amp;N(INDEX('Match Day Reports'!$G:$G,$AW35+4+COLUMNS($AX$20:BB35)))&amp;",""assists"":"&amp;N(INDEX('Match Day Reports'!$H:$H,$AW35+4+COLUMNS($AX$20:BB35)))&amp;",""rating"":"&amp;N(INDEX('Match Day Reports'!$I:$I,$AW35+4+COLUMNS($AX$20:BB35)))&amp;"}")</f>
        <v/>
      </c>
      <c r="BC35" t="str" cm="1">
        <f t="array" ref="BC35">IF(INDEX('Match Day Reports'!$C:$C,$AW35+4+COLUMNS($AX$20:BC35))="","","{""name"":"""&amp;INDEX('Match Day Reports'!$C:$C,$AW35+4+COLUMNS($AX$20:BC35))&amp;""",""status"":"""&amp;INDEX('Match Day Reports'!$D:$D,$AW35+4+COLUMNS($AX$20:BC35))&amp;""",""pos"":"""&amp;INDEX('Match Day Reports'!$E:$E,$AW35+4+COLUMNS($AX$20:BC35))&amp;""",""pos2"":"""&amp;INDEX('Match Day Reports'!$F:$F,$AW35+4+COLUMNS($AX$20:BC35))&amp;""",""goals"":"&amp;N(INDEX('Match Day Reports'!$G:$G,$AW35+4+COLUMNS($AX$20:BC35)))&amp;",""assists"":"&amp;N(INDEX('Match Day Reports'!$H:$H,$AW35+4+COLUMNS($AX$20:BC35)))&amp;",""rating"":"&amp;N(INDEX('Match Day Reports'!$I:$I,$AW35+4+COLUMNS($AX$20:BC35)))&amp;"}")</f>
        <v/>
      </c>
      <c r="BD35" t="str" cm="1">
        <f t="array" ref="BD35">IF(INDEX('Match Day Reports'!$C:$C,$AW35+4+COLUMNS($AX$20:BD35))="","","{""name"":"""&amp;INDEX('Match Day Reports'!$C:$C,$AW35+4+COLUMNS($AX$20:BD35))&amp;""",""status"":"""&amp;INDEX('Match Day Reports'!$D:$D,$AW35+4+COLUMNS($AX$20:BD35))&amp;""",""pos"":"""&amp;INDEX('Match Day Reports'!$E:$E,$AW35+4+COLUMNS($AX$20:BD35))&amp;""",""pos2"":"""&amp;INDEX('Match Day Reports'!$F:$F,$AW35+4+COLUMNS($AX$20:BD35))&amp;""",""goals"":"&amp;N(INDEX('Match Day Reports'!$G:$G,$AW35+4+COLUMNS($AX$20:BD35)))&amp;",""assists"":"&amp;N(INDEX('Match Day Reports'!$H:$H,$AW35+4+COLUMNS($AX$20:BD35)))&amp;",""rating"":"&amp;N(INDEX('Match Day Reports'!$I:$I,$AW35+4+COLUMNS($AX$20:BD35)))&amp;"}")</f>
        <v/>
      </c>
      <c r="BE35" t="str" cm="1">
        <f t="array" ref="BE35">IF(INDEX('Match Day Reports'!$C:$C,$AW35+4+COLUMNS($AX$20:BE35))="","","{""name"":"""&amp;INDEX('Match Day Reports'!$C:$C,$AW35+4+COLUMNS($AX$20:BE35))&amp;""",""status"":"""&amp;INDEX('Match Day Reports'!$D:$D,$AW35+4+COLUMNS($AX$20:BE35))&amp;""",""pos"":"""&amp;INDEX('Match Day Reports'!$E:$E,$AW35+4+COLUMNS($AX$20:BE35))&amp;""",""pos2"":"""&amp;INDEX('Match Day Reports'!$F:$F,$AW35+4+COLUMNS($AX$20:BE35))&amp;""",""goals"":"&amp;N(INDEX('Match Day Reports'!$G:$G,$AW35+4+COLUMNS($AX$20:BE35)))&amp;",""assists"":"&amp;N(INDEX('Match Day Reports'!$H:$H,$AW35+4+COLUMNS($AX$20:BE35)))&amp;",""rating"":"&amp;N(INDEX('Match Day Reports'!$I:$I,$AW35+4+COLUMNS($AX$20:BE35)))&amp;"}")</f>
        <v/>
      </c>
      <c r="BF35" t="str" cm="1">
        <f t="array" ref="BF35">IF(INDEX('Match Day Reports'!$C:$C,$AW35+4+COLUMNS($AX$20:BF35))="","","{""name"":"""&amp;INDEX('Match Day Reports'!$C:$C,$AW35+4+COLUMNS($AX$20:BF35))&amp;""",""status"":"""&amp;INDEX('Match Day Reports'!$D:$D,$AW35+4+COLUMNS($AX$20:BF35))&amp;""",""pos"":"""&amp;INDEX('Match Day Reports'!$E:$E,$AW35+4+COLUMNS($AX$20:BF35))&amp;""",""pos2"":"""&amp;INDEX('Match Day Reports'!$F:$F,$AW35+4+COLUMNS($AX$20:BF35))&amp;""",""goals"":"&amp;N(INDEX('Match Day Reports'!$G:$G,$AW35+4+COLUMNS($AX$20:BF35)))&amp;",""assists"":"&amp;N(INDEX('Match Day Reports'!$H:$H,$AW35+4+COLUMNS($AX$20:BF35)))&amp;",""rating"":"&amp;N(INDEX('Match Day Reports'!$I:$I,$AW35+4+COLUMNS($AX$20:BF35)))&amp;"}")</f>
        <v/>
      </c>
      <c r="BG35" t="str" cm="1">
        <f t="array" ref="BG35">IF(INDEX('Match Day Reports'!$C:$C,$AW35+4+COLUMNS($AX$20:BG35))="","","{""name"":"""&amp;INDEX('Match Day Reports'!$C:$C,$AW35+4+COLUMNS($AX$20:BG35))&amp;""",""status"":"""&amp;INDEX('Match Day Reports'!$D:$D,$AW35+4+COLUMNS($AX$20:BG35))&amp;""",""pos"":"""&amp;INDEX('Match Day Reports'!$E:$E,$AW35+4+COLUMNS($AX$20:BG35))&amp;""",""pos2"":"""&amp;INDEX('Match Day Reports'!$F:$F,$AW35+4+COLUMNS($AX$20:BG35))&amp;""",""goals"":"&amp;N(INDEX('Match Day Reports'!$G:$G,$AW35+4+COLUMNS($AX$20:BG35)))&amp;",""assists"":"&amp;N(INDEX('Match Day Reports'!$H:$H,$AW35+4+COLUMNS($AX$20:BG35)))&amp;",""rating"":"&amp;N(INDEX('Match Day Reports'!$I:$I,$AW35+4+COLUMNS($AX$20:BG35)))&amp;"}")</f>
        <v/>
      </c>
      <c r="BH35" t="str" cm="1">
        <f t="array" ref="BH35">IF(INDEX('Match Day Reports'!$C:$C,$AW35+4+COLUMNS($AX$20:BH35))="","","{""name"":"""&amp;INDEX('Match Day Reports'!$C:$C,$AW35+4+COLUMNS($AX$20:BH35))&amp;""",""status"":"""&amp;INDEX('Match Day Reports'!$D:$D,$AW35+4+COLUMNS($AX$20:BH35))&amp;""",""pos"":"""&amp;INDEX('Match Day Reports'!$E:$E,$AW35+4+COLUMNS($AX$20:BH35))&amp;""",""pos2"":"""&amp;INDEX('Match Day Reports'!$F:$F,$AW35+4+COLUMNS($AX$20:BH35))&amp;""",""goals"":"&amp;N(INDEX('Match Day Reports'!$G:$G,$AW35+4+COLUMNS($AX$20:BH35)))&amp;",""assists"":"&amp;N(INDEX('Match Day Reports'!$H:$H,$AW35+4+COLUMNS($AX$20:BH35)))&amp;",""rating"":"&amp;N(INDEX('Match Day Reports'!$I:$I,$AW35+4+COLUMNS($AX$20:BH35)))&amp;"}")</f>
        <v/>
      </c>
      <c r="BI35" t="str" cm="1">
        <f t="array" ref="BI35">IF(INDEX('Match Day Reports'!$C:$C,$AW35+4+COLUMNS($AX$20:BI35))="","","{""name"":"""&amp;INDEX('Match Day Reports'!$C:$C,$AW35+4+COLUMNS($AX$20:BI35))&amp;""",""status"":"""&amp;INDEX('Match Day Reports'!$D:$D,$AW35+4+COLUMNS($AX$20:BI35))&amp;""",""pos"":"""&amp;INDEX('Match Day Reports'!$E:$E,$AW35+4+COLUMNS($AX$20:BI35))&amp;""",""pos2"":"""&amp;INDEX('Match Day Reports'!$F:$F,$AW35+4+COLUMNS($AX$20:BI35))&amp;""",""goals"":"&amp;N(INDEX('Match Day Reports'!$G:$G,$AW35+4+COLUMNS($AX$20:BI35)))&amp;",""assists"":"&amp;N(INDEX('Match Day Reports'!$H:$H,$AW35+4+COLUMNS($AX$20:BI35)))&amp;",""rating"":"&amp;N(INDEX('Match Day Reports'!$I:$I,$AW35+4+COLUMNS($AX$20:BI35)))&amp;"}")</f>
        <v/>
      </c>
      <c r="BJ35" t="str" cm="1">
        <f t="array" ref="BJ35">IF(INDEX('Match Day Reports'!$C:$C,$AW35+4+COLUMNS($AX$20:BJ35))="","","{""name"":"""&amp;INDEX('Match Day Reports'!$C:$C,$AW35+4+COLUMNS($AX$20:BJ35))&amp;""",""status"":"""&amp;INDEX('Match Day Reports'!$D:$D,$AW35+4+COLUMNS($AX$20:BJ35))&amp;""",""pos"":"""&amp;INDEX('Match Day Reports'!$E:$E,$AW35+4+COLUMNS($AX$20:BJ35))&amp;""",""pos2"":"""&amp;INDEX('Match Day Reports'!$F:$F,$AW35+4+COLUMNS($AX$20:BJ35))&amp;""",""goals"":"&amp;N(INDEX('Match Day Reports'!$G:$G,$AW35+4+COLUMNS($AX$20:BJ35)))&amp;",""assists"":"&amp;N(INDEX('Match Day Reports'!$H:$H,$AW35+4+COLUMNS($AX$20:BJ35)))&amp;",""rating"":"&amp;N(INDEX('Match Day Reports'!$I:$I,$AW35+4+COLUMNS($AX$20:BJ35)))&amp;"}")</f>
        <v/>
      </c>
      <c r="BK35" t="str" cm="1">
        <f t="array" ref="BK35">IF(INDEX('Match Day Reports'!$C:$C,$AW35+4+COLUMNS($AX$20:BK35))="","","{""name"":"""&amp;INDEX('Match Day Reports'!$C:$C,$AW35+4+COLUMNS($AX$20:BK35))&amp;""",""status"":"""&amp;INDEX('Match Day Reports'!$D:$D,$AW35+4+COLUMNS($AX$20:BK35))&amp;""",""pos"":"""&amp;INDEX('Match Day Reports'!$E:$E,$AW35+4+COLUMNS($AX$20:BK35))&amp;""",""pos2"":"""&amp;INDEX('Match Day Reports'!$F:$F,$AW35+4+COLUMNS($AX$20:BK35))&amp;""",""goals"":"&amp;N(INDEX('Match Day Reports'!$G:$G,$AW35+4+COLUMNS($AX$20:BK35)))&amp;",""assists"":"&amp;N(INDEX('Match Day Reports'!$H:$H,$AW35+4+COLUMNS($AX$20:BK35)))&amp;",""rating"":"&amp;N(INDEX('Match Day Reports'!$I:$I,$AW35+4+COLUMNS($AX$20:BK35)))&amp;"}")</f>
        <v/>
      </c>
      <c r="BL35" t="str" cm="1">
        <f t="array" ref="BL35">IF(INDEX('Match Day Reports'!$C:$C,$AW35+4+COLUMNS($AX$20:BL35))="","","{""name"":"""&amp;INDEX('Match Day Reports'!$C:$C,$AW35+4+COLUMNS($AX$20:BL35))&amp;""",""status"":"""&amp;INDEX('Match Day Reports'!$D:$D,$AW35+4+COLUMNS($AX$20:BL35))&amp;""",""pos"":"""&amp;INDEX('Match Day Reports'!$E:$E,$AW35+4+COLUMNS($AX$20:BL35))&amp;""",""pos2"":"""&amp;INDEX('Match Day Reports'!$F:$F,$AW35+4+COLUMNS($AX$20:BL35))&amp;""",""goals"":"&amp;N(INDEX('Match Day Reports'!$G:$G,$AW35+4+COLUMNS($AX$20:BL35)))&amp;",""assists"":"&amp;N(INDEX('Match Day Reports'!$H:$H,$AW35+4+COLUMNS($AX$20:BL35)))&amp;",""rating"":"&amp;N(INDEX('Match Day Reports'!$I:$I,$AW35+4+COLUMNS($AX$20:BL35)))&amp;"}")</f>
        <v/>
      </c>
      <c r="BM35" t="str" cm="1">
        <f t="array" ref="BM35">IF(INDEX('Match Day Reports'!$C:$C,$AW35+4+COLUMNS($AX$20:BM35))="","","{""name"":"""&amp;INDEX('Match Day Reports'!$C:$C,$AW35+4+COLUMNS($AX$20:BM35))&amp;""",""status"":"""&amp;INDEX('Match Day Reports'!$D:$D,$AW35+4+COLUMNS($AX$20:BM35))&amp;""",""pos"":"""&amp;INDEX('Match Day Reports'!$E:$E,$AW35+4+COLUMNS($AX$20:BM35))&amp;""",""pos2"":"""&amp;INDEX('Match Day Reports'!$F:$F,$AW35+4+COLUMNS($AX$20:BM35))&amp;""",""goals"":"&amp;N(INDEX('Match Day Reports'!$G:$G,$AW35+4+COLUMNS($AX$20:BM35)))&amp;",""assists"":"&amp;N(INDEX('Match Day Reports'!$H:$H,$AW35+4+COLUMNS($AX$20:BM35)))&amp;",""rating"":"&amp;N(INDEX('Match Day Reports'!$I:$I,$AW35+4+COLUMNS($AX$20:BM35)))&amp;"}")</f>
        <v/>
      </c>
      <c r="BN35" t="str" cm="1">
        <f t="array" ref="BN35">IF(INDEX('Match Day Reports'!$C:$C,$AW35+4+COLUMNS($AX$20:BN35))="","","{""name"":"""&amp;INDEX('Match Day Reports'!$C:$C,$AW35+4+COLUMNS($AX$20:BN35))&amp;""",""status"":"""&amp;INDEX('Match Day Reports'!$D:$D,$AW35+4+COLUMNS($AX$20:BN35))&amp;""",""pos"":"""&amp;INDEX('Match Day Reports'!$E:$E,$AW35+4+COLUMNS($AX$20:BN35))&amp;""",""pos2"":"""&amp;INDEX('Match Day Reports'!$F:$F,$AW35+4+COLUMNS($AX$20:BN35))&amp;""",""goals"":"&amp;N(INDEX('Match Day Reports'!$G:$G,$AW35+4+COLUMNS($AX$20:BN35)))&amp;",""assists"":"&amp;N(INDEX('Match Day Reports'!$H:$H,$AW35+4+COLUMNS($AX$20:BN35)))&amp;",""rating"":"&amp;N(INDEX('Match Day Reports'!$I:$I,$AW35+4+COLUMNS($AX$20:BN35)))&amp;"}")</f>
        <v/>
      </c>
      <c r="BO35" t="str" cm="1">
        <f t="array" ref="BO35">IF(INDEX('Match Day Reports'!$C:$C,$AW35+4+COLUMNS($AX$20:BO35))="","","{""name"":"""&amp;INDEX('Match Day Reports'!$C:$C,$AW35+4+COLUMNS($AX$20:BO35))&amp;""",""status"":"""&amp;INDEX('Match Day Reports'!$D:$D,$AW35+4+COLUMNS($AX$20:BO35))&amp;""",""pos"":"""&amp;INDEX('Match Day Reports'!$E:$E,$AW35+4+COLUMNS($AX$20:BO35))&amp;""",""pos2"":"""&amp;INDEX('Match Day Reports'!$F:$F,$AW35+4+COLUMNS($AX$20:BO35))&amp;""",""goals"":"&amp;N(INDEX('Match Day Reports'!$G:$G,$AW35+4+COLUMNS($AX$20:BO35)))&amp;",""assists"":"&amp;N(INDEX('Match Day Reports'!$H:$H,$AW35+4+COLUMNS($AX$20:BO35)))&amp;",""rating"":"&amp;N(INDEX('Match Day Reports'!$I:$I,$AW35+4+COLUMNS($AX$20:BO35)))&amp;"}")</f>
        <v/>
      </c>
      <c r="BU35" t="str">
        <f>IF('Team Selection'!$C189="","","{""player"":"""&amp;'Team Selection'!$C189&amp;""",""position"":"""&amp;'Team Selection'!$D189&amp;""",""overallGrade"":"&amp;ROUND(N('Team Selection'!$E189),2)&amp;",""seasonScore"":"&amp;ROUND(N('Team Selection'!$F189),4)&amp;",""status"":"""&amp;'Team Selection'!$G189&amp;"""}")</f>
        <v/>
      </c>
      <c r="BW35" t="str">
        <f>IF('Team Selection'!$C212="","","{""player"":"""&amp;'Team Selection'!$C212&amp;""",""position"":"""&amp;'Team Selection'!$D212&amp;""",""overallGrade"":"&amp;ROUND(N('Team Selection'!$E212),2)&amp;",""seasonScore"":"&amp;ROUND(N('Team Selection'!$F212),4)&amp;",""status"":"""&amp;'Team Selection'!$G212&amp;"""}")</f>
        <v/>
      </c>
      <c r="BZ35" cm="1">
        <f t="array" ref="BZ35">IF(Attendance!$D20="","",SUMPRODUCT((Attendance!$E$4:$CN$4="Att")*(Attendance!$E20:$CN20&lt;&gt;"")))</f>
        <v>3</v>
      </c>
      <c r="CA35" cm="1">
        <f t="array" ref="CA35">IF(Attendance!$D20="","",SUMPRODUCT((Attendance!$CP$4:$FY$4="Att")*((Attendance!$CP20:$FY20&lt;&gt;"")+(Attendance!$CQ20:$FZ20&lt;&gt;"")+(Attendance!$CR20:$GA20&lt;&gt;"")+(Attendance!$CS20:$GB20&lt;&gt;"")&gt;0)))</f>
        <v>1</v>
      </c>
    </row>
    <row r="36" spans="1:79" x14ac:dyDescent="0.45">
      <c r="J36" t="str">
        <f>IF(Attendance!$D21="","","{""number"":"&amp;Attendance!$C21&amp;",""name"":"""&amp;Attendance!$D21&amp;""",""position"":"""&amp;'Player Grading'!$D22&amp;""",""availability"":"""&amp;'Team Selection'!$E80&amp;""",""unavailableReason"":"""&amp;'Team Selection'!$F80&amp;""",""trainingAttendancePct"":"&amp;ROUND(N(Attendance!$GC21),4)&amp;",""avgWorkRate"":"&amp;ROUND(N(Attendance!$GD21),2)&amp;",""matchdayAttendancePct"":"&amp;ROUND(N(Attendance!$GH21),4)&amp;",""minutes"":"&amp;N(Attendance!$GI21)&amp;",""avgMinutes"":"&amp;ROUND(N(Attendance!$GJ21),1)&amp;",""avgRating"":"&amp;ROUND(N(Attendance!$GK21),2)&amp;",""motm"":"&amp;N(Attendance!$GM21)&amp;",""seasonScore"":"&amp;ROUND(N(Attendance!$GN21),4)&amp;",""comment"":"""&amp;Attendance!$GR21&amp;""",""toWorkOn"":"""&amp;Attendance!$GS21&amp;""",""sessions"":["&amp;$X36&amp;"],""matches"":["&amp;$Z36&amp;"]}")</f>
        <v>{"number":17,"name":"Mariana Soares","position":"RB / CB","availability":"Yes","unavailableReason":"","trainingAttendancePct":1,"avgWorkRate":3,"matchdayAttendancePct":0,"minutes":0,"avgMinutes":0,"avgRating":7.5,"motm":0,"seasonScore":0.7667,"comment":"","toWorkOn":"","sessions":[[1,3],[1,3],[1,3]],"matches":[[-1,0,7.5,0]]}</v>
      </c>
      <c r="L36" t="str">
        <f>IF(Workings!$AE22="","","{""gw"":"&amp;Workings!$AD22&amp;",""date"":"""&amp;TEXT(Workings!$AE22,"yyyy-mm-dd")&amp;""",""opponent"":"""&amp;Workings!$AF22&amp;""",""venue"":"""&amp;Workings!$AG22&amp;""",""gf"":"&amp;N(Workings!$AH22)&amp;",""ga"":"&amp;N(Workings!$AI22)&amp;",""result"":"""&amp;Workings!$AJ22&amp;"""}")</f>
        <v/>
      </c>
      <c r="N36" t="str">
        <f t="array" ref="N36">IF(LEN(INDEX(Attendance!$E$3:$CN$3,1,(17-1)*2+1))=0,"","{""index"":17,""gw"":9,""date"":"""&amp;TEXT(INDEX(Attendance!$E$3:$CN$3,1,(17-1)*2+1),"yyyy-mm-dd")&amp;"""}")</f>
        <v/>
      </c>
      <c r="T36" t="str">
        <f>IF('Team Selection'!$C56="","","{""player"":"""&amp;'Team Selection'!$C56&amp;""",""position"":"""&amp;'Team Selection'!$D56&amp;""",""overallGrade"":"&amp;ROUND(N('Team Selection'!$E56),2)&amp;",""seasonScore"":"&amp;ROUND(N('Team Selection'!$F56),4)&amp;",""status"":"""&amp;'Team Selection'!$G56&amp;"""}")</f>
        <v/>
      </c>
      <c r="V36" t="str">
        <f>IF(OR('Team Selection'!$C80="",'Team Selection'!$E80="Yes"),"","{""player"":"""&amp;'Team Selection'!$C80&amp;""",""reason"":"""&amp;'Team Selection'!$F80&amp;"""}")</f>
        <v/>
      </c>
      <c r="X36" t="str" cm="1">
        <f t="array" ref="X36">IF(Attendance!$D21="","",_xlfn.TEXTJOIN(",",TRUE(),IF((Attendance!$E$4:$CN$4="Att")*((COLUMN(Attendance!$E$4:$CN$4)-COLUMN(Attendance!$E$4))/2+1&lt;=$BZ$41),"["&amp;IF(Attendance!$E21:$CN21="Yes",1,0)&amp;","&amp;IF(Attendance!$F21:$CO21="",0,Attendance!$F21:$CO21)&amp;"]","")))</f>
        <v>[1,3],[1,3],[1,3]</v>
      </c>
      <c r="Z36" t="str" cm="1">
        <f t="array" ref="Z36">IF(Attendance!$D21="","",_xlfn.TEXTJOIN(",",TRUE(),IF((Attendance!$CP$4:$FY$4="Att")*((COLUMN(Attendance!$CP$4:$FY$4)-COLUMN(Attendance!$CP$4))/4+1&lt;=$BZ$42),"["&amp;IF(Attendance!$CP21:$FY21="Yes",1,IF(Attendance!$CP21:$FY21="No",0,-1))&amp;","&amp;IF(Attendance!$CQ21:$FZ21="",0,Attendance!$CQ21:$FZ21)&amp;","&amp;IF(Attendance!$CR21:$GA21="",0,Attendance!$CR21:$GA21)&amp;","&amp;IF(Attendance!$CS21:$GB21="Yes",1,0)&amp;"]","")))</f>
        <v>[-1,0,7.5,0]</v>
      </c>
      <c r="AB36" t="str" cm="1">
        <f t="array" ref="AB36">IF(AND(INDEX('Match Day Reports'!$C:$C,$AW36+2)="",COUNTIF($AX36:$BO36,"?*")=0),"","{""gw"":"&amp;ROWS($AB$20:AB36)&amp;",""date"":"""&amp;IF(INDEX('Match Day Reports'!$B:$B,$AW36+2)="","",TEXT(INDEX('Match Day Reports'!$B:$B,$AW36+2),"yyyy-mm-dd"))&amp;""""&amp;",""opponent"":"""&amp;INDEX('Match Day Reports'!$C:$C,$AW36+2)&amp;""""&amp;",""venue"":"""&amp;INDEX('Match Day Reports'!$D:$D,$AW36+2)&amp;""""&amp;",""gf"":"&amp;N(INDEX('Match Day Reports'!$E:$E,$AW36+2))&amp;",""ga"":"&amp;N(INDEX('Match Day Reports'!$F:$F,$AW36+2))&amp;",""result"":"""&amp;INDEX('Match Day Reports'!$G:$G,$AW36+2)&amp;""""&amp;",""motm"":"""&amp;INDEX('Match Day Reports'!$H:$H,$AW36+2)&amp;""""&amp;",""xi"":["&amp;_xlfn.TEXTJOIN(",",TRUE(),$AX36:$BH36)&amp;"]"&amp;",""subs"":["&amp;_xlfn.TEXTJOIN(",",TRUE(),$BI36:$BO36)&amp;"]"&amp;",""matchNotes"":"""&amp;SUBSTITUTE(SUBSTITUTE(INDEX('Match Day Reports'!$C:$C,$AW36+24),"""","'"),CHAR(10)," ")&amp;""""&amp;",""keyNotes"":"""&amp;SUBSTITUTE(SUBSTITUTE(INDEX('Match Day Reports'!$C:$C,$AW36+25),"""","'"),CHAR(10)," ")&amp;""""&amp;"}")</f>
        <v/>
      </c>
      <c r="AD36" t="str">
        <f>IF(Workings!$AO22="","","{""name"":"""&amp;Workings!$AO22&amp;""",""rank"":"&amp;N(Workings!$AX22)&amp;",""sessionsAttended"":"&amp;N(Workings!$AP22)&amp;",""sessionsHeld"":"&amp;N(Workings!$AQ22)&amp;",""attendancePct"":"&amp;ROUND(N(Workings!$AR22),4)&amp;",""avgWorkRate"":"&amp;ROUND(N(Workings!$AS22),2)&amp;",""gradePct"":"&amp;ROUND(N(Workings!$AT22),4)&amp;",""readinessBand"":"""&amp;Workings!$AU22&amp;"""}")</f>
        <v>{"name":"Mariana Soares","rank":15,"sessionsAttended":3,"sessionsHeld":11,"attendancePct":0.2727,"avgWorkRate":3,"gradePct":0.24,"readinessBand":"Insufficient data"}</v>
      </c>
      <c r="AP36">
        <f>IF(Dashboard!$C109="","",N(Dashboard!$G109)*1000-ROW())</f>
        <v>-36</v>
      </c>
      <c r="AR36">
        <f>IF(Dashboard!$C109="","",N(Dashboard!$H109)*1000-ROW())</f>
        <v>-36</v>
      </c>
      <c r="AW36">
        <f>80+(ROWS($AW$20:AW36)-1)*27</f>
        <v>512</v>
      </c>
      <c r="AX36" t="str" cm="1">
        <f t="array" ref="AX36">IF(INDEX('Match Day Reports'!$C:$C,$AW36+4+COLUMNS($AX$20:AX36))="","","{""name"":"""&amp;INDEX('Match Day Reports'!$C:$C,$AW36+4+COLUMNS($AX$20:AX36))&amp;""",""status"":"""&amp;INDEX('Match Day Reports'!$D:$D,$AW36+4+COLUMNS($AX$20:AX36))&amp;""",""pos"":"""&amp;INDEX('Match Day Reports'!$E:$E,$AW36+4+COLUMNS($AX$20:AX36))&amp;""",""pos2"":"""&amp;INDEX('Match Day Reports'!$F:$F,$AW36+4+COLUMNS($AX$20:AX36))&amp;""",""goals"":"&amp;N(INDEX('Match Day Reports'!$G:$G,$AW36+4+COLUMNS($AX$20:AX36)))&amp;",""assists"":"&amp;N(INDEX('Match Day Reports'!$H:$H,$AW36+4+COLUMNS($AX$20:AX36)))&amp;",""rating"":"&amp;N(INDEX('Match Day Reports'!$I:$I,$AW36+4+COLUMNS($AX$20:AX36)))&amp;"}")</f>
        <v/>
      </c>
      <c r="AY36" t="str" cm="1">
        <f t="array" ref="AY36">IF(INDEX('Match Day Reports'!$C:$C,$AW36+4+COLUMNS($AX$20:AY36))="","","{""name"":"""&amp;INDEX('Match Day Reports'!$C:$C,$AW36+4+COLUMNS($AX$20:AY36))&amp;""",""status"":"""&amp;INDEX('Match Day Reports'!$D:$D,$AW36+4+COLUMNS($AX$20:AY36))&amp;""",""pos"":"""&amp;INDEX('Match Day Reports'!$E:$E,$AW36+4+COLUMNS($AX$20:AY36))&amp;""",""pos2"":"""&amp;INDEX('Match Day Reports'!$F:$F,$AW36+4+COLUMNS($AX$20:AY36))&amp;""",""goals"":"&amp;N(INDEX('Match Day Reports'!$G:$G,$AW36+4+COLUMNS($AX$20:AY36)))&amp;",""assists"":"&amp;N(INDEX('Match Day Reports'!$H:$H,$AW36+4+COLUMNS($AX$20:AY36)))&amp;",""rating"":"&amp;N(INDEX('Match Day Reports'!$I:$I,$AW36+4+COLUMNS($AX$20:AY36)))&amp;"}")</f>
        <v/>
      </c>
      <c r="AZ36" t="str" cm="1">
        <f t="array" ref="AZ36">IF(INDEX('Match Day Reports'!$C:$C,$AW36+4+COLUMNS($AX$20:AZ36))="","","{""name"":"""&amp;INDEX('Match Day Reports'!$C:$C,$AW36+4+COLUMNS($AX$20:AZ36))&amp;""",""status"":"""&amp;INDEX('Match Day Reports'!$D:$D,$AW36+4+COLUMNS($AX$20:AZ36))&amp;""",""pos"":"""&amp;INDEX('Match Day Reports'!$E:$E,$AW36+4+COLUMNS($AX$20:AZ36))&amp;""",""pos2"":"""&amp;INDEX('Match Day Reports'!$F:$F,$AW36+4+COLUMNS($AX$20:AZ36))&amp;""",""goals"":"&amp;N(INDEX('Match Day Reports'!$G:$G,$AW36+4+COLUMNS($AX$20:AZ36)))&amp;",""assists"":"&amp;N(INDEX('Match Day Reports'!$H:$H,$AW36+4+COLUMNS($AX$20:AZ36)))&amp;",""rating"":"&amp;N(INDEX('Match Day Reports'!$I:$I,$AW36+4+COLUMNS($AX$20:AZ36)))&amp;"}")</f>
        <v/>
      </c>
      <c r="BA36" t="str" cm="1">
        <f t="array" ref="BA36">IF(INDEX('Match Day Reports'!$C:$C,$AW36+4+COLUMNS($AX$20:BA36))="","","{""name"":"""&amp;INDEX('Match Day Reports'!$C:$C,$AW36+4+COLUMNS($AX$20:BA36))&amp;""",""status"":"""&amp;INDEX('Match Day Reports'!$D:$D,$AW36+4+COLUMNS($AX$20:BA36))&amp;""",""pos"":"""&amp;INDEX('Match Day Reports'!$E:$E,$AW36+4+COLUMNS($AX$20:BA36))&amp;""",""pos2"":"""&amp;INDEX('Match Day Reports'!$F:$F,$AW36+4+COLUMNS($AX$20:BA36))&amp;""",""goals"":"&amp;N(INDEX('Match Day Reports'!$G:$G,$AW36+4+COLUMNS($AX$20:BA36)))&amp;",""assists"":"&amp;N(INDEX('Match Day Reports'!$H:$H,$AW36+4+COLUMNS($AX$20:BA36)))&amp;",""rating"":"&amp;N(INDEX('Match Day Reports'!$I:$I,$AW36+4+COLUMNS($AX$20:BA36)))&amp;"}")</f>
        <v/>
      </c>
      <c r="BB36" t="str" cm="1">
        <f t="array" ref="BB36">IF(INDEX('Match Day Reports'!$C:$C,$AW36+4+COLUMNS($AX$20:BB36))="","","{""name"":"""&amp;INDEX('Match Day Reports'!$C:$C,$AW36+4+COLUMNS($AX$20:BB36))&amp;""",""status"":"""&amp;INDEX('Match Day Reports'!$D:$D,$AW36+4+COLUMNS($AX$20:BB36))&amp;""",""pos"":"""&amp;INDEX('Match Day Reports'!$E:$E,$AW36+4+COLUMNS($AX$20:BB36))&amp;""",""pos2"":"""&amp;INDEX('Match Day Reports'!$F:$F,$AW36+4+COLUMNS($AX$20:BB36))&amp;""",""goals"":"&amp;N(INDEX('Match Day Reports'!$G:$G,$AW36+4+COLUMNS($AX$20:BB36)))&amp;",""assists"":"&amp;N(INDEX('Match Day Reports'!$H:$H,$AW36+4+COLUMNS($AX$20:BB36)))&amp;",""rating"":"&amp;N(INDEX('Match Day Reports'!$I:$I,$AW36+4+COLUMNS($AX$20:BB36)))&amp;"}")</f>
        <v/>
      </c>
      <c r="BC36" t="str" cm="1">
        <f t="array" ref="BC36">IF(INDEX('Match Day Reports'!$C:$C,$AW36+4+COLUMNS($AX$20:BC36))="","","{""name"":"""&amp;INDEX('Match Day Reports'!$C:$C,$AW36+4+COLUMNS($AX$20:BC36))&amp;""",""status"":"""&amp;INDEX('Match Day Reports'!$D:$D,$AW36+4+COLUMNS($AX$20:BC36))&amp;""",""pos"":"""&amp;INDEX('Match Day Reports'!$E:$E,$AW36+4+COLUMNS($AX$20:BC36))&amp;""",""pos2"":"""&amp;INDEX('Match Day Reports'!$F:$F,$AW36+4+COLUMNS($AX$20:BC36))&amp;""",""goals"":"&amp;N(INDEX('Match Day Reports'!$G:$G,$AW36+4+COLUMNS($AX$20:BC36)))&amp;",""assists"":"&amp;N(INDEX('Match Day Reports'!$H:$H,$AW36+4+COLUMNS($AX$20:BC36)))&amp;",""rating"":"&amp;N(INDEX('Match Day Reports'!$I:$I,$AW36+4+COLUMNS($AX$20:BC36)))&amp;"}")</f>
        <v/>
      </c>
      <c r="BD36" t="str" cm="1">
        <f t="array" ref="BD36">IF(INDEX('Match Day Reports'!$C:$C,$AW36+4+COLUMNS($AX$20:BD36))="","","{""name"":"""&amp;INDEX('Match Day Reports'!$C:$C,$AW36+4+COLUMNS($AX$20:BD36))&amp;""",""status"":"""&amp;INDEX('Match Day Reports'!$D:$D,$AW36+4+COLUMNS($AX$20:BD36))&amp;""",""pos"":"""&amp;INDEX('Match Day Reports'!$E:$E,$AW36+4+COLUMNS($AX$20:BD36))&amp;""",""pos2"":"""&amp;INDEX('Match Day Reports'!$F:$F,$AW36+4+COLUMNS($AX$20:BD36))&amp;""",""goals"":"&amp;N(INDEX('Match Day Reports'!$G:$G,$AW36+4+COLUMNS($AX$20:BD36)))&amp;",""assists"":"&amp;N(INDEX('Match Day Reports'!$H:$H,$AW36+4+COLUMNS($AX$20:BD36)))&amp;",""rating"":"&amp;N(INDEX('Match Day Reports'!$I:$I,$AW36+4+COLUMNS($AX$20:BD36)))&amp;"}")</f>
        <v/>
      </c>
      <c r="BE36" t="str" cm="1">
        <f t="array" ref="BE36">IF(INDEX('Match Day Reports'!$C:$C,$AW36+4+COLUMNS($AX$20:BE36))="","","{""name"":"""&amp;INDEX('Match Day Reports'!$C:$C,$AW36+4+COLUMNS($AX$20:BE36))&amp;""",""status"":"""&amp;INDEX('Match Day Reports'!$D:$D,$AW36+4+COLUMNS($AX$20:BE36))&amp;""",""pos"":"""&amp;INDEX('Match Day Reports'!$E:$E,$AW36+4+COLUMNS($AX$20:BE36))&amp;""",""pos2"":"""&amp;INDEX('Match Day Reports'!$F:$F,$AW36+4+COLUMNS($AX$20:BE36))&amp;""",""goals"":"&amp;N(INDEX('Match Day Reports'!$G:$G,$AW36+4+COLUMNS($AX$20:BE36)))&amp;",""assists"":"&amp;N(INDEX('Match Day Reports'!$H:$H,$AW36+4+COLUMNS($AX$20:BE36)))&amp;",""rating"":"&amp;N(INDEX('Match Day Reports'!$I:$I,$AW36+4+COLUMNS($AX$20:BE36)))&amp;"}")</f>
        <v/>
      </c>
      <c r="BF36" t="str" cm="1">
        <f t="array" ref="BF36">IF(INDEX('Match Day Reports'!$C:$C,$AW36+4+COLUMNS($AX$20:BF36))="","","{""name"":"""&amp;INDEX('Match Day Reports'!$C:$C,$AW36+4+COLUMNS($AX$20:BF36))&amp;""",""status"":"""&amp;INDEX('Match Day Reports'!$D:$D,$AW36+4+COLUMNS($AX$20:BF36))&amp;""",""pos"":"""&amp;INDEX('Match Day Reports'!$E:$E,$AW36+4+COLUMNS($AX$20:BF36))&amp;""",""pos2"":"""&amp;INDEX('Match Day Reports'!$F:$F,$AW36+4+COLUMNS($AX$20:BF36))&amp;""",""goals"":"&amp;N(INDEX('Match Day Reports'!$G:$G,$AW36+4+COLUMNS($AX$20:BF36)))&amp;",""assists"":"&amp;N(INDEX('Match Day Reports'!$H:$H,$AW36+4+COLUMNS($AX$20:BF36)))&amp;",""rating"":"&amp;N(INDEX('Match Day Reports'!$I:$I,$AW36+4+COLUMNS($AX$20:BF36)))&amp;"}")</f>
        <v/>
      </c>
      <c r="BG36" t="str" cm="1">
        <f t="array" ref="BG36">IF(INDEX('Match Day Reports'!$C:$C,$AW36+4+COLUMNS($AX$20:BG36))="","","{""name"":"""&amp;INDEX('Match Day Reports'!$C:$C,$AW36+4+COLUMNS($AX$20:BG36))&amp;""",""status"":"""&amp;INDEX('Match Day Reports'!$D:$D,$AW36+4+COLUMNS($AX$20:BG36))&amp;""",""pos"":"""&amp;INDEX('Match Day Reports'!$E:$E,$AW36+4+COLUMNS($AX$20:BG36))&amp;""",""pos2"":"""&amp;INDEX('Match Day Reports'!$F:$F,$AW36+4+COLUMNS($AX$20:BG36))&amp;""",""goals"":"&amp;N(INDEX('Match Day Reports'!$G:$G,$AW36+4+COLUMNS($AX$20:BG36)))&amp;",""assists"":"&amp;N(INDEX('Match Day Reports'!$H:$H,$AW36+4+COLUMNS($AX$20:BG36)))&amp;",""rating"":"&amp;N(INDEX('Match Day Reports'!$I:$I,$AW36+4+COLUMNS($AX$20:BG36)))&amp;"}")</f>
        <v/>
      </c>
      <c r="BH36" t="str" cm="1">
        <f t="array" ref="BH36">IF(INDEX('Match Day Reports'!$C:$C,$AW36+4+COLUMNS($AX$20:BH36))="","","{""name"":"""&amp;INDEX('Match Day Reports'!$C:$C,$AW36+4+COLUMNS($AX$20:BH36))&amp;""",""status"":"""&amp;INDEX('Match Day Reports'!$D:$D,$AW36+4+COLUMNS($AX$20:BH36))&amp;""",""pos"":"""&amp;INDEX('Match Day Reports'!$E:$E,$AW36+4+COLUMNS($AX$20:BH36))&amp;""",""pos2"":"""&amp;INDEX('Match Day Reports'!$F:$F,$AW36+4+COLUMNS($AX$20:BH36))&amp;""",""goals"":"&amp;N(INDEX('Match Day Reports'!$G:$G,$AW36+4+COLUMNS($AX$20:BH36)))&amp;",""assists"":"&amp;N(INDEX('Match Day Reports'!$H:$H,$AW36+4+COLUMNS($AX$20:BH36)))&amp;",""rating"":"&amp;N(INDEX('Match Day Reports'!$I:$I,$AW36+4+COLUMNS($AX$20:BH36)))&amp;"}")</f>
        <v/>
      </c>
      <c r="BI36" t="str" cm="1">
        <f t="array" ref="BI36">IF(INDEX('Match Day Reports'!$C:$C,$AW36+4+COLUMNS($AX$20:BI36))="","","{""name"":"""&amp;INDEX('Match Day Reports'!$C:$C,$AW36+4+COLUMNS($AX$20:BI36))&amp;""",""status"":"""&amp;INDEX('Match Day Reports'!$D:$D,$AW36+4+COLUMNS($AX$20:BI36))&amp;""",""pos"":"""&amp;INDEX('Match Day Reports'!$E:$E,$AW36+4+COLUMNS($AX$20:BI36))&amp;""",""pos2"":"""&amp;INDEX('Match Day Reports'!$F:$F,$AW36+4+COLUMNS($AX$20:BI36))&amp;""",""goals"":"&amp;N(INDEX('Match Day Reports'!$G:$G,$AW36+4+COLUMNS($AX$20:BI36)))&amp;",""assists"":"&amp;N(INDEX('Match Day Reports'!$H:$H,$AW36+4+COLUMNS($AX$20:BI36)))&amp;",""rating"":"&amp;N(INDEX('Match Day Reports'!$I:$I,$AW36+4+COLUMNS($AX$20:BI36)))&amp;"}")</f>
        <v/>
      </c>
      <c r="BJ36" t="str" cm="1">
        <f t="array" ref="BJ36">IF(INDEX('Match Day Reports'!$C:$C,$AW36+4+COLUMNS($AX$20:BJ36))="","","{""name"":"""&amp;INDEX('Match Day Reports'!$C:$C,$AW36+4+COLUMNS($AX$20:BJ36))&amp;""",""status"":"""&amp;INDEX('Match Day Reports'!$D:$D,$AW36+4+COLUMNS($AX$20:BJ36))&amp;""",""pos"":"""&amp;INDEX('Match Day Reports'!$E:$E,$AW36+4+COLUMNS($AX$20:BJ36))&amp;""",""pos2"":"""&amp;INDEX('Match Day Reports'!$F:$F,$AW36+4+COLUMNS($AX$20:BJ36))&amp;""",""goals"":"&amp;N(INDEX('Match Day Reports'!$G:$G,$AW36+4+COLUMNS($AX$20:BJ36)))&amp;",""assists"":"&amp;N(INDEX('Match Day Reports'!$H:$H,$AW36+4+COLUMNS($AX$20:BJ36)))&amp;",""rating"":"&amp;N(INDEX('Match Day Reports'!$I:$I,$AW36+4+COLUMNS($AX$20:BJ36)))&amp;"}")</f>
        <v/>
      </c>
      <c r="BK36" t="str" cm="1">
        <f t="array" ref="BK36">IF(INDEX('Match Day Reports'!$C:$C,$AW36+4+COLUMNS($AX$20:BK36))="","","{""name"":"""&amp;INDEX('Match Day Reports'!$C:$C,$AW36+4+COLUMNS($AX$20:BK36))&amp;""",""status"":"""&amp;INDEX('Match Day Reports'!$D:$D,$AW36+4+COLUMNS($AX$20:BK36))&amp;""",""pos"":"""&amp;INDEX('Match Day Reports'!$E:$E,$AW36+4+COLUMNS($AX$20:BK36))&amp;""",""pos2"":"""&amp;INDEX('Match Day Reports'!$F:$F,$AW36+4+COLUMNS($AX$20:BK36))&amp;""",""goals"":"&amp;N(INDEX('Match Day Reports'!$G:$G,$AW36+4+COLUMNS($AX$20:BK36)))&amp;",""assists"":"&amp;N(INDEX('Match Day Reports'!$H:$H,$AW36+4+COLUMNS($AX$20:BK36)))&amp;",""rating"":"&amp;N(INDEX('Match Day Reports'!$I:$I,$AW36+4+COLUMNS($AX$20:BK36)))&amp;"}")</f>
        <v/>
      </c>
      <c r="BL36" t="str" cm="1">
        <f t="array" ref="BL36">IF(INDEX('Match Day Reports'!$C:$C,$AW36+4+COLUMNS($AX$20:BL36))="","","{""name"":"""&amp;INDEX('Match Day Reports'!$C:$C,$AW36+4+COLUMNS($AX$20:BL36))&amp;""",""status"":"""&amp;INDEX('Match Day Reports'!$D:$D,$AW36+4+COLUMNS($AX$20:BL36))&amp;""",""pos"":"""&amp;INDEX('Match Day Reports'!$E:$E,$AW36+4+COLUMNS($AX$20:BL36))&amp;""",""pos2"":"""&amp;INDEX('Match Day Reports'!$F:$F,$AW36+4+COLUMNS($AX$20:BL36))&amp;""",""goals"":"&amp;N(INDEX('Match Day Reports'!$G:$G,$AW36+4+COLUMNS($AX$20:BL36)))&amp;",""assists"":"&amp;N(INDEX('Match Day Reports'!$H:$H,$AW36+4+COLUMNS($AX$20:BL36)))&amp;",""rating"":"&amp;N(INDEX('Match Day Reports'!$I:$I,$AW36+4+COLUMNS($AX$20:BL36)))&amp;"}")</f>
        <v/>
      </c>
      <c r="BM36" t="str" cm="1">
        <f t="array" ref="BM36">IF(INDEX('Match Day Reports'!$C:$C,$AW36+4+COLUMNS($AX$20:BM36))="","","{""name"":"""&amp;INDEX('Match Day Reports'!$C:$C,$AW36+4+COLUMNS($AX$20:BM36))&amp;""",""status"":"""&amp;INDEX('Match Day Reports'!$D:$D,$AW36+4+COLUMNS($AX$20:BM36))&amp;""",""pos"":"""&amp;INDEX('Match Day Reports'!$E:$E,$AW36+4+COLUMNS($AX$20:BM36))&amp;""",""pos2"":"""&amp;INDEX('Match Day Reports'!$F:$F,$AW36+4+COLUMNS($AX$20:BM36))&amp;""",""goals"":"&amp;N(INDEX('Match Day Reports'!$G:$G,$AW36+4+COLUMNS($AX$20:BM36)))&amp;",""assists"":"&amp;N(INDEX('Match Day Reports'!$H:$H,$AW36+4+COLUMNS($AX$20:BM36)))&amp;",""rating"":"&amp;N(INDEX('Match Day Reports'!$I:$I,$AW36+4+COLUMNS($AX$20:BM36)))&amp;"}")</f>
        <v/>
      </c>
      <c r="BN36" t="str" cm="1">
        <f t="array" ref="BN36">IF(INDEX('Match Day Reports'!$C:$C,$AW36+4+COLUMNS($AX$20:BN36))="","","{""name"":"""&amp;INDEX('Match Day Reports'!$C:$C,$AW36+4+COLUMNS($AX$20:BN36))&amp;""",""status"":"""&amp;INDEX('Match Day Reports'!$D:$D,$AW36+4+COLUMNS($AX$20:BN36))&amp;""",""pos"":"""&amp;INDEX('Match Day Reports'!$E:$E,$AW36+4+COLUMNS($AX$20:BN36))&amp;""",""pos2"":"""&amp;INDEX('Match Day Reports'!$F:$F,$AW36+4+COLUMNS($AX$20:BN36))&amp;""",""goals"":"&amp;N(INDEX('Match Day Reports'!$G:$G,$AW36+4+COLUMNS($AX$20:BN36)))&amp;",""assists"":"&amp;N(INDEX('Match Day Reports'!$H:$H,$AW36+4+COLUMNS($AX$20:BN36)))&amp;",""rating"":"&amp;N(INDEX('Match Day Reports'!$I:$I,$AW36+4+COLUMNS($AX$20:BN36)))&amp;"}")</f>
        <v/>
      </c>
      <c r="BO36" t="str" cm="1">
        <f t="array" ref="BO36">IF(INDEX('Match Day Reports'!$C:$C,$AW36+4+COLUMNS($AX$20:BO36))="","","{""name"":"""&amp;INDEX('Match Day Reports'!$C:$C,$AW36+4+COLUMNS($AX$20:BO36))&amp;""",""status"":"""&amp;INDEX('Match Day Reports'!$D:$D,$AW36+4+COLUMNS($AX$20:BO36))&amp;""",""pos"":"""&amp;INDEX('Match Day Reports'!$E:$E,$AW36+4+COLUMNS($AX$20:BO36))&amp;""",""pos2"":"""&amp;INDEX('Match Day Reports'!$F:$F,$AW36+4+COLUMNS($AX$20:BO36))&amp;""",""goals"":"&amp;N(INDEX('Match Day Reports'!$G:$G,$AW36+4+COLUMNS($AX$20:BO36)))&amp;",""assists"":"&amp;N(INDEX('Match Day Reports'!$H:$H,$AW36+4+COLUMNS($AX$20:BO36)))&amp;",""rating"":"&amp;N(INDEX('Match Day Reports'!$I:$I,$AW36+4+COLUMNS($AX$20:BO36)))&amp;"}")</f>
        <v/>
      </c>
      <c r="BU36" t="str">
        <f>IF('Team Selection'!$C190="","","{""player"":"""&amp;'Team Selection'!$C190&amp;""",""position"":"""&amp;'Team Selection'!$D190&amp;""",""overallGrade"":"&amp;ROUND(N('Team Selection'!$E190),2)&amp;",""seasonScore"":"&amp;ROUND(N('Team Selection'!$F190),4)&amp;",""status"":"""&amp;'Team Selection'!$G190&amp;"""}")</f>
        <v/>
      </c>
      <c r="BW36" t="str">
        <f>IF('Team Selection'!$C213="","","{""player"":"""&amp;'Team Selection'!$C213&amp;""",""position"":"""&amp;'Team Selection'!$D213&amp;""",""overallGrade"":"&amp;ROUND(N('Team Selection'!$E213),2)&amp;",""seasonScore"":"&amp;ROUND(N('Team Selection'!$F213),4)&amp;",""status"":"""&amp;'Team Selection'!$G213&amp;"""}")</f>
        <v/>
      </c>
      <c r="BZ36" cm="1">
        <f t="array" ref="BZ36">IF(Attendance!$D21="","",SUMPRODUCT((Attendance!$E$4:$CN$4="Att")*(Attendance!$E21:$CN21&lt;&gt;"")))</f>
        <v>3</v>
      </c>
      <c r="CA36" cm="1">
        <f t="array" ref="CA36">IF(Attendance!$D21="","",SUMPRODUCT((Attendance!$CP$4:$FY$4="Att")*((Attendance!$CP21:$FY21&lt;&gt;"")+(Attendance!$CQ21:$FZ21&lt;&gt;"")+(Attendance!$CR21:$GA21&lt;&gt;"")+(Attendance!$CS21:$GB21&lt;&gt;"")&gt;0)))</f>
        <v>1</v>
      </c>
    </row>
    <row r="37" spans="1:79" x14ac:dyDescent="0.45">
      <c r="A37" s="459" t="s">
        <v>580</v>
      </c>
      <c r="B37" s="461"/>
      <c r="C37" s="461"/>
      <c r="D37" s="461"/>
      <c r="E37" s="461"/>
      <c r="J37" t="str">
        <f>IF(Attendance!$D22="","","{""number"":"&amp;Attendance!$C22&amp;",""name"":"""&amp;Attendance!$D22&amp;""",""position"":"""&amp;'Player Grading'!$D23&amp;""",""availability"":"""&amp;'Team Selection'!$E81&amp;""",""unavailableReason"":"""&amp;'Team Selection'!$F81&amp;""",""trainingAttendancePct"":"&amp;ROUND(N(Attendance!$GC22),4)&amp;",""avgWorkRate"":"&amp;ROUND(N(Attendance!$GD22),2)&amp;",""matchdayAttendancePct"":"&amp;ROUND(N(Attendance!$GH22),4)&amp;",""minutes"":"&amp;N(Attendance!$GI22)&amp;",""avgMinutes"":"&amp;ROUND(N(Attendance!$GJ22),1)&amp;",""avgRating"":"&amp;ROUND(N(Attendance!$GK22),2)&amp;",""motm"":"&amp;N(Attendance!$GM22)&amp;",""seasonScore"":"&amp;ROUND(N(Attendance!$GN22),4)&amp;",""comment"":"""&amp;Attendance!$GR22&amp;""",""toWorkOn"":"""&amp;Attendance!$GS22&amp;""",""sessions"":["&amp;$X37&amp;"],""matches"":["&amp;$Z37&amp;"]}")</f>
        <v>{"number":18,"name":"Rama Abuowda","position":"RW / ST / LW","availability":"Yes","unavailableReason":"","trainingAttendancePct":1,"avgWorkRate":3,"matchdayAttendancePct":0,"minutes":0,"avgMinutes":0,"avgRating":8.5,"motm":0,"seasonScore":0.7667,"comment":"","toWorkOn":"","sessions":[[1,3],[1,3],[1,3]],"matches":[[-1,0,8.5,0]]}</v>
      </c>
      <c r="L37" t="str">
        <f>IF(Workings!$AE23="","","{""gw"":"&amp;Workings!$AD23&amp;",""date"":"""&amp;TEXT(Workings!$AE23,"yyyy-mm-dd")&amp;""",""opponent"":"""&amp;Workings!$AF23&amp;""",""venue"":"""&amp;Workings!$AG23&amp;""",""gf"":"&amp;N(Workings!$AH23)&amp;",""ga"":"&amp;N(Workings!$AI23)&amp;",""result"":"""&amp;Workings!$AJ23&amp;"""}")</f>
        <v/>
      </c>
      <c r="N37" t="str">
        <f t="array" ref="N37">IF(LEN(INDEX(Attendance!$E$3:$CN$3,1,(18-1)*2+1))=0,"","{""index"":18,""gw"":9,""date"":"""&amp;TEXT(INDEX(Attendance!$E$3:$CN$3,1,(18-1)*2+1),"yyyy-mm-dd")&amp;"""}")</f>
        <v/>
      </c>
      <c r="T37" t="str">
        <f>IF('Team Selection'!$C57="","","{""player"":"""&amp;'Team Selection'!$C57&amp;""",""position"":"""&amp;'Team Selection'!$D57&amp;""",""overallGrade"":"&amp;ROUND(N('Team Selection'!$E57),2)&amp;",""seasonScore"":"&amp;ROUND(N('Team Selection'!$F57),4)&amp;",""status"":"""&amp;'Team Selection'!$G57&amp;"""}")</f>
        <v/>
      </c>
      <c r="V37" t="str">
        <f>IF(OR('Team Selection'!$C81="",'Team Selection'!$E81="Yes"),"","{""player"":"""&amp;'Team Selection'!$C81&amp;""",""reason"":"""&amp;'Team Selection'!$F81&amp;"""}")</f>
        <v/>
      </c>
      <c r="X37" t="str" cm="1">
        <f t="array" ref="X37">IF(Attendance!$D22="","",_xlfn.TEXTJOIN(",",TRUE(),IF((Attendance!$E$4:$CN$4="Att")*((COLUMN(Attendance!$E$4:$CN$4)-COLUMN(Attendance!$E$4))/2+1&lt;=$BZ$41),"["&amp;IF(Attendance!$E22:$CN22="Yes",1,0)&amp;","&amp;IF(Attendance!$F22:$CO22="",0,Attendance!$F22:$CO22)&amp;"]","")))</f>
        <v>[1,3],[1,3],[1,3]</v>
      </c>
      <c r="Z37" t="str" cm="1">
        <f t="array" ref="Z37">IF(Attendance!$D22="","",_xlfn.TEXTJOIN(",",TRUE(),IF((Attendance!$CP$4:$FY$4="Att")*((COLUMN(Attendance!$CP$4:$FY$4)-COLUMN(Attendance!$CP$4))/4+1&lt;=$BZ$42),"["&amp;IF(Attendance!$CP22:$FY22="Yes",1,IF(Attendance!$CP22:$FY22="No",0,-1))&amp;","&amp;IF(Attendance!$CQ22:$FZ22="",0,Attendance!$CQ22:$FZ22)&amp;","&amp;IF(Attendance!$CR22:$GA22="",0,Attendance!$CR22:$GA22)&amp;","&amp;IF(Attendance!$CS22:$GB22="Yes",1,0)&amp;"]","")))</f>
        <v>[-1,0,8.5,0]</v>
      </c>
      <c r="AB37" t="str" cm="1">
        <f t="array" ref="AB37">IF(AND(INDEX('Match Day Reports'!$C:$C,$AW37+2)="",COUNTIF($AX37:$BO37,"?*")=0),"","{""gw"":"&amp;ROWS($AB$20:AB37)&amp;",""date"":"""&amp;IF(INDEX('Match Day Reports'!$B:$B,$AW37+2)="","",TEXT(INDEX('Match Day Reports'!$B:$B,$AW37+2),"yyyy-mm-dd"))&amp;""""&amp;",""opponent"":"""&amp;INDEX('Match Day Reports'!$C:$C,$AW37+2)&amp;""""&amp;",""venue"":"""&amp;INDEX('Match Day Reports'!$D:$D,$AW37+2)&amp;""""&amp;",""gf"":"&amp;N(INDEX('Match Day Reports'!$E:$E,$AW37+2))&amp;",""ga"":"&amp;N(INDEX('Match Day Reports'!$F:$F,$AW37+2))&amp;",""result"":"""&amp;INDEX('Match Day Reports'!$G:$G,$AW37+2)&amp;""""&amp;",""motm"":"""&amp;INDEX('Match Day Reports'!$H:$H,$AW37+2)&amp;""""&amp;",""xi"":["&amp;_xlfn.TEXTJOIN(",",TRUE(),$AX37:$BH37)&amp;"]"&amp;",""subs"":["&amp;_xlfn.TEXTJOIN(",",TRUE(),$BI37:$BO37)&amp;"]"&amp;",""matchNotes"":"""&amp;SUBSTITUTE(SUBSTITUTE(INDEX('Match Day Reports'!$C:$C,$AW37+24),"""","'"),CHAR(10)," ")&amp;""""&amp;",""keyNotes"":"""&amp;SUBSTITUTE(SUBSTITUTE(INDEX('Match Day Reports'!$C:$C,$AW37+25),"""","'"),CHAR(10)," ")&amp;""""&amp;"}")</f>
        <v/>
      </c>
      <c r="AD37" t="str">
        <f>IF(Workings!$AO23="","","{""name"":"""&amp;Workings!$AO23&amp;""",""rank"":"&amp;N(Workings!$AX23)&amp;",""sessionsAttended"":"&amp;N(Workings!$AP23)&amp;",""sessionsHeld"":"&amp;N(Workings!$AQ23)&amp;",""attendancePct"":"&amp;ROUND(N(Workings!$AR23),4)&amp;",""avgWorkRate"":"&amp;ROUND(N(Workings!$AS23),2)&amp;",""gradePct"":"&amp;ROUND(N(Workings!$AT23),4)&amp;",""readinessBand"":"""&amp;Workings!$AU23&amp;"""}")</f>
        <v>{"name":"Rama Abuowda","rank":18,"sessionsAttended":0,"sessionsHeld":0,"attendancePct":0,"avgWorkRate":0,"gradePct":0,"readinessBand":"No pre-season data"}</v>
      </c>
      <c r="AP37">
        <f>IF(Dashboard!$C110="","",N(Dashboard!$G110)*1000-ROW())</f>
        <v>-37</v>
      </c>
      <c r="AR37">
        <f>IF(Dashboard!$C110="","",N(Dashboard!$H110)*1000-ROW())</f>
        <v>1963</v>
      </c>
      <c r="AW37">
        <f>80+(ROWS($AW$20:AW37)-1)*27</f>
        <v>539</v>
      </c>
      <c r="AX37" t="str" cm="1">
        <f t="array" ref="AX37">IF(INDEX('Match Day Reports'!$C:$C,$AW37+4+COLUMNS($AX$20:AX37))="","","{""name"":"""&amp;INDEX('Match Day Reports'!$C:$C,$AW37+4+COLUMNS($AX$20:AX37))&amp;""",""status"":"""&amp;INDEX('Match Day Reports'!$D:$D,$AW37+4+COLUMNS($AX$20:AX37))&amp;""",""pos"":"""&amp;INDEX('Match Day Reports'!$E:$E,$AW37+4+COLUMNS($AX$20:AX37))&amp;""",""pos2"":"""&amp;INDEX('Match Day Reports'!$F:$F,$AW37+4+COLUMNS($AX$20:AX37))&amp;""",""goals"":"&amp;N(INDEX('Match Day Reports'!$G:$G,$AW37+4+COLUMNS($AX$20:AX37)))&amp;",""assists"":"&amp;N(INDEX('Match Day Reports'!$H:$H,$AW37+4+COLUMNS($AX$20:AX37)))&amp;",""rating"":"&amp;N(INDEX('Match Day Reports'!$I:$I,$AW37+4+COLUMNS($AX$20:AX37)))&amp;"}")</f>
        <v/>
      </c>
      <c r="AY37" t="str" cm="1">
        <f t="array" ref="AY37">IF(INDEX('Match Day Reports'!$C:$C,$AW37+4+COLUMNS($AX$20:AY37))="","","{""name"":"""&amp;INDEX('Match Day Reports'!$C:$C,$AW37+4+COLUMNS($AX$20:AY37))&amp;""",""status"":"""&amp;INDEX('Match Day Reports'!$D:$D,$AW37+4+COLUMNS($AX$20:AY37))&amp;""",""pos"":"""&amp;INDEX('Match Day Reports'!$E:$E,$AW37+4+COLUMNS($AX$20:AY37))&amp;""",""pos2"":"""&amp;INDEX('Match Day Reports'!$F:$F,$AW37+4+COLUMNS($AX$20:AY37))&amp;""",""goals"":"&amp;N(INDEX('Match Day Reports'!$G:$G,$AW37+4+COLUMNS($AX$20:AY37)))&amp;",""assists"":"&amp;N(INDEX('Match Day Reports'!$H:$H,$AW37+4+COLUMNS($AX$20:AY37)))&amp;",""rating"":"&amp;N(INDEX('Match Day Reports'!$I:$I,$AW37+4+COLUMNS($AX$20:AY37)))&amp;"}")</f>
        <v/>
      </c>
      <c r="AZ37" t="str" cm="1">
        <f t="array" ref="AZ37">IF(INDEX('Match Day Reports'!$C:$C,$AW37+4+COLUMNS($AX$20:AZ37))="","","{""name"":"""&amp;INDEX('Match Day Reports'!$C:$C,$AW37+4+COLUMNS($AX$20:AZ37))&amp;""",""status"":"""&amp;INDEX('Match Day Reports'!$D:$D,$AW37+4+COLUMNS($AX$20:AZ37))&amp;""",""pos"":"""&amp;INDEX('Match Day Reports'!$E:$E,$AW37+4+COLUMNS($AX$20:AZ37))&amp;""",""pos2"":"""&amp;INDEX('Match Day Reports'!$F:$F,$AW37+4+COLUMNS($AX$20:AZ37))&amp;""",""goals"":"&amp;N(INDEX('Match Day Reports'!$G:$G,$AW37+4+COLUMNS($AX$20:AZ37)))&amp;",""assists"":"&amp;N(INDEX('Match Day Reports'!$H:$H,$AW37+4+COLUMNS($AX$20:AZ37)))&amp;",""rating"":"&amp;N(INDEX('Match Day Reports'!$I:$I,$AW37+4+COLUMNS($AX$20:AZ37)))&amp;"}")</f>
        <v/>
      </c>
      <c r="BA37" t="str" cm="1">
        <f t="array" ref="BA37">IF(INDEX('Match Day Reports'!$C:$C,$AW37+4+COLUMNS($AX$20:BA37))="","","{""name"":"""&amp;INDEX('Match Day Reports'!$C:$C,$AW37+4+COLUMNS($AX$20:BA37))&amp;""",""status"":"""&amp;INDEX('Match Day Reports'!$D:$D,$AW37+4+COLUMNS($AX$20:BA37))&amp;""",""pos"":"""&amp;INDEX('Match Day Reports'!$E:$E,$AW37+4+COLUMNS($AX$20:BA37))&amp;""",""pos2"":"""&amp;INDEX('Match Day Reports'!$F:$F,$AW37+4+COLUMNS($AX$20:BA37))&amp;""",""goals"":"&amp;N(INDEX('Match Day Reports'!$G:$G,$AW37+4+COLUMNS($AX$20:BA37)))&amp;",""assists"":"&amp;N(INDEX('Match Day Reports'!$H:$H,$AW37+4+COLUMNS($AX$20:BA37)))&amp;",""rating"":"&amp;N(INDEX('Match Day Reports'!$I:$I,$AW37+4+COLUMNS($AX$20:BA37)))&amp;"}")</f>
        <v/>
      </c>
      <c r="BB37" t="str" cm="1">
        <f t="array" ref="BB37">IF(INDEX('Match Day Reports'!$C:$C,$AW37+4+COLUMNS($AX$20:BB37))="","","{""name"":"""&amp;INDEX('Match Day Reports'!$C:$C,$AW37+4+COLUMNS($AX$20:BB37))&amp;""",""status"":"""&amp;INDEX('Match Day Reports'!$D:$D,$AW37+4+COLUMNS($AX$20:BB37))&amp;""",""pos"":"""&amp;INDEX('Match Day Reports'!$E:$E,$AW37+4+COLUMNS($AX$20:BB37))&amp;""",""pos2"":"""&amp;INDEX('Match Day Reports'!$F:$F,$AW37+4+COLUMNS($AX$20:BB37))&amp;""",""goals"":"&amp;N(INDEX('Match Day Reports'!$G:$G,$AW37+4+COLUMNS($AX$20:BB37)))&amp;",""assists"":"&amp;N(INDEX('Match Day Reports'!$H:$H,$AW37+4+COLUMNS($AX$20:BB37)))&amp;",""rating"":"&amp;N(INDEX('Match Day Reports'!$I:$I,$AW37+4+COLUMNS($AX$20:BB37)))&amp;"}")</f>
        <v/>
      </c>
      <c r="BC37" t="str" cm="1">
        <f t="array" ref="BC37">IF(INDEX('Match Day Reports'!$C:$C,$AW37+4+COLUMNS($AX$20:BC37))="","","{""name"":"""&amp;INDEX('Match Day Reports'!$C:$C,$AW37+4+COLUMNS($AX$20:BC37))&amp;""",""status"":"""&amp;INDEX('Match Day Reports'!$D:$D,$AW37+4+COLUMNS($AX$20:BC37))&amp;""",""pos"":"""&amp;INDEX('Match Day Reports'!$E:$E,$AW37+4+COLUMNS($AX$20:BC37))&amp;""",""pos2"":"""&amp;INDEX('Match Day Reports'!$F:$F,$AW37+4+COLUMNS($AX$20:BC37))&amp;""",""goals"":"&amp;N(INDEX('Match Day Reports'!$G:$G,$AW37+4+COLUMNS($AX$20:BC37)))&amp;",""assists"":"&amp;N(INDEX('Match Day Reports'!$H:$H,$AW37+4+COLUMNS($AX$20:BC37)))&amp;",""rating"":"&amp;N(INDEX('Match Day Reports'!$I:$I,$AW37+4+COLUMNS($AX$20:BC37)))&amp;"}")</f>
        <v/>
      </c>
      <c r="BD37" t="str" cm="1">
        <f t="array" ref="BD37">IF(INDEX('Match Day Reports'!$C:$C,$AW37+4+COLUMNS($AX$20:BD37))="","","{""name"":"""&amp;INDEX('Match Day Reports'!$C:$C,$AW37+4+COLUMNS($AX$20:BD37))&amp;""",""status"":"""&amp;INDEX('Match Day Reports'!$D:$D,$AW37+4+COLUMNS($AX$20:BD37))&amp;""",""pos"":"""&amp;INDEX('Match Day Reports'!$E:$E,$AW37+4+COLUMNS($AX$20:BD37))&amp;""",""pos2"":"""&amp;INDEX('Match Day Reports'!$F:$F,$AW37+4+COLUMNS($AX$20:BD37))&amp;""",""goals"":"&amp;N(INDEX('Match Day Reports'!$G:$G,$AW37+4+COLUMNS($AX$20:BD37)))&amp;",""assists"":"&amp;N(INDEX('Match Day Reports'!$H:$H,$AW37+4+COLUMNS($AX$20:BD37)))&amp;",""rating"":"&amp;N(INDEX('Match Day Reports'!$I:$I,$AW37+4+COLUMNS($AX$20:BD37)))&amp;"}")</f>
        <v/>
      </c>
      <c r="BE37" t="str" cm="1">
        <f t="array" ref="BE37">IF(INDEX('Match Day Reports'!$C:$C,$AW37+4+COLUMNS($AX$20:BE37))="","","{""name"":"""&amp;INDEX('Match Day Reports'!$C:$C,$AW37+4+COLUMNS($AX$20:BE37))&amp;""",""status"":"""&amp;INDEX('Match Day Reports'!$D:$D,$AW37+4+COLUMNS($AX$20:BE37))&amp;""",""pos"":"""&amp;INDEX('Match Day Reports'!$E:$E,$AW37+4+COLUMNS($AX$20:BE37))&amp;""",""pos2"":"""&amp;INDEX('Match Day Reports'!$F:$F,$AW37+4+COLUMNS($AX$20:BE37))&amp;""",""goals"":"&amp;N(INDEX('Match Day Reports'!$G:$G,$AW37+4+COLUMNS($AX$20:BE37)))&amp;",""assists"":"&amp;N(INDEX('Match Day Reports'!$H:$H,$AW37+4+COLUMNS($AX$20:BE37)))&amp;",""rating"":"&amp;N(INDEX('Match Day Reports'!$I:$I,$AW37+4+COLUMNS($AX$20:BE37)))&amp;"}")</f>
        <v/>
      </c>
      <c r="BF37" t="str" cm="1">
        <f t="array" ref="BF37">IF(INDEX('Match Day Reports'!$C:$C,$AW37+4+COLUMNS($AX$20:BF37))="","","{""name"":"""&amp;INDEX('Match Day Reports'!$C:$C,$AW37+4+COLUMNS($AX$20:BF37))&amp;""",""status"":"""&amp;INDEX('Match Day Reports'!$D:$D,$AW37+4+COLUMNS($AX$20:BF37))&amp;""",""pos"":"""&amp;INDEX('Match Day Reports'!$E:$E,$AW37+4+COLUMNS($AX$20:BF37))&amp;""",""pos2"":"""&amp;INDEX('Match Day Reports'!$F:$F,$AW37+4+COLUMNS($AX$20:BF37))&amp;""",""goals"":"&amp;N(INDEX('Match Day Reports'!$G:$G,$AW37+4+COLUMNS($AX$20:BF37)))&amp;",""assists"":"&amp;N(INDEX('Match Day Reports'!$H:$H,$AW37+4+COLUMNS($AX$20:BF37)))&amp;",""rating"":"&amp;N(INDEX('Match Day Reports'!$I:$I,$AW37+4+COLUMNS($AX$20:BF37)))&amp;"}")</f>
        <v/>
      </c>
      <c r="BG37" t="str" cm="1">
        <f t="array" ref="BG37">IF(INDEX('Match Day Reports'!$C:$C,$AW37+4+COLUMNS($AX$20:BG37))="","","{""name"":"""&amp;INDEX('Match Day Reports'!$C:$C,$AW37+4+COLUMNS($AX$20:BG37))&amp;""",""status"":"""&amp;INDEX('Match Day Reports'!$D:$D,$AW37+4+COLUMNS($AX$20:BG37))&amp;""",""pos"":"""&amp;INDEX('Match Day Reports'!$E:$E,$AW37+4+COLUMNS($AX$20:BG37))&amp;""",""pos2"":"""&amp;INDEX('Match Day Reports'!$F:$F,$AW37+4+COLUMNS($AX$20:BG37))&amp;""",""goals"":"&amp;N(INDEX('Match Day Reports'!$G:$G,$AW37+4+COLUMNS($AX$20:BG37)))&amp;",""assists"":"&amp;N(INDEX('Match Day Reports'!$H:$H,$AW37+4+COLUMNS($AX$20:BG37)))&amp;",""rating"":"&amp;N(INDEX('Match Day Reports'!$I:$I,$AW37+4+COLUMNS($AX$20:BG37)))&amp;"}")</f>
        <v/>
      </c>
      <c r="BH37" t="str" cm="1">
        <f t="array" ref="BH37">IF(INDEX('Match Day Reports'!$C:$C,$AW37+4+COLUMNS($AX$20:BH37))="","","{""name"":"""&amp;INDEX('Match Day Reports'!$C:$C,$AW37+4+COLUMNS($AX$20:BH37))&amp;""",""status"":"""&amp;INDEX('Match Day Reports'!$D:$D,$AW37+4+COLUMNS($AX$20:BH37))&amp;""",""pos"":"""&amp;INDEX('Match Day Reports'!$E:$E,$AW37+4+COLUMNS($AX$20:BH37))&amp;""",""pos2"":"""&amp;INDEX('Match Day Reports'!$F:$F,$AW37+4+COLUMNS($AX$20:BH37))&amp;""",""goals"":"&amp;N(INDEX('Match Day Reports'!$G:$G,$AW37+4+COLUMNS($AX$20:BH37)))&amp;",""assists"":"&amp;N(INDEX('Match Day Reports'!$H:$H,$AW37+4+COLUMNS($AX$20:BH37)))&amp;",""rating"":"&amp;N(INDEX('Match Day Reports'!$I:$I,$AW37+4+COLUMNS($AX$20:BH37)))&amp;"}")</f>
        <v/>
      </c>
      <c r="BI37" t="str" cm="1">
        <f t="array" ref="BI37">IF(INDEX('Match Day Reports'!$C:$C,$AW37+4+COLUMNS($AX$20:BI37))="","","{""name"":"""&amp;INDEX('Match Day Reports'!$C:$C,$AW37+4+COLUMNS($AX$20:BI37))&amp;""",""status"":"""&amp;INDEX('Match Day Reports'!$D:$D,$AW37+4+COLUMNS($AX$20:BI37))&amp;""",""pos"":"""&amp;INDEX('Match Day Reports'!$E:$E,$AW37+4+COLUMNS($AX$20:BI37))&amp;""",""pos2"":"""&amp;INDEX('Match Day Reports'!$F:$F,$AW37+4+COLUMNS($AX$20:BI37))&amp;""",""goals"":"&amp;N(INDEX('Match Day Reports'!$G:$G,$AW37+4+COLUMNS($AX$20:BI37)))&amp;",""assists"":"&amp;N(INDEX('Match Day Reports'!$H:$H,$AW37+4+COLUMNS($AX$20:BI37)))&amp;",""rating"":"&amp;N(INDEX('Match Day Reports'!$I:$I,$AW37+4+COLUMNS($AX$20:BI37)))&amp;"}")</f>
        <v/>
      </c>
      <c r="BJ37" t="str" cm="1">
        <f t="array" ref="BJ37">IF(INDEX('Match Day Reports'!$C:$C,$AW37+4+COLUMNS($AX$20:BJ37))="","","{""name"":"""&amp;INDEX('Match Day Reports'!$C:$C,$AW37+4+COLUMNS($AX$20:BJ37))&amp;""",""status"":"""&amp;INDEX('Match Day Reports'!$D:$D,$AW37+4+COLUMNS($AX$20:BJ37))&amp;""",""pos"":"""&amp;INDEX('Match Day Reports'!$E:$E,$AW37+4+COLUMNS($AX$20:BJ37))&amp;""",""pos2"":"""&amp;INDEX('Match Day Reports'!$F:$F,$AW37+4+COLUMNS($AX$20:BJ37))&amp;""",""goals"":"&amp;N(INDEX('Match Day Reports'!$G:$G,$AW37+4+COLUMNS($AX$20:BJ37)))&amp;",""assists"":"&amp;N(INDEX('Match Day Reports'!$H:$H,$AW37+4+COLUMNS($AX$20:BJ37)))&amp;",""rating"":"&amp;N(INDEX('Match Day Reports'!$I:$I,$AW37+4+COLUMNS($AX$20:BJ37)))&amp;"}")</f>
        <v/>
      </c>
      <c r="BK37" t="str" cm="1">
        <f t="array" ref="BK37">IF(INDEX('Match Day Reports'!$C:$C,$AW37+4+COLUMNS($AX$20:BK37))="","","{""name"":"""&amp;INDEX('Match Day Reports'!$C:$C,$AW37+4+COLUMNS($AX$20:BK37))&amp;""",""status"":"""&amp;INDEX('Match Day Reports'!$D:$D,$AW37+4+COLUMNS($AX$20:BK37))&amp;""",""pos"":"""&amp;INDEX('Match Day Reports'!$E:$E,$AW37+4+COLUMNS($AX$20:BK37))&amp;""",""pos2"":"""&amp;INDEX('Match Day Reports'!$F:$F,$AW37+4+COLUMNS($AX$20:BK37))&amp;""",""goals"":"&amp;N(INDEX('Match Day Reports'!$G:$G,$AW37+4+COLUMNS($AX$20:BK37)))&amp;",""assists"":"&amp;N(INDEX('Match Day Reports'!$H:$H,$AW37+4+COLUMNS($AX$20:BK37)))&amp;",""rating"":"&amp;N(INDEX('Match Day Reports'!$I:$I,$AW37+4+COLUMNS($AX$20:BK37)))&amp;"}")</f>
        <v/>
      </c>
      <c r="BL37" t="str" cm="1">
        <f t="array" ref="BL37">IF(INDEX('Match Day Reports'!$C:$C,$AW37+4+COLUMNS($AX$20:BL37))="","","{""name"":"""&amp;INDEX('Match Day Reports'!$C:$C,$AW37+4+COLUMNS($AX$20:BL37))&amp;""",""status"":"""&amp;INDEX('Match Day Reports'!$D:$D,$AW37+4+COLUMNS($AX$20:BL37))&amp;""",""pos"":"""&amp;INDEX('Match Day Reports'!$E:$E,$AW37+4+COLUMNS($AX$20:BL37))&amp;""",""pos2"":"""&amp;INDEX('Match Day Reports'!$F:$F,$AW37+4+COLUMNS($AX$20:BL37))&amp;""",""goals"":"&amp;N(INDEX('Match Day Reports'!$G:$G,$AW37+4+COLUMNS($AX$20:BL37)))&amp;",""assists"":"&amp;N(INDEX('Match Day Reports'!$H:$H,$AW37+4+COLUMNS($AX$20:BL37)))&amp;",""rating"":"&amp;N(INDEX('Match Day Reports'!$I:$I,$AW37+4+COLUMNS($AX$20:BL37)))&amp;"}")</f>
        <v/>
      </c>
      <c r="BM37" t="str" cm="1">
        <f t="array" ref="BM37">IF(INDEX('Match Day Reports'!$C:$C,$AW37+4+COLUMNS($AX$20:BM37))="","","{""name"":"""&amp;INDEX('Match Day Reports'!$C:$C,$AW37+4+COLUMNS($AX$20:BM37))&amp;""",""status"":"""&amp;INDEX('Match Day Reports'!$D:$D,$AW37+4+COLUMNS($AX$20:BM37))&amp;""",""pos"":"""&amp;INDEX('Match Day Reports'!$E:$E,$AW37+4+COLUMNS($AX$20:BM37))&amp;""",""pos2"":"""&amp;INDEX('Match Day Reports'!$F:$F,$AW37+4+COLUMNS($AX$20:BM37))&amp;""",""goals"":"&amp;N(INDEX('Match Day Reports'!$G:$G,$AW37+4+COLUMNS($AX$20:BM37)))&amp;",""assists"":"&amp;N(INDEX('Match Day Reports'!$H:$H,$AW37+4+COLUMNS($AX$20:BM37)))&amp;",""rating"":"&amp;N(INDEX('Match Day Reports'!$I:$I,$AW37+4+COLUMNS($AX$20:BM37)))&amp;"}")</f>
        <v/>
      </c>
      <c r="BN37" t="str" cm="1">
        <f t="array" ref="BN37">IF(INDEX('Match Day Reports'!$C:$C,$AW37+4+COLUMNS($AX$20:BN37))="","","{""name"":"""&amp;INDEX('Match Day Reports'!$C:$C,$AW37+4+COLUMNS($AX$20:BN37))&amp;""",""status"":"""&amp;INDEX('Match Day Reports'!$D:$D,$AW37+4+COLUMNS($AX$20:BN37))&amp;""",""pos"":"""&amp;INDEX('Match Day Reports'!$E:$E,$AW37+4+COLUMNS($AX$20:BN37))&amp;""",""pos2"":"""&amp;INDEX('Match Day Reports'!$F:$F,$AW37+4+COLUMNS($AX$20:BN37))&amp;""",""goals"":"&amp;N(INDEX('Match Day Reports'!$G:$G,$AW37+4+COLUMNS($AX$20:BN37)))&amp;",""assists"":"&amp;N(INDEX('Match Day Reports'!$H:$H,$AW37+4+COLUMNS($AX$20:BN37)))&amp;",""rating"":"&amp;N(INDEX('Match Day Reports'!$I:$I,$AW37+4+COLUMNS($AX$20:BN37)))&amp;"}")</f>
        <v/>
      </c>
      <c r="BO37" t="str" cm="1">
        <f t="array" ref="BO37">IF(INDEX('Match Day Reports'!$C:$C,$AW37+4+COLUMNS($AX$20:BO37))="","","{""name"":"""&amp;INDEX('Match Day Reports'!$C:$C,$AW37+4+COLUMNS($AX$20:BO37))&amp;""",""status"":"""&amp;INDEX('Match Day Reports'!$D:$D,$AW37+4+COLUMNS($AX$20:BO37))&amp;""",""pos"":"""&amp;INDEX('Match Day Reports'!$E:$E,$AW37+4+COLUMNS($AX$20:BO37))&amp;""",""pos2"":"""&amp;INDEX('Match Day Reports'!$F:$F,$AW37+4+COLUMNS($AX$20:BO37))&amp;""",""goals"":"&amp;N(INDEX('Match Day Reports'!$G:$G,$AW37+4+COLUMNS($AX$20:BO37)))&amp;",""assists"":"&amp;N(INDEX('Match Day Reports'!$H:$H,$AW37+4+COLUMNS($AX$20:BO37)))&amp;",""rating"":"&amp;N(INDEX('Match Day Reports'!$I:$I,$AW37+4+COLUMNS($AX$20:BO37)))&amp;"}")</f>
        <v/>
      </c>
      <c r="BU37" t="str">
        <f>IF('Team Selection'!$C191="","","{""player"":"""&amp;'Team Selection'!$C191&amp;""",""position"":"""&amp;'Team Selection'!$D191&amp;""",""overallGrade"":"&amp;ROUND(N('Team Selection'!$E191),2)&amp;",""seasonScore"":"&amp;ROUND(N('Team Selection'!$F191),4)&amp;",""status"":"""&amp;'Team Selection'!$G191&amp;"""}")</f>
        <v/>
      </c>
      <c r="BW37" t="str">
        <f>IF('Team Selection'!$C214="","","{""player"":"""&amp;'Team Selection'!$C214&amp;""",""position"":"""&amp;'Team Selection'!$D214&amp;""",""overallGrade"":"&amp;ROUND(N('Team Selection'!$E214),2)&amp;",""seasonScore"":"&amp;ROUND(N('Team Selection'!$F214),4)&amp;",""status"":"""&amp;'Team Selection'!$G214&amp;"""}")</f>
        <v/>
      </c>
      <c r="BZ37" cm="1">
        <f t="array" ref="BZ37">IF(Attendance!$D22="","",SUMPRODUCT((Attendance!$E$4:$CN$4="Att")*(Attendance!$E22:$CN22&lt;&gt;"")))</f>
        <v>3</v>
      </c>
      <c r="CA37" cm="1">
        <f t="array" ref="CA37">IF(Attendance!$D22="","",SUMPRODUCT((Attendance!$CP$4:$FY$4="Att")*((Attendance!$CP22:$FY22&lt;&gt;"")+(Attendance!$CQ22:$FZ22&lt;&gt;"")+(Attendance!$CR22:$GA22&lt;&gt;"")+(Attendance!$CS22:$GB22&lt;&gt;"")&gt;0)))</f>
        <v>1</v>
      </c>
    </row>
    <row r="38" spans="1:79" x14ac:dyDescent="0.45">
      <c r="A38" s="390" t="s">
        <v>581</v>
      </c>
      <c r="B38" s="390"/>
      <c r="C38" s="390"/>
      <c r="D38" s="390"/>
      <c r="E38" s="390"/>
      <c r="J38" t="str">
        <f>IF(Attendance!$D23="","","{""number"":"&amp;Attendance!$C23&amp;",""name"":"""&amp;Attendance!$D23&amp;""",""position"":"""&amp;'Player Grading'!$D24&amp;""",""availability"":"""&amp;'Team Selection'!$E82&amp;""",""unavailableReason"":"""&amp;'Team Selection'!$F82&amp;""",""trainingAttendancePct"":"&amp;ROUND(N(Attendance!$GC23),4)&amp;",""avgWorkRate"":"&amp;ROUND(N(Attendance!$GD23),2)&amp;",""matchdayAttendancePct"":"&amp;ROUND(N(Attendance!$GH23),4)&amp;",""minutes"":"&amp;N(Attendance!$GI23)&amp;",""avgMinutes"":"&amp;ROUND(N(Attendance!$GJ23),1)&amp;",""avgRating"":"&amp;ROUND(N(Attendance!$GK23),2)&amp;",""motm"":"&amp;N(Attendance!$GM23)&amp;",""seasonScore"":"&amp;ROUND(N(Attendance!$GN23),4)&amp;",""comment"":"""&amp;Attendance!$GR23&amp;""",""toWorkOn"":"""&amp;Attendance!$GS23&amp;""",""sessions"":["&amp;$X38&amp;"],""matches"":["&amp;$Z38&amp;"]}")</f>
        <v/>
      </c>
      <c r="L38" t="str">
        <f>IF(Workings!$AE24="","","{""gw"":"&amp;Workings!$AD24&amp;",""date"":"""&amp;TEXT(Workings!$AE24,"yyyy-mm-dd")&amp;""",""opponent"":"""&amp;Workings!$AF24&amp;""",""venue"":"""&amp;Workings!$AG24&amp;""",""gf"":"&amp;N(Workings!$AH24)&amp;",""ga"":"&amp;N(Workings!$AI24)&amp;",""result"":"""&amp;Workings!$AJ24&amp;"""}")</f>
        <v/>
      </c>
      <c r="N38" t="str">
        <f t="array" ref="N38">IF(LEN(INDEX(Attendance!$E$3:$CN$3,1,(19-1)*2+1))=0,"","{""index"":19,""gw"":10,""date"":"""&amp;TEXT(INDEX(Attendance!$E$3:$CN$3,1,(19-1)*2+1),"yyyy-mm-dd")&amp;"""}")</f>
        <v/>
      </c>
      <c r="T38" t="str">
        <f>IF('Team Selection'!$C58="","","{""player"":"""&amp;'Team Selection'!$C58&amp;""",""position"":"""&amp;'Team Selection'!$D58&amp;""",""overallGrade"":"&amp;ROUND(N('Team Selection'!$E58),2)&amp;",""seasonScore"":"&amp;ROUND(N('Team Selection'!$F58),4)&amp;",""status"":"""&amp;'Team Selection'!$G58&amp;"""}")</f>
        <v/>
      </c>
      <c r="V38" t="str">
        <f>IF(OR('Team Selection'!$C82="",'Team Selection'!$E82="Yes"),"","{""player"":"""&amp;'Team Selection'!$C82&amp;""",""reason"":"""&amp;'Team Selection'!$F82&amp;"""}")</f>
        <v/>
      </c>
      <c r="X38" t="str" cm="1">
        <f t="array" ref="X38">IF(Attendance!$D23="","",_xlfn.TEXTJOIN(",",TRUE(),IF((Attendance!$E$4:$CN$4="Att")*((COLUMN(Attendance!$E$4:$CN$4)-COLUMN(Attendance!$E$4))/2+1&lt;=$BZ$41),"["&amp;IF(Attendance!$E23:$CN23="Yes",1,0)&amp;","&amp;IF(Attendance!$F23:$CO23="",0,Attendance!$F23:$CO23)&amp;"]","")))</f>
        <v/>
      </c>
      <c r="Z38" t="str" cm="1">
        <f t="array" ref="Z38">IF(Attendance!$D23="","",_xlfn.TEXTJOIN(",",TRUE(),IF((Attendance!$CP$4:$FY$4="Att")*((COLUMN(Attendance!$CP$4:$FY$4)-COLUMN(Attendance!$CP$4))/4+1&lt;=$BZ$42),"["&amp;IF(Attendance!$CP23:$FY23="Yes",1,IF(Attendance!$CP23:$FY23="No",0,-1))&amp;","&amp;IF(Attendance!$CQ23:$FZ23="",0,Attendance!$CQ23:$FZ23)&amp;","&amp;IF(Attendance!$CR23:$GA23="",0,Attendance!$CR23:$GA23)&amp;","&amp;IF(Attendance!$CS23:$GB23="Yes",1,0)&amp;"]","")))</f>
        <v/>
      </c>
      <c r="AB38" t="str" cm="1">
        <f t="array" ref="AB38">IF(AND(INDEX('Match Day Reports'!$C:$C,$AW38+2)="",COUNTIF($AX38:$BO38,"?*")=0),"","{""gw"":"&amp;ROWS($AB$20:AB38)&amp;",""date"":"""&amp;IF(INDEX('Match Day Reports'!$B:$B,$AW38+2)="","",TEXT(INDEX('Match Day Reports'!$B:$B,$AW38+2),"yyyy-mm-dd"))&amp;""""&amp;",""opponent"":"""&amp;INDEX('Match Day Reports'!$C:$C,$AW38+2)&amp;""""&amp;",""venue"":"""&amp;INDEX('Match Day Reports'!$D:$D,$AW38+2)&amp;""""&amp;",""gf"":"&amp;N(INDEX('Match Day Reports'!$E:$E,$AW38+2))&amp;",""ga"":"&amp;N(INDEX('Match Day Reports'!$F:$F,$AW38+2))&amp;",""result"":"""&amp;INDEX('Match Day Reports'!$G:$G,$AW38+2)&amp;""""&amp;",""motm"":"""&amp;INDEX('Match Day Reports'!$H:$H,$AW38+2)&amp;""""&amp;",""xi"":["&amp;_xlfn.TEXTJOIN(",",TRUE(),$AX38:$BH38)&amp;"]"&amp;",""subs"":["&amp;_xlfn.TEXTJOIN(",",TRUE(),$BI38:$BO38)&amp;"]"&amp;",""matchNotes"":"""&amp;SUBSTITUTE(SUBSTITUTE(INDEX('Match Day Reports'!$C:$C,$AW38+24),"""","'"),CHAR(10)," ")&amp;""""&amp;",""keyNotes"":"""&amp;SUBSTITUTE(SUBSTITUTE(INDEX('Match Day Reports'!$C:$C,$AW38+25),"""","'"),CHAR(10)," ")&amp;""""&amp;"}")</f>
        <v/>
      </c>
      <c r="AD38" t="str">
        <f>IF(Workings!$AO24="","","{""name"":"""&amp;Workings!$AO24&amp;""",""rank"":"&amp;N(Workings!$AX24)&amp;",""sessionsAttended"":"&amp;N(Workings!$AP24)&amp;",""sessionsHeld"":"&amp;N(Workings!$AQ24)&amp;",""attendancePct"":"&amp;ROUND(N(Workings!$AR24),4)&amp;",""avgWorkRate"":"&amp;ROUND(N(Workings!$AS24),2)&amp;",""gradePct"":"&amp;ROUND(N(Workings!$AT24),4)&amp;",""readinessBand"":"""&amp;Workings!$AU24&amp;"""}")</f>
        <v/>
      </c>
      <c r="AP38" t="str">
        <f>IF(Dashboard!$C111="","",N(Dashboard!$G111)*1000-ROW())</f>
        <v/>
      </c>
      <c r="AR38" t="str">
        <f>IF(Dashboard!$C111="","",N(Dashboard!$H111)*1000-ROW())</f>
        <v/>
      </c>
      <c r="AW38">
        <f>80+(ROWS($AW$20:AW38)-1)*27</f>
        <v>566</v>
      </c>
      <c r="AX38" t="str" cm="1">
        <f t="array" ref="AX38">IF(INDEX('Match Day Reports'!$C:$C,$AW38+4+COLUMNS($AX$20:AX38))="","","{""name"":"""&amp;INDEX('Match Day Reports'!$C:$C,$AW38+4+COLUMNS($AX$20:AX38))&amp;""",""status"":"""&amp;INDEX('Match Day Reports'!$D:$D,$AW38+4+COLUMNS($AX$20:AX38))&amp;""",""pos"":"""&amp;INDEX('Match Day Reports'!$E:$E,$AW38+4+COLUMNS($AX$20:AX38))&amp;""",""pos2"":"""&amp;INDEX('Match Day Reports'!$F:$F,$AW38+4+COLUMNS($AX$20:AX38))&amp;""",""goals"":"&amp;N(INDEX('Match Day Reports'!$G:$G,$AW38+4+COLUMNS($AX$20:AX38)))&amp;",""assists"":"&amp;N(INDEX('Match Day Reports'!$H:$H,$AW38+4+COLUMNS($AX$20:AX38)))&amp;",""rating"":"&amp;N(INDEX('Match Day Reports'!$I:$I,$AW38+4+COLUMNS($AX$20:AX38)))&amp;"}")</f>
        <v/>
      </c>
      <c r="AY38" t="str" cm="1">
        <f t="array" ref="AY38">IF(INDEX('Match Day Reports'!$C:$C,$AW38+4+COLUMNS($AX$20:AY38))="","","{""name"":"""&amp;INDEX('Match Day Reports'!$C:$C,$AW38+4+COLUMNS($AX$20:AY38))&amp;""",""status"":"""&amp;INDEX('Match Day Reports'!$D:$D,$AW38+4+COLUMNS($AX$20:AY38))&amp;""",""pos"":"""&amp;INDEX('Match Day Reports'!$E:$E,$AW38+4+COLUMNS($AX$20:AY38))&amp;""",""pos2"":"""&amp;INDEX('Match Day Reports'!$F:$F,$AW38+4+COLUMNS($AX$20:AY38))&amp;""",""goals"":"&amp;N(INDEX('Match Day Reports'!$G:$G,$AW38+4+COLUMNS($AX$20:AY38)))&amp;",""assists"":"&amp;N(INDEX('Match Day Reports'!$H:$H,$AW38+4+COLUMNS($AX$20:AY38)))&amp;",""rating"":"&amp;N(INDEX('Match Day Reports'!$I:$I,$AW38+4+COLUMNS($AX$20:AY38)))&amp;"}")</f>
        <v/>
      </c>
      <c r="AZ38" t="str" cm="1">
        <f t="array" ref="AZ38">IF(INDEX('Match Day Reports'!$C:$C,$AW38+4+COLUMNS($AX$20:AZ38))="","","{""name"":"""&amp;INDEX('Match Day Reports'!$C:$C,$AW38+4+COLUMNS($AX$20:AZ38))&amp;""",""status"":"""&amp;INDEX('Match Day Reports'!$D:$D,$AW38+4+COLUMNS($AX$20:AZ38))&amp;""",""pos"":"""&amp;INDEX('Match Day Reports'!$E:$E,$AW38+4+COLUMNS($AX$20:AZ38))&amp;""",""pos2"":"""&amp;INDEX('Match Day Reports'!$F:$F,$AW38+4+COLUMNS($AX$20:AZ38))&amp;""",""goals"":"&amp;N(INDEX('Match Day Reports'!$G:$G,$AW38+4+COLUMNS($AX$20:AZ38)))&amp;",""assists"":"&amp;N(INDEX('Match Day Reports'!$H:$H,$AW38+4+COLUMNS($AX$20:AZ38)))&amp;",""rating"":"&amp;N(INDEX('Match Day Reports'!$I:$I,$AW38+4+COLUMNS($AX$20:AZ38)))&amp;"}")</f>
        <v/>
      </c>
      <c r="BA38" t="str" cm="1">
        <f t="array" ref="BA38">IF(INDEX('Match Day Reports'!$C:$C,$AW38+4+COLUMNS($AX$20:BA38))="","","{""name"":"""&amp;INDEX('Match Day Reports'!$C:$C,$AW38+4+COLUMNS($AX$20:BA38))&amp;""",""status"":"""&amp;INDEX('Match Day Reports'!$D:$D,$AW38+4+COLUMNS($AX$20:BA38))&amp;""",""pos"":"""&amp;INDEX('Match Day Reports'!$E:$E,$AW38+4+COLUMNS($AX$20:BA38))&amp;""",""pos2"":"""&amp;INDEX('Match Day Reports'!$F:$F,$AW38+4+COLUMNS($AX$20:BA38))&amp;""",""goals"":"&amp;N(INDEX('Match Day Reports'!$G:$G,$AW38+4+COLUMNS($AX$20:BA38)))&amp;",""assists"":"&amp;N(INDEX('Match Day Reports'!$H:$H,$AW38+4+COLUMNS($AX$20:BA38)))&amp;",""rating"":"&amp;N(INDEX('Match Day Reports'!$I:$I,$AW38+4+COLUMNS($AX$20:BA38)))&amp;"}")</f>
        <v/>
      </c>
      <c r="BB38" t="str" cm="1">
        <f t="array" ref="BB38">IF(INDEX('Match Day Reports'!$C:$C,$AW38+4+COLUMNS($AX$20:BB38))="","","{""name"":"""&amp;INDEX('Match Day Reports'!$C:$C,$AW38+4+COLUMNS($AX$20:BB38))&amp;""",""status"":"""&amp;INDEX('Match Day Reports'!$D:$D,$AW38+4+COLUMNS($AX$20:BB38))&amp;""",""pos"":"""&amp;INDEX('Match Day Reports'!$E:$E,$AW38+4+COLUMNS($AX$20:BB38))&amp;""",""pos2"":"""&amp;INDEX('Match Day Reports'!$F:$F,$AW38+4+COLUMNS($AX$20:BB38))&amp;""",""goals"":"&amp;N(INDEX('Match Day Reports'!$G:$G,$AW38+4+COLUMNS($AX$20:BB38)))&amp;",""assists"":"&amp;N(INDEX('Match Day Reports'!$H:$H,$AW38+4+COLUMNS($AX$20:BB38)))&amp;",""rating"":"&amp;N(INDEX('Match Day Reports'!$I:$I,$AW38+4+COLUMNS($AX$20:BB38)))&amp;"}")</f>
        <v/>
      </c>
      <c r="BC38" t="str" cm="1">
        <f t="array" ref="BC38">IF(INDEX('Match Day Reports'!$C:$C,$AW38+4+COLUMNS($AX$20:BC38))="","","{""name"":"""&amp;INDEX('Match Day Reports'!$C:$C,$AW38+4+COLUMNS($AX$20:BC38))&amp;""",""status"":"""&amp;INDEX('Match Day Reports'!$D:$D,$AW38+4+COLUMNS($AX$20:BC38))&amp;""",""pos"":"""&amp;INDEX('Match Day Reports'!$E:$E,$AW38+4+COLUMNS($AX$20:BC38))&amp;""",""pos2"":"""&amp;INDEX('Match Day Reports'!$F:$F,$AW38+4+COLUMNS($AX$20:BC38))&amp;""",""goals"":"&amp;N(INDEX('Match Day Reports'!$G:$G,$AW38+4+COLUMNS($AX$20:BC38)))&amp;",""assists"":"&amp;N(INDEX('Match Day Reports'!$H:$H,$AW38+4+COLUMNS($AX$20:BC38)))&amp;",""rating"":"&amp;N(INDEX('Match Day Reports'!$I:$I,$AW38+4+COLUMNS($AX$20:BC38)))&amp;"}")</f>
        <v/>
      </c>
      <c r="BD38" t="str" cm="1">
        <f t="array" ref="BD38">IF(INDEX('Match Day Reports'!$C:$C,$AW38+4+COLUMNS($AX$20:BD38))="","","{""name"":"""&amp;INDEX('Match Day Reports'!$C:$C,$AW38+4+COLUMNS($AX$20:BD38))&amp;""",""status"":"""&amp;INDEX('Match Day Reports'!$D:$D,$AW38+4+COLUMNS($AX$20:BD38))&amp;""",""pos"":"""&amp;INDEX('Match Day Reports'!$E:$E,$AW38+4+COLUMNS($AX$20:BD38))&amp;""",""pos2"":"""&amp;INDEX('Match Day Reports'!$F:$F,$AW38+4+COLUMNS($AX$20:BD38))&amp;""",""goals"":"&amp;N(INDEX('Match Day Reports'!$G:$G,$AW38+4+COLUMNS($AX$20:BD38)))&amp;",""assists"":"&amp;N(INDEX('Match Day Reports'!$H:$H,$AW38+4+COLUMNS($AX$20:BD38)))&amp;",""rating"":"&amp;N(INDEX('Match Day Reports'!$I:$I,$AW38+4+COLUMNS($AX$20:BD38)))&amp;"}")</f>
        <v/>
      </c>
      <c r="BE38" t="str" cm="1">
        <f t="array" ref="BE38">IF(INDEX('Match Day Reports'!$C:$C,$AW38+4+COLUMNS($AX$20:BE38))="","","{""name"":"""&amp;INDEX('Match Day Reports'!$C:$C,$AW38+4+COLUMNS($AX$20:BE38))&amp;""",""status"":"""&amp;INDEX('Match Day Reports'!$D:$D,$AW38+4+COLUMNS($AX$20:BE38))&amp;""",""pos"":"""&amp;INDEX('Match Day Reports'!$E:$E,$AW38+4+COLUMNS($AX$20:BE38))&amp;""",""pos2"":"""&amp;INDEX('Match Day Reports'!$F:$F,$AW38+4+COLUMNS($AX$20:BE38))&amp;""",""goals"":"&amp;N(INDEX('Match Day Reports'!$G:$G,$AW38+4+COLUMNS($AX$20:BE38)))&amp;",""assists"":"&amp;N(INDEX('Match Day Reports'!$H:$H,$AW38+4+COLUMNS($AX$20:BE38)))&amp;",""rating"":"&amp;N(INDEX('Match Day Reports'!$I:$I,$AW38+4+COLUMNS($AX$20:BE38)))&amp;"}")</f>
        <v/>
      </c>
      <c r="BF38" t="str" cm="1">
        <f t="array" ref="BF38">IF(INDEX('Match Day Reports'!$C:$C,$AW38+4+COLUMNS($AX$20:BF38))="","","{""name"":"""&amp;INDEX('Match Day Reports'!$C:$C,$AW38+4+COLUMNS($AX$20:BF38))&amp;""",""status"":"""&amp;INDEX('Match Day Reports'!$D:$D,$AW38+4+COLUMNS($AX$20:BF38))&amp;""",""pos"":"""&amp;INDEX('Match Day Reports'!$E:$E,$AW38+4+COLUMNS($AX$20:BF38))&amp;""",""pos2"":"""&amp;INDEX('Match Day Reports'!$F:$F,$AW38+4+COLUMNS($AX$20:BF38))&amp;""",""goals"":"&amp;N(INDEX('Match Day Reports'!$G:$G,$AW38+4+COLUMNS($AX$20:BF38)))&amp;",""assists"":"&amp;N(INDEX('Match Day Reports'!$H:$H,$AW38+4+COLUMNS($AX$20:BF38)))&amp;",""rating"":"&amp;N(INDEX('Match Day Reports'!$I:$I,$AW38+4+COLUMNS($AX$20:BF38)))&amp;"}")</f>
        <v/>
      </c>
      <c r="BG38" t="str" cm="1">
        <f t="array" ref="BG38">IF(INDEX('Match Day Reports'!$C:$C,$AW38+4+COLUMNS($AX$20:BG38))="","","{""name"":"""&amp;INDEX('Match Day Reports'!$C:$C,$AW38+4+COLUMNS($AX$20:BG38))&amp;""",""status"":"""&amp;INDEX('Match Day Reports'!$D:$D,$AW38+4+COLUMNS($AX$20:BG38))&amp;""",""pos"":"""&amp;INDEX('Match Day Reports'!$E:$E,$AW38+4+COLUMNS($AX$20:BG38))&amp;""",""pos2"":"""&amp;INDEX('Match Day Reports'!$F:$F,$AW38+4+COLUMNS($AX$20:BG38))&amp;""",""goals"":"&amp;N(INDEX('Match Day Reports'!$G:$G,$AW38+4+COLUMNS($AX$20:BG38)))&amp;",""assists"":"&amp;N(INDEX('Match Day Reports'!$H:$H,$AW38+4+COLUMNS($AX$20:BG38)))&amp;",""rating"":"&amp;N(INDEX('Match Day Reports'!$I:$I,$AW38+4+COLUMNS($AX$20:BG38)))&amp;"}")</f>
        <v/>
      </c>
      <c r="BH38" t="str" cm="1">
        <f t="array" ref="BH38">IF(INDEX('Match Day Reports'!$C:$C,$AW38+4+COLUMNS($AX$20:BH38))="","","{""name"":"""&amp;INDEX('Match Day Reports'!$C:$C,$AW38+4+COLUMNS($AX$20:BH38))&amp;""",""status"":"""&amp;INDEX('Match Day Reports'!$D:$D,$AW38+4+COLUMNS($AX$20:BH38))&amp;""",""pos"":"""&amp;INDEX('Match Day Reports'!$E:$E,$AW38+4+COLUMNS($AX$20:BH38))&amp;""",""pos2"":"""&amp;INDEX('Match Day Reports'!$F:$F,$AW38+4+COLUMNS($AX$20:BH38))&amp;""",""goals"":"&amp;N(INDEX('Match Day Reports'!$G:$G,$AW38+4+COLUMNS($AX$20:BH38)))&amp;",""assists"":"&amp;N(INDEX('Match Day Reports'!$H:$H,$AW38+4+COLUMNS($AX$20:BH38)))&amp;",""rating"":"&amp;N(INDEX('Match Day Reports'!$I:$I,$AW38+4+COLUMNS($AX$20:BH38)))&amp;"}")</f>
        <v/>
      </c>
      <c r="BI38" t="str" cm="1">
        <f t="array" ref="BI38">IF(INDEX('Match Day Reports'!$C:$C,$AW38+4+COLUMNS($AX$20:BI38))="","","{""name"":"""&amp;INDEX('Match Day Reports'!$C:$C,$AW38+4+COLUMNS($AX$20:BI38))&amp;""",""status"":"""&amp;INDEX('Match Day Reports'!$D:$D,$AW38+4+COLUMNS($AX$20:BI38))&amp;""",""pos"":"""&amp;INDEX('Match Day Reports'!$E:$E,$AW38+4+COLUMNS($AX$20:BI38))&amp;""",""pos2"":"""&amp;INDEX('Match Day Reports'!$F:$F,$AW38+4+COLUMNS($AX$20:BI38))&amp;""",""goals"":"&amp;N(INDEX('Match Day Reports'!$G:$G,$AW38+4+COLUMNS($AX$20:BI38)))&amp;",""assists"":"&amp;N(INDEX('Match Day Reports'!$H:$H,$AW38+4+COLUMNS($AX$20:BI38)))&amp;",""rating"":"&amp;N(INDEX('Match Day Reports'!$I:$I,$AW38+4+COLUMNS($AX$20:BI38)))&amp;"}")</f>
        <v/>
      </c>
      <c r="BJ38" t="str" cm="1">
        <f t="array" ref="BJ38">IF(INDEX('Match Day Reports'!$C:$C,$AW38+4+COLUMNS($AX$20:BJ38))="","","{""name"":"""&amp;INDEX('Match Day Reports'!$C:$C,$AW38+4+COLUMNS($AX$20:BJ38))&amp;""",""status"":"""&amp;INDEX('Match Day Reports'!$D:$D,$AW38+4+COLUMNS($AX$20:BJ38))&amp;""",""pos"":"""&amp;INDEX('Match Day Reports'!$E:$E,$AW38+4+COLUMNS($AX$20:BJ38))&amp;""",""pos2"":"""&amp;INDEX('Match Day Reports'!$F:$F,$AW38+4+COLUMNS($AX$20:BJ38))&amp;""",""goals"":"&amp;N(INDEX('Match Day Reports'!$G:$G,$AW38+4+COLUMNS($AX$20:BJ38)))&amp;",""assists"":"&amp;N(INDEX('Match Day Reports'!$H:$H,$AW38+4+COLUMNS($AX$20:BJ38)))&amp;",""rating"":"&amp;N(INDEX('Match Day Reports'!$I:$I,$AW38+4+COLUMNS($AX$20:BJ38)))&amp;"}")</f>
        <v/>
      </c>
      <c r="BK38" t="str" cm="1">
        <f t="array" ref="BK38">IF(INDEX('Match Day Reports'!$C:$C,$AW38+4+COLUMNS($AX$20:BK38))="","","{""name"":"""&amp;INDEX('Match Day Reports'!$C:$C,$AW38+4+COLUMNS($AX$20:BK38))&amp;""",""status"":"""&amp;INDEX('Match Day Reports'!$D:$D,$AW38+4+COLUMNS($AX$20:BK38))&amp;""",""pos"":"""&amp;INDEX('Match Day Reports'!$E:$E,$AW38+4+COLUMNS($AX$20:BK38))&amp;""",""pos2"":"""&amp;INDEX('Match Day Reports'!$F:$F,$AW38+4+COLUMNS($AX$20:BK38))&amp;""",""goals"":"&amp;N(INDEX('Match Day Reports'!$G:$G,$AW38+4+COLUMNS($AX$20:BK38)))&amp;",""assists"":"&amp;N(INDEX('Match Day Reports'!$H:$H,$AW38+4+COLUMNS($AX$20:BK38)))&amp;",""rating"":"&amp;N(INDEX('Match Day Reports'!$I:$I,$AW38+4+COLUMNS($AX$20:BK38)))&amp;"}")</f>
        <v/>
      </c>
      <c r="BL38" t="str" cm="1">
        <f t="array" ref="BL38">IF(INDEX('Match Day Reports'!$C:$C,$AW38+4+COLUMNS($AX$20:BL38))="","","{""name"":"""&amp;INDEX('Match Day Reports'!$C:$C,$AW38+4+COLUMNS($AX$20:BL38))&amp;""",""status"":"""&amp;INDEX('Match Day Reports'!$D:$D,$AW38+4+COLUMNS($AX$20:BL38))&amp;""",""pos"":"""&amp;INDEX('Match Day Reports'!$E:$E,$AW38+4+COLUMNS($AX$20:BL38))&amp;""",""pos2"":"""&amp;INDEX('Match Day Reports'!$F:$F,$AW38+4+COLUMNS($AX$20:BL38))&amp;""",""goals"":"&amp;N(INDEX('Match Day Reports'!$G:$G,$AW38+4+COLUMNS($AX$20:BL38)))&amp;",""assists"":"&amp;N(INDEX('Match Day Reports'!$H:$H,$AW38+4+COLUMNS($AX$20:BL38)))&amp;",""rating"":"&amp;N(INDEX('Match Day Reports'!$I:$I,$AW38+4+COLUMNS($AX$20:BL38)))&amp;"}")</f>
        <v/>
      </c>
      <c r="BM38" t="str" cm="1">
        <f t="array" ref="BM38">IF(INDEX('Match Day Reports'!$C:$C,$AW38+4+COLUMNS($AX$20:BM38))="","","{""name"":"""&amp;INDEX('Match Day Reports'!$C:$C,$AW38+4+COLUMNS($AX$20:BM38))&amp;""",""status"":"""&amp;INDEX('Match Day Reports'!$D:$D,$AW38+4+COLUMNS($AX$20:BM38))&amp;""",""pos"":"""&amp;INDEX('Match Day Reports'!$E:$E,$AW38+4+COLUMNS($AX$20:BM38))&amp;""",""pos2"":"""&amp;INDEX('Match Day Reports'!$F:$F,$AW38+4+COLUMNS($AX$20:BM38))&amp;""",""goals"":"&amp;N(INDEX('Match Day Reports'!$G:$G,$AW38+4+COLUMNS($AX$20:BM38)))&amp;",""assists"":"&amp;N(INDEX('Match Day Reports'!$H:$H,$AW38+4+COLUMNS($AX$20:BM38)))&amp;",""rating"":"&amp;N(INDEX('Match Day Reports'!$I:$I,$AW38+4+COLUMNS($AX$20:BM38)))&amp;"}")</f>
        <v/>
      </c>
      <c r="BN38" t="str" cm="1">
        <f t="array" ref="BN38">IF(INDEX('Match Day Reports'!$C:$C,$AW38+4+COLUMNS($AX$20:BN38))="","","{""name"":"""&amp;INDEX('Match Day Reports'!$C:$C,$AW38+4+COLUMNS($AX$20:BN38))&amp;""",""status"":"""&amp;INDEX('Match Day Reports'!$D:$D,$AW38+4+COLUMNS($AX$20:BN38))&amp;""",""pos"":"""&amp;INDEX('Match Day Reports'!$E:$E,$AW38+4+COLUMNS($AX$20:BN38))&amp;""",""pos2"":"""&amp;INDEX('Match Day Reports'!$F:$F,$AW38+4+COLUMNS($AX$20:BN38))&amp;""",""goals"":"&amp;N(INDEX('Match Day Reports'!$G:$G,$AW38+4+COLUMNS($AX$20:BN38)))&amp;",""assists"":"&amp;N(INDEX('Match Day Reports'!$H:$H,$AW38+4+COLUMNS($AX$20:BN38)))&amp;",""rating"":"&amp;N(INDEX('Match Day Reports'!$I:$I,$AW38+4+COLUMNS($AX$20:BN38)))&amp;"}")</f>
        <v/>
      </c>
      <c r="BO38" t="str" cm="1">
        <f t="array" ref="BO38">IF(INDEX('Match Day Reports'!$C:$C,$AW38+4+COLUMNS($AX$20:BO38))="","","{""name"":"""&amp;INDEX('Match Day Reports'!$C:$C,$AW38+4+COLUMNS($AX$20:BO38))&amp;""",""status"":"""&amp;INDEX('Match Day Reports'!$D:$D,$AW38+4+COLUMNS($AX$20:BO38))&amp;""",""pos"":"""&amp;INDEX('Match Day Reports'!$E:$E,$AW38+4+COLUMNS($AX$20:BO38))&amp;""",""pos2"":"""&amp;INDEX('Match Day Reports'!$F:$F,$AW38+4+COLUMNS($AX$20:BO38))&amp;""",""goals"":"&amp;N(INDEX('Match Day Reports'!$G:$G,$AW38+4+COLUMNS($AX$20:BO38)))&amp;",""assists"":"&amp;N(INDEX('Match Day Reports'!$H:$H,$AW38+4+COLUMNS($AX$20:BO38)))&amp;",""rating"":"&amp;N(INDEX('Match Day Reports'!$I:$I,$AW38+4+COLUMNS($AX$20:BO38)))&amp;"}")</f>
        <v/>
      </c>
      <c r="BU38" t="str">
        <f>IF('Team Selection'!$C192="","","{""player"":"""&amp;'Team Selection'!$C192&amp;""",""position"":"""&amp;'Team Selection'!$D192&amp;""",""overallGrade"":"&amp;ROUND(N('Team Selection'!$E192),2)&amp;",""seasonScore"":"&amp;ROUND(N('Team Selection'!$F192),4)&amp;",""status"":"""&amp;'Team Selection'!$G192&amp;"""}")</f>
        <v/>
      </c>
      <c r="BW38" t="str">
        <f>IF('Team Selection'!$C215="","","{""player"":"""&amp;'Team Selection'!$C215&amp;""",""position"":"""&amp;'Team Selection'!$D215&amp;""",""overallGrade"":"&amp;ROUND(N('Team Selection'!$E215),2)&amp;",""seasonScore"":"&amp;ROUND(N('Team Selection'!$F215),4)&amp;",""status"":"""&amp;'Team Selection'!$G215&amp;"""}")</f>
        <v/>
      </c>
      <c r="BZ38" t="str" cm="1">
        <f t="array" ref="BZ38">IF(Attendance!$D23="","",SUMPRODUCT((Attendance!$E$4:$CN$4="Att")*(Attendance!$E23:$CN23&lt;&gt;"")))</f>
        <v/>
      </c>
      <c r="CA38" t="str" cm="1">
        <f t="array" ref="CA38">IF(Attendance!$D23="","",SUMPRODUCT((Attendance!$CP$4:$FY$4="Att")*((Attendance!$CP23:$FY23&lt;&gt;"")+(Attendance!$CQ23:$FZ23&lt;&gt;"")+(Attendance!$CR23:$GA23&lt;&gt;"")+(Attendance!$CS23:$GB23&lt;&gt;"")&gt;0)))</f>
        <v/>
      </c>
    </row>
    <row r="39" spans="1:79" x14ac:dyDescent="0.45">
      <c r="A39" s="390" t="s">
        <v>25</v>
      </c>
      <c r="B39" s="390" t="s">
        <v>18</v>
      </c>
      <c r="C39" s="390" t="s">
        <v>524</v>
      </c>
      <c r="D39" s="390" t="s">
        <v>525</v>
      </c>
      <c r="E39" s="390" t="s">
        <v>563</v>
      </c>
      <c r="J39" t="str">
        <f>IF(Attendance!$D24="","","{""number"":"&amp;Attendance!$C24&amp;",""name"":"""&amp;Attendance!$D24&amp;""",""position"":"""&amp;'Player Grading'!$D25&amp;""",""availability"":"""&amp;'Team Selection'!$E83&amp;""",""unavailableReason"":"""&amp;'Team Selection'!$F83&amp;""",""trainingAttendancePct"":"&amp;ROUND(N(Attendance!$GC24),4)&amp;",""avgWorkRate"":"&amp;ROUND(N(Attendance!$GD24),2)&amp;",""matchdayAttendancePct"":"&amp;ROUND(N(Attendance!$GH24),4)&amp;",""minutes"":"&amp;N(Attendance!$GI24)&amp;",""avgMinutes"":"&amp;ROUND(N(Attendance!$GJ24),1)&amp;",""avgRating"":"&amp;ROUND(N(Attendance!$GK24),2)&amp;",""motm"":"&amp;N(Attendance!$GM24)&amp;",""seasonScore"":"&amp;ROUND(N(Attendance!$GN24),4)&amp;",""comment"":"""&amp;Attendance!$GR24&amp;""",""toWorkOn"":"""&amp;Attendance!$GS24&amp;""",""sessions"":["&amp;$X39&amp;"],""matches"":["&amp;$Z39&amp;"]}")</f>
        <v/>
      </c>
      <c r="L39" t="str">
        <f>IF(Workings!$AE25="","","{""gw"":"&amp;Workings!$AD25&amp;",""date"":"""&amp;TEXT(Workings!$AE25,"yyyy-mm-dd")&amp;""",""opponent"":"""&amp;Workings!$AF25&amp;""",""venue"":"""&amp;Workings!$AG25&amp;""",""gf"":"&amp;N(Workings!$AH25)&amp;",""ga"":"&amp;N(Workings!$AI25)&amp;",""result"":"""&amp;Workings!$AJ25&amp;"""}")</f>
        <v/>
      </c>
      <c r="N39" t="str">
        <f t="array" ref="N39">IF(LEN(INDEX(Attendance!$E$3:$CN$3,1,(20-1)*2+1))=0,"","{""index"":20,""gw"":10,""date"":"""&amp;TEXT(INDEX(Attendance!$E$3:$CN$3,1,(20-1)*2+1),"yyyy-mm-dd")&amp;"""}")</f>
        <v/>
      </c>
      <c r="T39" t="str">
        <f>IF('Team Selection'!$C59="","","{""player"":"""&amp;'Team Selection'!$C59&amp;""",""position"":"""&amp;'Team Selection'!$D59&amp;""",""overallGrade"":"&amp;ROUND(N('Team Selection'!$E59),2)&amp;",""seasonScore"":"&amp;ROUND(N('Team Selection'!$F59),4)&amp;",""status"":"""&amp;'Team Selection'!$G59&amp;"""}")</f>
        <v/>
      </c>
      <c r="V39" t="str">
        <f>IF(OR('Team Selection'!$C83="",'Team Selection'!$E83="Yes"),"","{""player"":"""&amp;'Team Selection'!$C83&amp;""",""reason"":"""&amp;'Team Selection'!$F83&amp;"""}")</f>
        <v/>
      </c>
      <c r="X39" t="str" cm="1">
        <f t="array" ref="X39">IF(Attendance!$D24="","",_xlfn.TEXTJOIN(",",TRUE(),IF((Attendance!$E$4:$CN$4="Att")*((COLUMN(Attendance!$E$4:$CN$4)-COLUMN(Attendance!$E$4))/2+1&lt;=$BZ$41),"["&amp;IF(Attendance!$E24:$CN24="Yes",1,0)&amp;","&amp;IF(Attendance!$F24:$CO24="",0,Attendance!$F24:$CO24)&amp;"]","")))</f>
        <v/>
      </c>
      <c r="Z39" t="str" cm="1">
        <f t="array" ref="Z39">IF(Attendance!$D24="","",_xlfn.TEXTJOIN(",",TRUE(),IF((Attendance!$CP$4:$FY$4="Att")*((COLUMN(Attendance!$CP$4:$FY$4)-COLUMN(Attendance!$CP$4))/4+1&lt;=$BZ$42),"["&amp;IF(Attendance!$CP24:$FY24="Yes",1,IF(Attendance!$CP24:$FY24="No",0,-1))&amp;","&amp;IF(Attendance!$CQ24:$FZ24="",0,Attendance!$CQ24:$FZ24)&amp;","&amp;IF(Attendance!$CR24:$GA24="",0,Attendance!$CR24:$GA24)&amp;","&amp;IF(Attendance!$CS24:$GB24="Yes",1,0)&amp;"]","")))</f>
        <v/>
      </c>
      <c r="AB39" t="str" cm="1">
        <f t="array" ref="AB39">IF(AND(INDEX('Match Day Reports'!$C:$C,$AW39+2)="",COUNTIF($AX39:$BO39,"?*")=0),"","{""gw"":"&amp;ROWS($AB$20:AB39)&amp;",""date"":"""&amp;IF(INDEX('Match Day Reports'!$B:$B,$AW39+2)="","",TEXT(INDEX('Match Day Reports'!$B:$B,$AW39+2),"yyyy-mm-dd"))&amp;""""&amp;",""opponent"":"""&amp;INDEX('Match Day Reports'!$C:$C,$AW39+2)&amp;""""&amp;",""venue"":"""&amp;INDEX('Match Day Reports'!$D:$D,$AW39+2)&amp;""""&amp;",""gf"":"&amp;N(INDEX('Match Day Reports'!$E:$E,$AW39+2))&amp;",""ga"":"&amp;N(INDEX('Match Day Reports'!$F:$F,$AW39+2))&amp;",""result"":"""&amp;INDEX('Match Day Reports'!$G:$G,$AW39+2)&amp;""""&amp;",""motm"":"""&amp;INDEX('Match Day Reports'!$H:$H,$AW39+2)&amp;""""&amp;",""xi"":["&amp;_xlfn.TEXTJOIN(",",TRUE(),$AX39:$BH39)&amp;"]"&amp;",""subs"":["&amp;_xlfn.TEXTJOIN(",",TRUE(),$BI39:$BO39)&amp;"]"&amp;",""matchNotes"":"""&amp;SUBSTITUTE(SUBSTITUTE(INDEX('Match Day Reports'!$C:$C,$AW39+24),"""","'"),CHAR(10)," ")&amp;""""&amp;",""keyNotes"":"""&amp;SUBSTITUTE(SUBSTITUTE(INDEX('Match Day Reports'!$C:$C,$AW39+25),"""","'"),CHAR(10)," ")&amp;""""&amp;"}")</f>
        <v/>
      </c>
      <c r="AD39" t="str">
        <f>IF(Workings!$AO25="","","{""name"":"""&amp;Workings!$AO25&amp;""",""rank"":"&amp;N(Workings!$AX25)&amp;",""sessionsAttended"":"&amp;N(Workings!$AP25)&amp;",""sessionsHeld"":"&amp;N(Workings!$AQ25)&amp;",""attendancePct"":"&amp;ROUND(N(Workings!$AR25),4)&amp;",""avgWorkRate"":"&amp;ROUND(N(Workings!$AS25),2)&amp;",""gradePct"":"&amp;ROUND(N(Workings!$AT25),4)&amp;",""readinessBand"":"""&amp;Workings!$AU25&amp;"""}")</f>
        <v/>
      </c>
      <c r="AP39" t="str">
        <f>IF(Dashboard!$C112="","",N(Dashboard!$G112)*1000-ROW())</f>
        <v/>
      </c>
      <c r="AR39" t="str">
        <f>IF(Dashboard!$C112="","",N(Dashboard!$H112)*1000-ROW())</f>
        <v/>
      </c>
      <c r="AW39">
        <f>80+(ROWS($AW$20:AW39)-1)*27</f>
        <v>593</v>
      </c>
      <c r="AX39" t="str" cm="1">
        <f t="array" ref="AX39">IF(INDEX('Match Day Reports'!$C:$C,$AW39+4+COLUMNS($AX$20:AX39))="","","{""name"":"""&amp;INDEX('Match Day Reports'!$C:$C,$AW39+4+COLUMNS($AX$20:AX39))&amp;""",""status"":"""&amp;INDEX('Match Day Reports'!$D:$D,$AW39+4+COLUMNS($AX$20:AX39))&amp;""",""pos"":"""&amp;INDEX('Match Day Reports'!$E:$E,$AW39+4+COLUMNS($AX$20:AX39))&amp;""",""pos2"":"""&amp;INDEX('Match Day Reports'!$F:$F,$AW39+4+COLUMNS($AX$20:AX39))&amp;""",""goals"":"&amp;N(INDEX('Match Day Reports'!$G:$G,$AW39+4+COLUMNS($AX$20:AX39)))&amp;",""assists"":"&amp;N(INDEX('Match Day Reports'!$H:$H,$AW39+4+COLUMNS($AX$20:AX39)))&amp;",""rating"":"&amp;N(INDEX('Match Day Reports'!$I:$I,$AW39+4+COLUMNS($AX$20:AX39)))&amp;"}")</f>
        <v/>
      </c>
      <c r="AY39" t="str" cm="1">
        <f t="array" ref="AY39">IF(INDEX('Match Day Reports'!$C:$C,$AW39+4+COLUMNS($AX$20:AY39))="","","{""name"":"""&amp;INDEX('Match Day Reports'!$C:$C,$AW39+4+COLUMNS($AX$20:AY39))&amp;""",""status"":"""&amp;INDEX('Match Day Reports'!$D:$D,$AW39+4+COLUMNS($AX$20:AY39))&amp;""",""pos"":"""&amp;INDEX('Match Day Reports'!$E:$E,$AW39+4+COLUMNS($AX$20:AY39))&amp;""",""pos2"":"""&amp;INDEX('Match Day Reports'!$F:$F,$AW39+4+COLUMNS($AX$20:AY39))&amp;""",""goals"":"&amp;N(INDEX('Match Day Reports'!$G:$G,$AW39+4+COLUMNS($AX$20:AY39)))&amp;",""assists"":"&amp;N(INDEX('Match Day Reports'!$H:$H,$AW39+4+COLUMNS($AX$20:AY39)))&amp;",""rating"":"&amp;N(INDEX('Match Day Reports'!$I:$I,$AW39+4+COLUMNS($AX$20:AY39)))&amp;"}")</f>
        <v/>
      </c>
      <c r="AZ39" t="str" cm="1">
        <f t="array" ref="AZ39">IF(INDEX('Match Day Reports'!$C:$C,$AW39+4+COLUMNS($AX$20:AZ39))="","","{""name"":"""&amp;INDEX('Match Day Reports'!$C:$C,$AW39+4+COLUMNS($AX$20:AZ39))&amp;""",""status"":"""&amp;INDEX('Match Day Reports'!$D:$D,$AW39+4+COLUMNS($AX$20:AZ39))&amp;""",""pos"":"""&amp;INDEX('Match Day Reports'!$E:$E,$AW39+4+COLUMNS($AX$20:AZ39))&amp;""",""pos2"":"""&amp;INDEX('Match Day Reports'!$F:$F,$AW39+4+COLUMNS($AX$20:AZ39))&amp;""",""goals"":"&amp;N(INDEX('Match Day Reports'!$G:$G,$AW39+4+COLUMNS($AX$20:AZ39)))&amp;",""assists"":"&amp;N(INDEX('Match Day Reports'!$H:$H,$AW39+4+COLUMNS($AX$20:AZ39)))&amp;",""rating"":"&amp;N(INDEX('Match Day Reports'!$I:$I,$AW39+4+COLUMNS($AX$20:AZ39)))&amp;"}")</f>
        <v/>
      </c>
      <c r="BA39" t="str" cm="1">
        <f t="array" ref="BA39">IF(INDEX('Match Day Reports'!$C:$C,$AW39+4+COLUMNS($AX$20:BA39))="","","{""name"":"""&amp;INDEX('Match Day Reports'!$C:$C,$AW39+4+COLUMNS($AX$20:BA39))&amp;""",""status"":"""&amp;INDEX('Match Day Reports'!$D:$D,$AW39+4+COLUMNS($AX$20:BA39))&amp;""",""pos"":"""&amp;INDEX('Match Day Reports'!$E:$E,$AW39+4+COLUMNS($AX$20:BA39))&amp;""",""pos2"":"""&amp;INDEX('Match Day Reports'!$F:$F,$AW39+4+COLUMNS($AX$20:BA39))&amp;""",""goals"":"&amp;N(INDEX('Match Day Reports'!$G:$G,$AW39+4+COLUMNS($AX$20:BA39)))&amp;",""assists"":"&amp;N(INDEX('Match Day Reports'!$H:$H,$AW39+4+COLUMNS($AX$20:BA39)))&amp;",""rating"":"&amp;N(INDEX('Match Day Reports'!$I:$I,$AW39+4+COLUMNS($AX$20:BA39)))&amp;"}")</f>
        <v/>
      </c>
      <c r="BB39" t="str" cm="1">
        <f t="array" ref="BB39">IF(INDEX('Match Day Reports'!$C:$C,$AW39+4+COLUMNS($AX$20:BB39))="","","{""name"":"""&amp;INDEX('Match Day Reports'!$C:$C,$AW39+4+COLUMNS($AX$20:BB39))&amp;""",""status"":"""&amp;INDEX('Match Day Reports'!$D:$D,$AW39+4+COLUMNS($AX$20:BB39))&amp;""",""pos"":"""&amp;INDEX('Match Day Reports'!$E:$E,$AW39+4+COLUMNS($AX$20:BB39))&amp;""",""pos2"":"""&amp;INDEX('Match Day Reports'!$F:$F,$AW39+4+COLUMNS($AX$20:BB39))&amp;""",""goals"":"&amp;N(INDEX('Match Day Reports'!$G:$G,$AW39+4+COLUMNS($AX$20:BB39)))&amp;",""assists"":"&amp;N(INDEX('Match Day Reports'!$H:$H,$AW39+4+COLUMNS($AX$20:BB39)))&amp;",""rating"":"&amp;N(INDEX('Match Day Reports'!$I:$I,$AW39+4+COLUMNS($AX$20:BB39)))&amp;"}")</f>
        <v/>
      </c>
      <c r="BC39" t="str" cm="1">
        <f t="array" ref="BC39">IF(INDEX('Match Day Reports'!$C:$C,$AW39+4+COLUMNS($AX$20:BC39))="","","{""name"":"""&amp;INDEX('Match Day Reports'!$C:$C,$AW39+4+COLUMNS($AX$20:BC39))&amp;""",""status"":"""&amp;INDEX('Match Day Reports'!$D:$D,$AW39+4+COLUMNS($AX$20:BC39))&amp;""",""pos"":"""&amp;INDEX('Match Day Reports'!$E:$E,$AW39+4+COLUMNS($AX$20:BC39))&amp;""",""pos2"":"""&amp;INDEX('Match Day Reports'!$F:$F,$AW39+4+COLUMNS($AX$20:BC39))&amp;""",""goals"":"&amp;N(INDEX('Match Day Reports'!$G:$G,$AW39+4+COLUMNS($AX$20:BC39)))&amp;",""assists"":"&amp;N(INDEX('Match Day Reports'!$H:$H,$AW39+4+COLUMNS($AX$20:BC39)))&amp;",""rating"":"&amp;N(INDEX('Match Day Reports'!$I:$I,$AW39+4+COLUMNS($AX$20:BC39)))&amp;"}")</f>
        <v/>
      </c>
      <c r="BD39" t="str" cm="1">
        <f t="array" ref="BD39">IF(INDEX('Match Day Reports'!$C:$C,$AW39+4+COLUMNS($AX$20:BD39))="","","{""name"":"""&amp;INDEX('Match Day Reports'!$C:$C,$AW39+4+COLUMNS($AX$20:BD39))&amp;""",""status"":"""&amp;INDEX('Match Day Reports'!$D:$D,$AW39+4+COLUMNS($AX$20:BD39))&amp;""",""pos"":"""&amp;INDEX('Match Day Reports'!$E:$E,$AW39+4+COLUMNS($AX$20:BD39))&amp;""",""pos2"":"""&amp;INDEX('Match Day Reports'!$F:$F,$AW39+4+COLUMNS($AX$20:BD39))&amp;""",""goals"":"&amp;N(INDEX('Match Day Reports'!$G:$G,$AW39+4+COLUMNS($AX$20:BD39)))&amp;",""assists"":"&amp;N(INDEX('Match Day Reports'!$H:$H,$AW39+4+COLUMNS($AX$20:BD39)))&amp;",""rating"":"&amp;N(INDEX('Match Day Reports'!$I:$I,$AW39+4+COLUMNS($AX$20:BD39)))&amp;"}")</f>
        <v/>
      </c>
      <c r="BE39" t="str" cm="1">
        <f t="array" ref="BE39">IF(INDEX('Match Day Reports'!$C:$C,$AW39+4+COLUMNS($AX$20:BE39))="","","{""name"":"""&amp;INDEX('Match Day Reports'!$C:$C,$AW39+4+COLUMNS($AX$20:BE39))&amp;""",""status"":"""&amp;INDEX('Match Day Reports'!$D:$D,$AW39+4+COLUMNS($AX$20:BE39))&amp;""",""pos"":"""&amp;INDEX('Match Day Reports'!$E:$E,$AW39+4+COLUMNS($AX$20:BE39))&amp;""",""pos2"":"""&amp;INDEX('Match Day Reports'!$F:$F,$AW39+4+COLUMNS($AX$20:BE39))&amp;""",""goals"":"&amp;N(INDEX('Match Day Reports'!$G:$G,$AW39+4+COLUMNS($AX$20:BE39)))&amp;",""assists"":"&amp;N(INDEX('Match Day Reports'!$H:$H,$AW39+4+COLUMNS($AX$20:BE39)))&amp;",""rating"":"&amp;N(INDEX('Match Day Reports'!$I:$I,$AW39+4+COLUMNS($AX$20:BE39)))&amp;"}")</f>
        <v/>
      </c>
      <c r="BF39" t="str" cm="1">
        <f t="array" ref="BF39">IF(INDEX('Match Day Reports'!$C:$C,$AW39+4+COLUMNS($AX$20:BF39))="","","{""name"":"""&amp;INDEX('Match Day Reports'!$C:$C,$AW39+4+COLUMNS($AX$20:BF39))&amp;""",""status"":"""&amp;INDEX('Match Day Reports'!$D:$D,$AW39+4+COLUMNS($AX$20:BF39))&amp;""",""pos"":"""&amp;INDEX('Match Day Reports'!$E:$E,$AW39+4+COLUMNS($AX$20:BF39))&amp;""",""pos2"":"""&amp;INDEX('Match Day Reports'!$F:$F,$AW39+4+COLUMNS($AX$20:BF39))&amp;""",""goals"":"&amp;N(INDEX('Match Day Reports'!$G:$G,$AW39+4+COLUMNS($AX$20:BF39)))&amp;",""assists"":"&amp;N(INDEX('Match Day Reports'!$H:$H,$AW39+4+COLUMNS($AX$20:BF39)))&amp;",""rating"":"&amp;N(INDEX('Match Day Reports'!$I:$I,$AW39+4+COLUMNS($AX$20:BF39)))&amp;"}")</f>
        <v/>
      </c>
      <c r="BG39" t="str" cm="1">
        <f t="array" ref="BG39">IF(INDEX('Match Day Reports'!$C:$C,$AW39+4+COLUMNS($AX$20:BG39))="","","{""name"":"""&amp;INDEX('Match Day Reports'!$C:$C,$AW39+4+COLUMNS($AX$20:BG39))&amp;""",""status"":"""&amp;INDEX('Match Day Reports'!$D:$D,$AW39+4+COLUMNS($AX$20:BG39))&amp;""",""pos"":"""&amp;INDEX('Match Day Reports'!$E:$E,$AW39+4+COLUMNS($AX$20:BG39))&amp;""",""pos2"":"""&amp;INDEX('Match Day Reports'!$F:$F,$AW39+4+COLUMNS($AX$20:BG39))&amp;""",""goals"":"&amp;N(INDEX('Match Day Reports'!$G:$G,$AW39+4+COLUMNS($AX$20:BG39)))&amp;",""assists"":"&amp;N(INDEX('Match Day Reports'!$H:$H,$AW39+4+COLUMNS($AX$20:BG39)))&amp;",""rating"":"&amp;N(INDEX('Match Day Reports'!$I:$I,$AW39+4+COLUMNS($AX$20:BG39)))&amp;"}")</f>
        <v/>
      </c>
      <c r="BH39" t="str" cm="1">
        <f t="array" ref="BH39">IF(INDEX('Match Day Reports'!$C:$C,$AW39+4+COLUMNS($AX$20:BH39))="","","{""name"":"""&amp;INDEX('Match Day Reports'!$C:$C,$AW39+4+COLUMNS($AX$20:BH39))&amp;""",""status"":"""&amp;INDEX('Match Day Reports'!$D:$D,$AW39+4+COLUMNS($AX$20:BH39))&amp;""",""pos"":"""&amp;INDEX('Match Day Reports'!$E:$E,$AW39+4+COLUMNS($AX$20:BH39))&amp;""",""pos2"":"""&amp;INDEX('Match Day Reports'!$F:$F,$AW39+4+COLUMNS($AX$20:BH39))&amp;""",""goals"":"&amp;N(INDEX('Match Day Reports'!$G:$G,$AW39+4+COLUMNS($AX$20:BH39)))&amp;",""assists"":"&amp;N(INDEX('Match Day Reports'!$H:$H,$AW39+4+COLUMNS($AX$20:BH39)))&amp;",""rating"":"&amp;N(INDEX('Match Day Reports'!$I:$I,$AW39+4+COLUMNS($AX$20:BH39)))&amp;"}")</f>
        <v/>
      </c>
      <c r="BI39" t="str" cm="1">
        <f t="array" ref="BI39">IF(INDEX('Match Day Reports'!$C:$C,$AW39+4+COLUMNS($AX$20:BI39))="","","{""name"":"""&amp;INDEX('Match Day Reports'!$C:$C,$AW39+4+COLUMNS($AX$20:BI39))&amp;""",""status"":"""&amp;INDEX('Match Day Reports'!$D:$D,$AW39+4+COLUMNS($AX$20:BI39))&amp;""",""pos"":"""&amp;INDEX('Match Day Reports'!$E:$E,$AW39+4+COLUMNS($AX$20:BI39))&amp;""",""pos2"":"""&amp;INDEX('Match Day Reports'!$F:$F,$AW39+4+COLUMNS($AX$20:BI39))&amp;""",""goals"":"&amp;N(INDEX('Match Day Reports'!$G:$G,$AW39+4+COLUMNS($AX$20:BI39)))&amp;",""assists"":"&amp;N(INDEX('Match Day Reports'!$H:$H,$AW39+4+COLUMNS($AX$20:BI39)))&amp;",""rating"":"&amp;N(INDEX('Match Day Reports'!$I:$I,$AW39+4+COLUMNS($AX$20:BI39)))&amp;"}")</f>
        <v/>
      </c>
      <c r="BJ39" t="str" cm="1">
        <f t="array" ref="BJ39">IF(INDEX('Match Day Reports'!$C:$C,$AW39+4+COLUMNS($AX$20:BJ39))="","","{""name"":"""&amp;INDEX('Match Day Reports'!$C:$C,$AW39+4+COLUMNS($AX$20:BJ39))&amp;""",""status"":"""&amp;INDEX('Match Day Reports'!$D:$D,$AW39+4+COLUMNS($AX$20:BJ39))&amp;""",""pos"":"""&amp;INDEX('Match Day Reports'!$E:$E,$AW39+4+COLUMNS($AX$20:BJ39))&amp;""",""pos2"":"""&amp;INDEX('Match Day Reports'!$F:$F,$AW39+4+COLUMNS($AX$20:BJ39))&amp;""",""goals"":"&amp;N(INDEX('Match Day Reports'!$G:$G,$AW39+4+COLUMNS($AX$20:BJ39)))&amp;",""assists"":"&amp;N(INDEX('Match Day Reports'!$H:$H,$AW39+4+COLUMNS($AX$20:BJ39)))&amp;",""rating"":"&amp;N(INDEX('Match Day Reports'!$I:$I,$AW39+4+COLUMNS($AX$20:BJ39)))&amp;"}")</f>
        <v/>
      </c>
      <c r="BK39" t="str" cm="1">
        <f t="array" ref="BK39">IF(INDEX('Match Day Reports'!$C:$C,$AW39+4+COLUMNS($AX$20:BK39))="","","{""name"":"""&amp;INDEX('Match Day Reports'!$C:$C,$AW39+4+COLUMNS($AX$20:BK39))&amp;""",""status"":"""&amp;INDEX('Match Day Reports'!$D:$D,$AW39+4+COLUMNS($AX$20:BK39))&amp;""",""pos"":"""&amp;INDEX('Match Day Reports'!$E:$E,$AW39+4+COLUMNS($AX$20:BK39))&amp;""",""pos2"":"""&amp;INDEX('Match Day Reports'!$F:$F,$AW39+4+COLUMNS($AX$20:BK39))&amp;""",""goals"":"&amp;N(INDEX('Match Day Reports'!$G:$G,$AW39+4+COLUMNS($AX$20:BK39)))&amp;",""assists"":"&amp;N(INDEX('Match Day Reports'!$H:$H,$AW39+4+COLUMNS($AX$20:BK39)))&amp;",""rating"":"&amp;N(INDEX('Match Day Reports'!$I:$I,$AW39+4+COLUMNS($AX$20:BK39)))&amp;"}")</f>
        <v/>
      </c>
      <c r="BL39" t="str" cm="1">
        <f t="array" ref="BL39">IF(INDEX('Match Day Reports'!$C:$C,$AW39+4+COLUMNS($AX$20:BL39))="","","{""name"":"""&amp;INDEX('Match Day Reports'!$C:$C,$AW39+4+COLUMNS($AX$20:BL39))&amp;""",""status"":"""&amp;INDEX('Match Day Reports'!$D:$D,$AW39+4+COLUMNS($AX$20:BL39))&amp;""",""pos"":"""&amp;INDEX('Match Day Reports'!$E:$E,$AW39+4+COLUMNS($AX$20:BL39))&amp;""",""pos2"":"""&amp;INDEX('Match Day Reports'!$F:$F,$AW39+4+COLUMNS($AX$20:BL39))&amp;""",""goals"":"&amp;N(INDEX('Match Day Reports'!$G:$G,$AW39+4+COLUMNS($AX$20:BL39)))&amp;",""assists"":"&amp;N(INDEX('Match Day Reports'!$H:$H,$AW39+4+COLUMNS($AX$20:BL39)))&amp;",""rating"":"&amp;N(INDEX('Match Day Reports'!$I:$I,$AW39+4+COLUMNS($AX$20:BL39)))&amp;"}")</f>
        <v/>
      </c>
      <c r="BM39" t="str" cm="1">
        <f t="array" ref="BM39">IF(INDEX('Match Day Reports'!$C:$C,$AW39+4+COLUMNS($AX$20:BM39))="","","{""name"":"""&amp;INDEX('Match Day Reports'!$C:$C,$AW39+4+COLUMNS($AX$20:BM39))&amp;""",""status"":"""&amp;INDEX('Match Day Reports'!$D:$D,$AW39+4+COLUMNS($AX$20:BM39))&amp;""",""pos"":"""&amp;INDEX('Match Day Reports'!$E:$E,$AW39+4+COLUMNS($AX$20:BM39))&amp;""",""pos2"":"""&amp;INDEX('Match Day Reports'!$F:$F,$AW39+4+COLUMNS($AX$20:BM39))&amp;""",""goals"":"&amp;N(INDEX('Match Day Reports'!$G:$G,$AW39+4+COLUMNS($AX$20:BM39)))&amp;",""assists"":"&amp;N(INDEX('Match Day Reports'!$H:$H,$AW39+4+COLUMNS($AX$20:BM39)))&amp;",""rating"":"&amp;N(INDEX('Match Day Reports'!$I:$I,$AW39+4+COLUMNS($AX$20:BM39)))&amp;"}")</f>
        <v/>
      </c>
      <c r="BN39" t="str" cm="1">
        <f t="array" ref="BN39">IF(INDEX('Match Day Reports'!$C:$C,$AW39+4+COLUMNS($AX$20:BN39))="","","{""name"":"""&amp;INDEX('Match Day Reports'!$C:$C,$AW39+4+COLUMNS($AX$20:BN39))&amp;""",""status"":"""&amp;INDEX('Match Day Reports'!$D:$D,$AW39+4+COLUMNS($AX$20:BN39))&amp;""",""pos"":"""&amp;INDEX('Match Day Reports'!$E:$E,$AW39+4+COLUMNS($AX$20:BN39))&amp;""",""pos2"":"""&amp;INDEX('Match Day Reports'!$F:$F,$AW39+4+COLUMNS($AX$20:BN39))&amp;""",""goals"":"&amp;N(INDEX('Match Day Reports'!$G:$G,$AW39+4+COLUMNS($AX$20:BN39)))&amp;",""assists"":"&amp;N(INDEX('Match Day Reports'!$H:$H,$AW39+4+COLUMNS($AX$20:BN39)))&amp;",""rating"":"&amp;N(INDEX('Match Day Reports'!$I:$I,$AW39+4+COLUMNS($AX$20:BN39)))&amp;"}")</f>
        <v/>
      </c>
      <c r="BO39" t="str" cm="1">
        <f t="array" ref="BO39">IF(INDEX('Match Day Reports'!$C:$C,$AW39+4+COLUMNS($AX$20:BO39))="","","{""name"":"""&amp;INDEX('Match Day Reports'!$C:$C,$AW39+4+COLUMNS($AX$20:BO39))&amp;""",""status"":"""&amp;INDEX('Match Day Reports'!$D:$D,$AW39+4+COLUMNS($AX$20:BO39))&amp;""",""pos"":"""&amp;INDEX('Match Day Reports'!$E:$E,$AW39+4+COLUMNS($AX$20:BO39))&amp;""",""pos2"":"""&amp;INDEX('Match Day Reports'!$F:$F,$AW39+4+COLUMNS($AX$20:BO39))&amp;""",""goals"":"&amp;N(INDEX('Match Day Reports'!$G:$G,$AW39+4+COLUMNS($AX$20:BO39)))&amp;",""assists"":"&amp;N(INDEX('Match Day Reports'!$H:$H,$AW39+4+COLUMNS($AX$20:BO39)))&amp;",""rating"":"&amp;N(INDEX('Match Day Reports'!$I:$I,$AW39+4+COLUMNS($AX$20:BO39)))&amp;"}")</f>
        <v/>
      </c>
      <c r="BU39" t="str">
        <f>IF('Team Selection'!$C193="","","{""player"":"""&amp;'Team Selection'!$C193&amp;""",""position"":"""&amp;'Team Selection'!$D193&amp;""",""overallGrade"":"&amp;ROUND(N('Team Selection'!$E193),2)&amp;",""seasonScore"":"&amp;ROUND(N('Team Selection'!$F193),4)&amp;",""status"":"""&amp;'Team Selection'!$G193&amp;"""}")</f>
        <v/>
      </c>
      <c r="BW39" t="str">
        <f>IF('Team Selection'!$C216="","","{""player"":"""&amp;'Team Selection'!$C216&amp;""",""position"":"""&amp;'Team Selection'!$D216&amp;""",""overallGrade"":"&amp;ROUND(N('Team Selection'!$E216),2)&amp;",""seasonScore"":"&amp;ROUND(N('Team Selection'!$F216),4)&amp;",""status"":"""&amp;'Team Selection'!$G216&amp;"""}")</f>
        <v/>
      </c>
      <c r="BZ39" t="str" cm="1">
        <f t="array" ref="BZ39">IF(Attendance!$D24="","",SUMPRODUCT((Attendance!$E$4:$CN$4="Att")*(Attendance!$E24:$CN24&lt;&gt;"")))</f>
        <v/>
      </c>
      <c r="CA39" t="str" cm="1">
        <f t="array" ref="CA39">IF(Attendance!$D24="","",SUMPRODUCT((Attendance!$CP$4:$FY$4="Att")*((Attendance!$CP24:$FY24&lt;&gt;"")+(Attendance!$CQ24:$FZ24&lt;&gt;"")+(Attendance!$CR24:$GA24&lt;&gt;"")+(Attendance!$CS24:$GB24&lt;&gt;"")&gt;0)))</f>
        <v/>
      </c>
    </row>
    <row r="40" spans="1:79" x14ac:dyDescent="0.45">
      <c r="A40" s="396">
        <f>IF($AT20="","",1)</f>
        <v>1</v>
      </c>
      <c r="B40" s="419" t="str" cm="1">
        <f t="array" ref="B40">IF($AT20="","",INDEX(Dashboard!$C$93:$C$112,$AT20))</f>
        <v>Roisin Offenhausen</v>
      </c>
      <c r="C40" s="396" cm="1">
        <f t="array" ref="C40">IF($AT20="","",INDEX(Dashboard!$G$93:$G$112,$AT20))</f>
        <v>3</v>
      </c>
      <c r="D40" s="396" cm="1">
        <f t="array" ref="D40">IF($AT20="","",INDEX(Dashboard!$H$93:$H$112,$AT20))</f>
        <v>0</v>
      </c>
      <c r="E40" s="396" cm="1">
        <f t="array" ref="E40">IF($AT20="","",INDEX(Dashboard!$F$93:$F$112,$AT20))</f>
        <v>1</v>
      </c>
      <c r="L40" t="str">
        <f>IF(Workings!$AE26="","","{""gw"":"&amp;Workings!$AD26&amp;",""date"":"""&amp;TEXT(Workings!$AE26,"yyyy-mm-dd")&amp;""",""opponent"":"""&amp;Workings!$AF26&amp;""",""venue"":"""&amp;Workings!$AG26&amp;""",""gf"":"&amp;N(Workings!$AH26)&amp;",""ga"":"&amp;N(Workings!$AI26)&amp;",""result"":"""&amp;Workings!$AJ26&amp;"""}")</f>
        <v/>
      </c>
      <c r="N40" t="str">
        <f t="array" ref="N40">IF(LEN(INDEX(Attendance!$E$3:$CN$3,1,(21-1)*2+1))=0,"","{""index"":21,""gw"":11,""date"":"""&amp;TEXT(INDEX(Attendance!$E$3:$CN$3,1,(21-1)*2+1),"yyyy-mm-dd")&amp;"""}")</f>
        <v/>
      </c>
      <c r="AB40" t="str" cm="1">
        <f t="array" ref="AB40">IF(AND(INDEX('Match Day Reports'!$C:$C,$AW40+2)="",COUNTIF($AX40:$BO40,"?*")=0),"","{""gw"":"&amp;ROWS($AB$20:AB40)&amp;",""date"":"""&amp;IF(INDEX('Match Day Reports'!$B:$B,$AW40+2)="","",TEXT(INDEX('Match Day Reports'!$B:$B,$AW40+2),"yyyy-mm-dd"))&amp;""""&amp;",""opponent"":"""&amp;INDEX('Match Day Reports'!$C:$C,$AW40+2)&amp;""""&amp;",""venue"":"""&amp;INDEX('Match Day Reports'!$D:$D,$AW40+2)&amp;""""&amp;",""gf"":"&amp;N(INDEX('Match Day Reports'!$E:$E,$AW40+2))&amp;",""ga"":"&amp;N(INDEX('Match Day Reports'!$F:$F,$AW40+2))&amp;",""result"":"""&amp;INDEX('Match Day Reports'!$G:$G,$AW40+2)&amp;""""&amp;",""motm"":"""&amp;INDEX('Match Day Reports'!$H:$H,$AW40+2)&amp;""""&amp;",""xi"":["&amp;_xlfn.TEXTJOIN(",",TRUE(),$AX40:$BH40)&amp;"]"&amp;",""subs"":["&amp;_xlfn.TEXTJOIN(",",TRUE(),$BI40:$BO40)&amp;"]"&amp;",""matchNotes"":"""&amp;SUBSTITUTE(SUBSTITUTE(INDEX('Match Day Reports'!$C:$C,$AW40+24),"""","'"),CHAR(10)," ")&amp;""""&amp;",""keyNotes"":"""&amp;SUBSTITUTE(SUBSTITUTE(INDEX('Match Day Reports'!$C:$C,$AW40+25),"""","'"),CHAR(10)," ")&amp;""""&amp;"}")</f>
        <v/>
      </c>
      <c r="AW40">
        <f>80+(ROWS($AW$20:AW40)-1)*27</f>
        <v>620</v>
      </c>
      <c r="AX40" t="str" cm="1">
        <f t="array" ref="AX40">IF(INDEX('Match Day Reports'!$C:$C,$AW40+4+COLUMNS($AX$20:AX40))="","","{""name"":"""&amp;INDEX('Match Day Reports'!$C:$C,$AW40+4+COLUMNS($AX$20:AX40))&amp;""",""status"":"""&amp;INDEX('Match Day Reports'!$D:$D,$AW40+4+COLUMNS($AX$20:AX40))&amp;""",""pos"":"""&amp;INDEX('Match Day Reports'!$E:$E,$AW40+4+COLUMNS($AX$20:AX40))&amp;""",""pos2"":"""&amp;INDEX('Match Day Reports'!$F:$F,$AW40+4+COLUMNS($AX$20:AX40))&amp;""",""goals"":"&amp;N(INDEX('Match Day Reports'!$G:$G,$AW40+4+COLUMNS($AX$20:AX40)))&amp;",""assists"":"&amp;N(INDEX('Match Day Reports'!$H:$H,$AW40+4+COLUMNS($AX$20:AX40)))&amp;",""rating"":"&amp;N(INDEX('Match Day Reports'!$I:$I,$AW40+4+COLUMNS($AX$20:AX40)))&amp;"}")</f>
        <v/>
      </c>
      <c r="AY40" t="str" cm="1">
        <f t="array" ref="AY40">IF(INDEX('Match Day Reports'!$C:$C,$AW40+4+COLUMNS($AX$20:AY40))="","","{""name"":"""&amp;INDEX('Match Day Reports'!$C:$C,$AW40+4+COLUMNS($AX$20:AY40))&amp;""",""status"":"""&amp;INDEX('Match Day Reports'!$D:$D,$AW40+4+COLUMNS($AX$20:AY40))&amp;""",""pos"":"""&amp;INDEX('Match Day Reports'!$E:$E,$AW40+4+COLUMNS($AX$20:AY40))&amp;""",""pos2"":"""&amp;INDEX('Match Day Reports'!$F:$F,$AW40+4+COLUMNS($AX$20:AY40))&amp;""",""goals"":"&amp;N(INDEX('Match Day Reports'!$G:$G,$AW40+4+COLUMNS($AX$20:AY40)))&amp;",""assists"":"&amp;N(INDEX('Match Day Reports'!$H:$H,$AW40+4+COLUMNS($AX$20:AY40)))&amp;",""rating"":"&amp;N(INDEX('Match Day Reports'!$I:$I,$AW40+4+COLUMNS($AX$20:AY40)))&amp;"}")</f>
        <v/>
      </c>
      <c r="AZ40" t="str" cm="1">
        <f t="array" ref="AZ40">IF(INDEX('Match Day Reports'!$C:$C,$AW40+4+COLUMNS($AX$20:AZ40))="","","{""name"":"""&amp;INDEX('Match Day Reports'!$C:$C,$AW40+4+COLUMNS($AX$20:AZ40))&amp;""",""status"":"""&amp;INDEX('Match Day Reports'!$D:$D,$AW40+4+COLUMNS($AX$20:AZ40))&amp;""",""pos"":"""&amp;INDEX('Match Day Reports'!$E:$E,$AW40+4+COLUMNS($AX$20:AZ40))&amp;""",""pos2"":"""&amp;INDEX('Match Day Reports'!$F:$F,$AW40+4+COLUMNS($AX$20:AZ40))&amp;""",""goals"":"&amp;N(INDEX('Match Day Reports'!$G:$G,$AW40+4+COLUMNS($AX$20:AZ40)))&amp;",""assists"":"&amp;N(INDEX('Match Day Reports'!$H:$H,$AW40+4+COLUMNS($AX$20:AZ40)))&amp;",""rating"":"&amp;N(INDEX('Match Day Reports'!$I:$I,$AW40+4+COLUMNS($AX$20:AZ40)))&amp;"}")</f>
        <v/>
      </c>
      <c r="BA40" t="str" cm="1">
        <f t="array" ref="BA40">IF(INDEX('Match Day Reports'!$C:$C,$AW40+4+COLUMNS($AX$20:BA40))="","","{""name"":"""&amp;INDEX('Match Day Reports'!$C:$C,$AW40+4+COLUMNS($AX$20:BA40))&amp;""",""status"":"""&amp;INDEX('Match Day Reports'!$D:$D,$AW40+4+COLUMNS($AX$20:BA40))&amp;""",""pos"":"""&amp;INDEX('Match Day Reports'!$E:$E,$AW40+4+COLUMNS($AX$20:BA40))&amp;""",""pos2"":"""&amp;INDEX('Match Day Reports'!$F:$F,$AW40+4+COLUMNS($AX$20:BA40))&amp;""",""goals"":"&amp;N(INDEX('Match Day Reports'!$G:$G,$AW40+4+COLUMNS($AX$20:BA40)))&amp;",""assists"":"&amp;N(INDEX('Match Day Reports'!$H:$H,$AW40+4+COLUMNS($AX$20:BA40)))&amp;",""rating"":"&amp;N(INDEX('Match Day Reports'!$I:$I,$AW40+4+COLUMNS($AX$20:BA40)))&amp;"}")</f>
        <v/>
      </c>
      <c r="BB40" t="str" cm="1">
        <f t="array" ref="BB40">IF(INDEX('Match Day Reports'!$C:$C,$AW40+4+COLUMNS($AX$20:BB40))="","","{""name"":"""&amp;INDEX('Match Day Reports'!$C:$C,$AW40+4+COLUMNS($AX$20:BB40))&amp;""",""status"":"""&amp;INDEX('Match Day Reports'!$D:$D,$AW40+4+COLUMNS($AX$20:BB40))&amp;""",""pos"":"""&amp;INDEX('Match Day Reports'!$E:$E,$AW40+4+COLUMNS($AX$20:BB40))&amp;""",""pos2"":"""&amp;INDEX('Match Day Reports'!$F:$F,$AW40+4+COLUMNS($AX$20:BB40))&amp;""",""goals"":"&amp;N(INDEX('Match Day Reports'!$G:$G,$AW40+4+COLUMNS($AX$20:BB40)))&amp;",""assists"":"&amp;N(INDEX('Match Day Reports'!$H:$H,$AW40+4+COLUMNS($AX$20:BB40)))&amp;",""rating"":"&amp;N(INDEX('Match Day Reports'!$I:$I,$AW40+4+COLUMNS($AX$20:BB40)))&amp;"}")</f>
        <v/>
      </c>
      <c r="BC40" t="str" cm="1">
        <f t="array" ref="BC40">IF(INDEX('Match Day Reports'!$C:$C,$AW40+4+COLUMNS($AX$20:BC40))="","","{""name"":"""&amp;INDEX('Match Day Reports'!$C:$C,$AW40+4+COLUMNS($AX$20:BC40))&amp;""",""status"":"""&amp;INDEX('Match Day Reports'!$D:$D,$AW40+4+COLUMNS($AX$20:BC40))&amp;""",""pos"":"""&amp;INDEX('Match Day Reports'!$E:$E,$AW40+4+COLUMNS($AX$20:BC40))&amp;""",""pos2"":"""&amp;INDEX('Match Day Reports'!$F:$F,$AW40+4+COLUMNS($AX$20:BC40))&amp;""",""goals"":"&amp;N(INDEX('Match Day Reports'!$G:$G,$AW40+4+COLUMNS($AX$20:BC40)))&amp;",""assists"":"&amp;N(INDEX('Match Day Reports'!$H:$H,$AW40+4+COLUMNS($AX$20:BC40)))&amp;",""rating"":"&amp;N(INDEX('Match Day Reports'!$I:$I,$AW40+4+COLUMNS($AX$20:BC40)))&amp;"}")</f>
        <v/>
      </c>
      <c r="BD40" t="str" cm="1">
        <f t="array" ref="BD40">IF(INDEX('Match Day Reports'!$C:$C,$AW40+4+COLUMNS($AX$20:BD40))="","","{""name"":"""&amp;INDEX('Match Day Reports'!$C:$C,$AW40+4+COLUMNS($AX$20:BD40))&amp;""",""status"":"""&amp;INDEX('Match Day Reports'!$D:$D,$AW40+4+COLUMNS($AX$20:BD40))&amp;""",""pos"":"""&amp;INDEX('Match Day Reports'!$E:$E,$AW40+4+COLUMNS($AX$20:BD40))&amp;""",""pos2"":"""&amp;INDEX('Match Day Reports'!$F:$F,$AW40+4+COLUMNS($AX$20:BD40))&amp;""",""goals"":"&amp;N(INDEX('Match Day Reports'!$G:$G,$AW40+4+COLUMNS($AX$20:BD40)))&amp;",""assists"":"&amp;N(INDEX('Match Day Reports'!$H:$H,$AW40+4+COLUMNS($AX$20:BD40)))&amp;",""rating"":"&amp;N(INDEX('Match Day Reports'!$I:$I,$AW40+4+COLUMNS($AX$20:BD40)))&amp;"}")</f>
        <v/>
      </c>
      <c r="BE40" t="str" cm="1">
        <f t="array" ref="BE40">IF(INDEX('Match Day Reports'!$C:$C,$AW40+4+COLUMNS($AX$20:BE40))="","","{""name"":"""&amp;INDEX('Match Day Reports'!$C:$C,$AW40+4+COLUMNS($AX$20:BE40))&amp;""",""status"":"""&amp;INDEX('Match Day Reports'!$D:$D,$AW40+4+COLUMNS($AX$20:BE40))&amp;""",""pos"":"""&amp;INDEX('Match Day Reports'!$E:$E,$AW40+4+COLUMNS($AX$20:BE40))&amp;""",""pos2"":"""&amp;INDEX('Match Day Reports'!$F:$F,$AW40+4+COLUMNS($AX$20:BE40))&amp;""",""goals"":"&amp;N(INDEX('Match Day Reports'!$G:$G,$AW40+4+COLUMNS($AX$20:BE40)))&amp;",""assists"":"&amp;N(INDEX('Match Day Reports'!$H:$H,$AW40+4+COLUMNS($AX$20:BE40)))&amp;",""rating"":"&amp;N(INDEX('Match Day Reports'!$I:$I,$AW40+4+COLUMNS($AX$20:BE40)))&amp;"}")</f>
        <v/>
      </c>
      <c r="BF40" t="str" cm="1">
        <f t="array" ref="BF40">IF(INDEX('Match Day Reports'!$C:$C,$AW40+4+COLUMNS($AX$20:BF40))="","","{""name"":"""&amp;INDEX('Match Day Reports'!$C:$C,$AW40+4+COLUMNS($AX$20:BF40))&amp;""",""status"":"""&amp;INDEX('Match Day Reports'!$D:$D,$AW40+4+COLUMNS($AX$20:BF40))&amp;""",""pos"":"""&amp;INDEX('Match Day Reports'!$E:$E,$AW40+4+COLUMNS($AX$20:BF40))&amp;""",""pos2"":"""&amp;INDEX('Match Day Reports'!$F:$F,$AW40+4+COLUMNS($AX$20:BF40))&amp;""",""goals"":"&amp;N(INDEX('Match Day Reports'!$G:$G,$AW40+4+COLUMNS($AX$20:BF40)))&amp;",""assists"":"&amp;N(INDEX('Match Day Reports'!$H:$H,$AW40+4+COLUMNS($AX$20:BF40)))&amp;",""rating"":"&amp;N(INDEX('Match Day Reports'!$I:$I,$AW40+4+COLUMNS($AX$20:BF40)))&amp;"}")</f>
        <v/>
      </c>
      <c r="BG40" t="str" cm="1">
        <f t="array" ref="BG40">IF(INDEX('Match Day Reports'!$C:$C,$AW40+4+COLUMNS($AX$20:BG40))="","","{""name"":"""&amp;INDEX('Match Day Reports'!$C:$C,$AW40+4+COLUMNS($AX$20:BG40))&amp;""",""status"":"""&amp;INDEX('Match Day Reports'!$D:$D,$AW40+4+COLUMNS($AX$20:BG40))&amp;""",""pos"":"""&amp;INDEX('Match Day Reports'!$E:$E,$AW40+4+COLUMNS($AX$20:BG40))&amp;""",""pos2"":"""&amp;INDEX('Match Day Reports'!$F:$F,$AW40+4+COLUMNS($AX$20:BG40))&amp;""",""goals"":"&amp;N(INDEX('Match Day Reports'!$G:$G,$AW40+4+COLUMNS($AX$20:BG40)))&amp;",""assists"":"&amp;N(INDEX('Match Day Reports'!$H:$H,$AW40+4+COLUMNS($AX$20:BG40)))&amp;",""rating"":"&amp;N(INDEX('Match Day Reports'!$I:$I,$AW40+4+COLUMNS($AX$20:BG40)))&amp;"}")</f>
        <v/>
      </c>
      <c r="BH40" t="str" cm="1">
        <f t="array" ref="BH40">IF(INDEX('Match Day Reports'!$C:$C,$AW40+4+COLUMNS($AX$20:BH40))="","","{""name"":"""&amp;INDEX('Match Day Reports'!$C:$C,$AW40+4+COLUMNS($AX$20:BH40))&amp;""",""status"":"""&amp;INDEX('Match Day Reports'!$D:$D,$AW40+4+COLUMNS($AX$20:BH40))&amp;""",""pos"":"""&amp;INDEX('Match Day Reports'!$E:$E,$AW40+4+COLUMNS($AX$20:BH40))&amp;""",""pos2"":"""&amp;INDEX('Match Day Reports'!$F:$F,$AW40+4+COLUMNS($AX$20:BH40))&amp;""",""goals"":"&amp;N(INDEX('Match Day Reports'!$G:$G,$AW40+4+COLUMNS($AX$20:BH40)))&amp;",""assists"":"&amp;N(INDEX('Match Day Reports'!$H:$H,$AW40+4+COLUMNS($AX$20:BH40)))&amp;",""rating"":"&amp;N(INDEX('Match Day Reports'!$I:$I,$AW40+4+COLUMNS($AX$20:BH40)))&amp;"}")</f>
        <v/>
      </c>
      <c r="BI40" t="str" cm="1">
        <f t="array" ref="BI40">IF(INDEX('Match Day Reports'!$C:$C,$AW40+4+COLUMNS($AX$20:BI40))="","","{""name"":"""&amp;INDEX('Match Day Reports'!$C:$C,$AW40+4+COLUMNS($AX$20:BI40))&amp;""",""status"":"""&amp;INDEX('Match Day Reports'!$D:$D,$AW40+4+COLUMNS($AX$20:BI40))&amp;""",""pos"":"""&amp;INDEX('Match Day Reports'!$E:$E,$AW40+4+COLUMNS($AX$20:BI40))&amp;""",""pos2"":"""&amp;INDEX('Match Day Reports'!$F:$F,$AW40+4+COLUMNS($AX$20:BI40))&amp;""",""goals"":"&amp;N(INDEX('Match Day Reports'!$G:$G,$AW40+4+COLUMNS($AX$20:BI40)))&amp;",""assists"":"&amp;N(INDEX('Match Day Reports'!$H:$H,$AW40+4+COLUMNS($AX$20:BI40)))&amp;",""rating"":"&amp;N(INDEX('Match Day Reports'!$I:$I,$AW40+4+COLUMNS($AX$20:BI40)))&amp;"}")</f>
        <v/>
      </c>
      <c r="BJ40" t="str" cm="1">
        <f t="array" ref="BJ40">IF(INDEX('Match Day Reports'!$C:$C,$AW40+4+COLUMNS($AX$20:BJ40))="","","{""name"":"""&amp;INDEX('Match Day Reports'!$C:$C,$AW40+4+COLUMNS($AX$20:BJ40))&amp;""",""status"":"""&amp;INDEX('Match Day Reports'!$D:$D,$AW40+4+COLUMNS($AX$20:BJ40))&amp;""",""pos"":"""&amp;INDEX('Match Day Reports'!$E:$E,$AW40+4+COLUMNS($AX$20:BJ40))&amp;""",""pos2"":"""&amp;INDEX('Match Day Reports'!$F:$F,$AW40+4+COLUMNS($AX$20:BJ40))&amp;""",""goals"":"&amp;N(INDEX('Match Day Reports'!$G:$G,$AW40+4+COLUMNS($AX$20:BJ40)))&amp;",""assists"":"&amp;N(INDEX('Match Day Reports'!$H:$H,$AW40+4+COLUMNS($AX$20:BJ40)))&amp;",""rating"":"&amp;N(INDEX('Match Day Reports'!$I:$I,$AW40+4+COLUMNS($AX$20:BJ40)))&amp;"}")</f>
        <v/>
      </c>
      <c r="BK40" t="str" cm="1">
        <f t="array" ref="BK40">IF(INDEX('Match Day Reports'!$C:$C,$AW40+4+COLUMNS($AX$20:BK40))="","","{""name"":"""&amp;INDEX('Match Day Reports'!$C:$C,$AW40+4+COLUMNS($AX$20:BK40))&amp;""",""status"":"""&amp;INDEX('Match Day Reports'!$D:$D,$AW40+4+COLUMNS($AX$20:BK40))&amp;""",""pos"":"""&amp;INDEX('Match Day Reports'!$E:$E,$AW40+4+COLUMNS($AX$20:BK40))&amp;""",""pos2"":"""&amp;INDEX('Match Day Reports'!$F:$F,$AW40+4+COLUMNS($AX$20:BK40))&amp;""",""goals"":"&amp;N(INDEX('Match Day Reports'!$G:$G,$AW40+4+COLUMNS($AX$20:BK40)))&amp;",""assists"":"&amp;N(INDEX('Match Day Reports'!$H:$H,$AW40+4+COLUMNS($AX$20:BK40)))&amp;",""rating"":"&amp;N(INDEX('Match Day Reports'!$I:$I,$AW40+4+COLUMNS($AX$20:BK40)))&amp;"}")</f>
        <v/>
      </c>
      <c r="BL40" t="str" cm="1">
        <f t="array" ref="BL40">IF(INDEX('Match Day Reports'!$C:$C,$AW40+4+COLUMNS($AX$20:BL40))="","","{""name"":"""&amp;INDEX('Match Day Reports'!$C:$C,$AW40+4+COLUMNS($AX$20:BL40))&amp;""",""status"":"""&amp;INDEX('Match Day Reports'!$D:$D,$AW40+4+COLUMNS($AX$20:BL40))&amp;""",""pos"":"""&amp;INDEX('Match Day Reports'!$E:$E,$AW40+4+COLUMNS($AX$20:BL40))&amp;""",""pos2"":"""&amp;INDEX('Match Day Reports'!$F:$F,$AW40+4+COLUMNS($AX$20:BL40))&amp;""",""goals"":"&amp;N(INDEX('Match Day Reports'!$G:$G,$AW40+4+COLUMNS($AX$20:BL40)))&amp;",""assists"":"&amp;N(INDEX('Match Day Reports'!$H:$H,$AW40+4+COLUMNS($AX$20:BL40)))&amp;",""rating"":"&amp;N(INDEX('Match Day Reports'!$I:$I,$AW40+4+COLUMNS($AX$20:BL40)))&amp;"}")</f>
        <v/>
      </c>
      <c r="BM40" t="str" cm="1">
        <f t="array" ref="BM40">IF(INDEX('Match Day Reports'!$C:$C,$AW40+4+COLUMNS($AX$20:BM40))="","","{""name"":"""&amp;INDEX('Match Day Reports'!$C:$C,$AW40+4+COLUMNS($AX$20:BM40))&amp;""",""status"":"""&amp;INDEX('Match Day Reports'!$D:$D,$AW40+4+COLUMNS($AX$20:BM40))&amp;""",""pos"":"""&amp;INDEX('Match Day Reports'!$E:$E,$AW40+4+COLUMNS($AX$20:BM40))&amp;""",""pos2"":"""&amp;INDEX('Match Day Reports'!$F:$F,$AW40+4+COLUMNS($AX$20:BM40))&amp;""",""goals"":"&amp;N(INDEX('Match Day Reports'!$G:$G,$AW40+4+COLUMNS($AX$20:BM40)))&amp;",""assists"":"&amp;N(INDEX('Match Day Reports'!$H:$H,$AW40+4+COLUMNS($AX$20:BM40)))&amp;",""rating"":"&amp;N(INDEX('Match Day Reports'!$I:$I,$AW40+4+COLUMNS($AX$20:BM40)))&amp;"}")</f>
        <v/>
      </c>
      <c r="BN40" t="str" cm="1">
        <f t="array" ref="BN40">IF(INDEX('Match Day Reports'!$C:$C,$AW40+4+COLUMNS($AX$20:BN40))="","","{""name"":"""&amp;INDEX('Match Day Reports'!$C:$C,$AW40+4+COLUMNS($AX$20:BN40))&amp;""",""status"":"""&amp;INDEX('Match Day Reports'!$D:$D,$AW40+4+COLUMNS($AX$20:BN40))&amp;""",""pos"":"""&amp;INDEX('Match Day Reports'!$E:$E,$AW40+4+COLUMNS($AX$20:BN40))&amp;""",""pos2"":"""&amp;INDEX('Match Day Reports'!$F:$F,$AW40+4+COLUMNS($AX$20:BN40))&amp;""",""goals"":"&amp;N(INDEX('Match Day Reports'!$G:$G,$AW40+4+COLUMNS($AX$20:BN40)))&amp;",""assists"":"&amp;N(INDEX('Match Day Reports'!$H:$H,$AW40+4+COLUMNS($AX$20:BN40)))&amp;",""rating"":"&amp;N(INDEX('Match Day Reports'!$I:$I,$AW40+4+COLUMNS($AX$20:BN40)))&amp;"}")</f>
        <v/>
      </c>
      <c r="BO40" t="str" cm="1">
        <f t="array" ref="BO40">IF(INDEX('Match Day Reports'!$C:$C,$AW40+4+COLUMNS($AX$20:BO40))="","","{""name"":"""&amp;INDEX('Match Day Reports'!$C:$C,$AW40+4+COLUMNS($AX$20:BO40))&amp;""",""status"":"""&amp;INDEX('Match Day Reports'!$D:$D,$AW40+4+COLUMNS($AX$20:BO40))&amp;""",""pos"":"""&amp;INDEX('Match Day Reports'!$E:$E,$AW40+4+COLUMNS($AX$20:BO40))&amp;""",""pos2"":"""&amp;INDEX('Match Day Reports'!$F:$F,$AW40+4+COLUMNS($AX$20:BO40))&amp;""",""goals"":"&amp;N(INDEX('Match Day Reports'!$G:$G,$AW40+4+COLUMNS($AX$20:BO40)))&amp;",""assists"":"&amp;N(INDEX('Match Day Reports'!$H:$H,$AW40+4+COLUMNS($AX$20:BO40)))&amp;",""rating"":"&amp;N(INDEX('Match Day Reports'!$I:$I,$AW40+4+COLUMNS($AX$20:BO40)))&amp;"}")</f>
        <v/>
      </c>
    </row>
    <row r="41" spans="1:79" x14ac:dyDescent="0.45">
      <c r="A41" s="396">
        <f>IF($AT21="","",2)</f>
        <v>2</v>
      </c>
      <c r="B41" s="419" t="str" cm="1">
        <f t="array" ref="B41">IF($AT21="","",INDEX(Dashboard!$C$93:$C$112,$AT21))</f>
        <v>Naomi Adewoyin</v>
      </c>
      <c r="C41" s="396" cm="1">
        <f t="array" ref="C41">IF($AT21="","",INDEX(Dashboard!$G$93:$G$112,$AT21))</f>
        <v>1</v>
      </c>
      <c r="D41" s="396" cm="1">
        <f t="array" ref="D41">IF($AT21="","",INDEX(Dashboard!$H$93:$H$112,$AT21))</f>
        <v>0</v>
      </c>
      <c r="E41" s="396" cm="1">
        <f t="array" ref="E41">IF($AT21="","",INDEX(Dashboard!$F$93:$F$112,$AT21))</f>
        <v>1</v>
      </c>
      <c r="L41" t="str">
        <f>IF(Workings!$AE27="","","{""gw"":"&amp;Workings!$AD27&amp;",""date"":"""&amp;TEXT(Workings!$AE27,"yyyy-mm-dd")&amp;""",""opponent"":"""&amp;Workings!$AF27&amp;""",""venue"":"""&amp;Workings!$AG27&amp;""",""gf"":"&amp;N(Workings!$AH27)&amp;",""ga"":"&amp;N(Workings!$AI27)&amp;",""result"":"""&amp;Workings!$AJ27&amp;"""}")</f>
        <v/>
      </c>
      <c r="N41" t="str">
        <f t="array" ref="N41">IF(LEN(INDEX(Attendance!$E$3:$CN$3,1,(22-1)*2+1))=0,"","{""index"":22,""gw"":11,""date"":"""&amp;TEXT(INDEX(Attendance!$E$3:$CN$3,1,(22-1)*2+1),"yyyy-mm-dd")&amp;"""}")</f>
        <v/>
      </c>
      <c r="AB41" t="str" cm="1">
        <f t="array" ref="AB41">IF(AND(INDEX('Match Day Reports'!$C:$C,$AW41+2)="",COUNTIF($AX41:$BO41,"?*")=0),"","{""gw"":"&amp;ROWS($AB$20:AB41)&amp;",""date"":"""&amp;IF(INDEX('Match Day Reports'!$B:$B,$AW41+2)="","",TEXT(INDEX('Match Day Reports'!$B:$B,$AW41+2),"yyyy-mm-dd"))&amp;""""&amp;",""opponent"":"""&amp;INDEX('Match Day Reports'!$C:$C,$AW41+2)&amp;""""&amp;",""venue"":"""&amp;INDEX('Match Day Reports'!$D:$D,$AW41+2)&amp;""""&amp;",""gf"":"&amp;N(INDEX('Match Day Reports'!$E:$E,$AW41+2))&amp;",""ga"":"&amp;N(INDEX('Match Day Reports'!$F:$F,$AW41+2))&amp;",""result"":"""&amp;INDEX('Match Day Reports'!$G:$G,$AW41+2)&amp;""""&amp;",""motm"":"""&amp;INDEX('Match Day Reports'!$H:$H,$AW41+2)&amp;""""&amp;",""xi"":["&amp;_xlfn.TEXTJOIN(",",TRUE(),$AX41:$BH41)&amp;"]"&amp;",""subs"":["&amp;_xlfn.TEXTJOIN(",",TRUE(),$BI41:$BO41)&amp;"]"&amp;",""matchNotes"":"""&amp;SUBSTITUTE(SUBSTITUTE(INDEX('Match Day Reports'!$C:$C,$AW41+24),"""","'"),CHAR(10)," ")&amp;""""&amp;",""keyNotes"":"""&amp;SUBSTITUTE(SUBSTITUTE(INDEX('Match Day Reports'!$C:$C,$AW41+25),"""","'"),CHAR(10)," ")&amp;""""&amp;"}")</f>
        <v/>
      </c>
      <c r="AW41">
        <f>80+(ROWS($AW$20:AW41)-1)*27</f>
        <v>647</v>
      </c>
      <c r="AX41" t="str" cm="1">
        <f t="array" ref="AX41">IF(INDEX('Match Day Reports'!$C:$C,$AW41+4+COLUMNS($AX$20:AX41))="","","{""name"":"""&amp;INDEX('Match Day Reports'!$C:$C,$AW41+4+COLUMNS($AX$20:AX41))&amp;""",""status"":"""&amp;INDEX('Match Day Reports'!$D:$D,$AW41+4+COLUMNS($AX$20:AX41))&amp;""",""pos"":"""&amp;INDEX('Match Day Reports'!$E:$E,$AW41+4+COLUMNS($AX$20:AX41))&amp;""",""pos2"":"""&amp;INDEX('Match Day Reports'!$F:$F,$AW41+4+COLUMNS($AX$20:AX41))&amp;""",""goals"":"&amp;N(INDEX('Match Day Reports'!$G:$G,$AW41+4+COLUMNS($AX$20:AX41)))&amp;",""assists"":"&amp;N(INDEX('Match Day Reports'!$H:$H,$AW41+4+COLUMNS($AX$20:AX41)))&amp;",""rating"":"&amp;N(INDEX('Match Day Reports'!$I:$I,$AW41+4+COLUMNS($AX$20:AX41)))&amp;"}")</f>
        <v/>
      </c>
      <c r="AY41" t="str" cm="1">
        <f t="array" ref="AY41">IF(INDEX('Match Day Reports'!$C:$C,$AW41+4+COLUMNS($AX$20:AY41))="","","{""name"":"""&amp;INDEX('Match Day Reports'!$C:$C,$AW41+4+COLUMNS($AX$20:AY41))&amp;""",""status"":"""&amp;INDEX('Match Day Reports'!$D:$D,$AW41+4+COLUMNS($AX$20:AY41))&amp;""",""pos"":"""&amp;INDEX('Match Day Reports'!$E:$E,$AW41+4+COLUMNS($AX$20:AY41))&amp;""",""pos2"":"""&amp;INDEX('Match Day Reports'!$F:$F,$AW41+4+COLUMNS($AX$20:AY41))&amp;""",""goals"":"&amp;N(INDEX('Match Day Reports'!$G:$G,$AW41+4+COLUMNS($AX$20:AY41)))&amp;",""assists"":"&amp;N(INDEX('Match Day Reports'!$H:$H,$AW41+4+COLUMNS($AX$20:AY41)))&amp;",""rating"":"&amp;N(INDEX('Match Day Reports'!$I:$I,$AW41+4+COLUMNS($AX$20:AY41)))&amp;"}")</f>
        <v/>
      </c>
      <c r="AZ41" t="str" cm="1">
        <f t="array" ref="AZ41">IF(INDEX('Match Day Reports'!$C:$C,$AW41+4+COLUMNS($AX$20:AZ41))="","","{""name"":"""&amp;INDEX('Match Day Reports'!$C:$C,$AW41+4+COLUMNS($AX$20:AZ41))&amp;""",""status"":"""&amp;INDEX('Match Day Reports'!$D:$D,$AW41+4+COLUMNS($AX$20:AZ41))&amp;""",""pos"":"""&amp;INDEX('Match Day Reports'!$E:$E,$AW41+4+COLUMNS($AX$20:AZ41))&amp;""",""pos2"":"""&amp;INDEX('Match Day Reports'!$F:$F,$AW41+4+COLUMNS($AX$20:AZ41))&amp;""",""goals"":"&amp;N(INDEX('Match Day Reports'!$G:$G,$AW41+4+COLUMNS($AX$20:AZ41)))&amp;",""assists"":"&amp;N(INDEX('Match Day Reports'!$H:$H,$AW41+4+COLUMNS($AX$20:AZ41)))&amp;",""rating"":"&amp;N(INDEX('Match Day Reports'!$I:$I,$AW41+4+COLUMNS($AX$20:AZ41)))&amp;"}")</f>
        <v/>
      </c>
      <c r="BA41" t="str" cm="1">
        <f t="array" ref="BA41">IF(INDEX('Match Day Reports'!$C:$C,$AW41+4+COLUMNS($AX$20:BA41))="","","{""name"":"""&amp;INDEX('Match Day Reports'!$C:$C,$AW41+4+COLUMNS($AX$20:BA41))&amp;""",""status"":"""&amp;INDEX('Match Day Reports'!$D:$D,$AW41+4+COLUMNS($AX$20:BA41))&amp;""",""pos"":"""&amp;INDEX('Match Day Reports'!$E:$E,$AW41+4+COLUMNS($AX$20:BA41))&amp;""",""pos2"":"""&amp;INDEX('Match Day Reports'!$F:$F,$AW41+4+COLUMNS($AX$20:BA41))&amp;""",""goals"":"&amp;N(INDEX('Match Day Reports'!$G:$G,$AW41+4+COLUMNS($AX$20:BA41)))&amp;",""assists"":"&amp;N(INDEX('Match Day Reports'!$H:$H,$AW41+4+COLUMNS($AX$20:BA41)))&amp;",""rating"":"&amp;N(INDEX('Match Day Reports'!$I:$I,$AW41+4+COLUMNS($AX$20:BA41)))&amp;"}")</f>
        <v/>
      </c>
      <c r="BB41" t="str" cm="1">
        <f t="array" ref="BB41">IF(INDEX('Match Day Reports'!$C:$C,$AW41+4+COLUMNS($AX$20:BB41))="","","{""name"":"""&amp;INDEX('Match Day Reports'!$C:$C,$AW41+4+COLUMNS($AX$20:BB41))&amp;""",""status"":"""&amp;INDEX('Match Day Reports'!$D:$D,$AW41+4+COLUMNS($AX$20:BB41))&amp;""",""pos"":"""&amp;INDEX('Match Day Reports'!$E:$E,$AW41+4+COLUMNS($AX$20:BB41))&amp;""",""pos2"":"""&amp;INDEX('Match Day Reports'!$F:$F,$AW41+4+COLUMNS($AX$20:BB41))&amp;""",""goals"":"&amp;N(INDEX('Match Day Reports'!$G:$G,$AW41+4+COLUMNS($AX$20:BB41)))&amp;",""assists"":"&amp;N(INDEX('Match Day Reports'!$H:$H,$AW41+4+COLUMNS($AX$20:BB41)))&amp;",""rating"":"&amp;N(INDEX('Match Day Reports'!$I:$I,$AW41+4+COLUMNS($AX$20:BB41)))&amp;"}")</f>
        <v/>
      </c>
      <c r="BC41" t="str" cm="1">
        <f t="array" ref="BC41">IF(INDEX('Match Day Reports'!$C:$C,$AW41+4+COLUMNS($AX$20:BC41))="","","{""name"":"""&amp;INDEX('Match Day Reports'!$C:$C,$AW41+4+COLUMNS($AX$20:BC41))&amp;""",""status"":"""&amp;INDEX('Match Day Reports'!$D:$D,$AW41+4+COLUMNS($AX$20:BC41))&amp;""",""pos"":"""&amp;INDEX('Match Day Reports'!$E:$E,$AW41+4+COLUMNS($AX$20:BC41))&amp;""",""pos2"":"""&amp;INDEX('Match Day Reports'!$F:$F,$AW41+4+COLUMNS($AX$20:BC41))&amp;""",""goals"":"&amp;N(INDEX('Match Day Reports'!$G:$G,$AW41+4+COLUMNS($AX$20:BC41)))&amp;",""assists"":"&amp;N(INDEX('Match Day Reports'!$H:$H,$AW41+4+COLUMNS($AX$20:BC41)))&amp;",""rating"":"&amp;N(INDEX('Match Day Reports'!$I:$I,$AW41+4+COLUMNS($AX$20:BC41)))&amp;"}")</f>
        <v/>
      </c>
      <c r="BD41" t="str" cm="1">
        <f t="array" ref="BD41">IF(INDEX('Match Day Reports'!$C:$C,$AW41+4+COLUMNS($AX$20:BD41))="","","{""name"":"""&amp;INDEX('Match Day Reports'!$C:$C,$AW41+4+COLUMNS($AX$20:BD41))&amp;""",""status"":"""&amp;INDEX('Match Day Reports'!$D:$D,$AW41+4+COLUMNS($AX$20:BD41))&amp;""",""pos"":"""&amp;INDEX('Match Day Reports'!$E:$E,$AW41+4+COLUMNS($AX$20:BD41))&amp;""",""pos2"":"""&amp;INDEX('Match Day Reports'!$F:$F,$AW41+4+COLUMNS($AX$20:BD41))&amp;""",""goals"":"&amp;N(INDEX('Match Day Reports'!$G:$G,$AW41+4+COLUMNS($AX$20:BD41)))&amp;",""assists"":"&amp;N(INDEX('Match Day Reports'!$H:$H,$AW41+4+COLUMNS($AX$20:BD41)))&amp;",""rating"":"&amp;N(INDEX('Match Day Reports'!$I:$I,$AW41+4+COLUMNS($AX$20:BD41)))&amp;"}")</f>
        <v/>
      </c>
      <c r="BE41" t="str" cm="1">
        <f t="array" ref="BE41">IF(INDEX('Match Day Reports'!$C:$C,$AW41+4+COLUMNS($AX$20:BE41))="","","{""name"":"""&amp;INDEX('Match Day Reports'!$C:$C,$AW41+4+COLUMNS($AX$20:BE41))&amp;""",""status"":"""&amp;INDEX('Match Day Reports'!$D:$D,$AW41+4+COLUMNS($AX$20:BE41))&amp;""",""pos"":"""&amp;INDEX('Match Day Reports'!$E:$E,$AW41+4+COLUMNS($AX$20:BE41))&amp;""",""pos2"":"""&amp;INDEX('Match Day Reports'!$F:$F,$AW41+4+COLUMNS($AX$20:BE41))&amp;""",""goals"":"&amp;N(INDEX('Match Day Reports'!$G:$G,$AW41+4+COLUMNS($AX$20:BE41)))&amp;",""assists"":"&amp;N(INDEX('Match Day Reports'!$H:$H,$AW41+4+COLUMNS($AX$20:BE41)))&amp;",""rating"":"&amp;N(INDEX('Match Day Reports'!$I:$I,$AW41+4+COLUMNS($AX$20:BE41)))&amp;"}")</f>
        <v/>
      </c>
      <c r="BF41" t="str" cm="1">
        <f t="array" ref="BF41">IF(INDEX('Match Day Reports'!$C:$C,$AW41+4+COLUMNS($AX$20:BF41))="","","{""name"":"""&amp;INDEX('Match Day Reports'!$C:$C,$AW41+4+COLUMNS($AX$20:BF41))&amp;""",""status"":"""&amp;INDEX('Match Day Reports'!$D:$D,$AW41+4+COLUMNS($AX$20:BF41))&amp;""",""pos"":"""&amp;INDEX('Match Day Reports'!$E:$E,$AW41+4+COLUMNS($AX$20:BF41))&amp;""",""pos2"":"""&amp;INDEX('Match Day Reports'!$F:$F,$AW41+4+COLUMNS($AX$20:BF41))&amp;""",""goals"":"&amp;N(INDEX('Match Day Reports'!$G:$G,$AW41+4+COLUMNS($AX$20:BF41)))&amp;",""assists"":"&amp;N(INDEX('Match Day Reports'!$H:$H,$AW41+4+COLUMNS($AX$20:BF41)))&amp;",""rating"":"&amp;N(INDEX('Match Day Reports'!$I:$I,$AW41+4+COLUMNS($AX$20:BF41)))&amp;"}")</f>
        <v/>
      </c>
      <c r="BG41" t="str" cm="1">
        <f t="array" ref="BG41">IF(INDEX('Match Day Reports'!$C:$C,$AW41+4+COLUMNS($AX$20:BG41))="","","{""name"":"""&amp;INDEX('Match Day Reports'!$C:$C,$AW41+4+COLUMNS($AX$20:BG41))&amp;""",""status"":"""&amp;INDEX('Match Day Reports'!$D:$D,$AW41+4+COLUMNS($AX$20:BG41))&amp;""",""pos"":"""&amp;INDEX('Match Day Reports'!$E:$E,$AW41+4+COLUMNS($AX$20:BG41))&amp;""",""pos2"":"""&amp;INDEX('Match Day Reports'!$F:$F,$AW41+4+COLUMNS($AX$20:BG41))&amp;""",""goals"":"&amp;N(INDEX('Match Day Reports'!$G:$G,$AW41+4+COLUMNS($AX$20:BG41)))&amp;",""assists"":"&amp;N(INDEX('Match Day Reports'!$H:$H,$AW41+4+COLUMNS($AX$20:BG41)))&amp;",""rating"":"&amp;N(INDEX('Match Day Reports'!$I:$I,$AW41+4+COLUMNS($AX$20:BG41)))&amp;"}")</f>
        <v/>
      </c>
      <c r="BH41" t="str" cm="1">
        <f t="array" ref="BH41">IF(INDEX('Match Day Reports'!$C:$C,$AW41+4+COLUMNS($AX$20:BH41))="","","{""name"":"""&amp;INDEX('Match Day Reports'!$C:$C,$AW41+4+COLUMNS($AX$20:BH41))&amp;""",""status"":"""&amp;INDEX('Match Day Reports'!$D:$D,$AW41+4+COLUMNS($AX$20:BH41))&amp;""",""pos"":"""&amp;INDEX('Match Day Reports'!$E:$E,$AW41+4+COLUMNS($AX$20:BH41))&amp;""",""pos2"":"""&amp;INDEX('Match Day Reports'!$F:$F,$AW41+4+COLUMNS($AX$20:BH41))&amp;""",""goals"":"&amp;N(INDEX('Match Day Reports'!$G:$G,$AW41+4+COLUMNS($AX$20:BH41)))&amp;",""assists"":"&amp;N(INDEX('Match Day Reports'!$H:$H,$AW41+4+COLUMNS($AX$20:BH41)))&amp;",""rating"":"&amp;N(INDEX('Match Day Reports'!$I:$I,$AW41+4+COLUMNS($AX$20:BH41)))&amp;"}")</f>
        <v/>
      </c>
      <c r="BI41" t="str" cm="1">
        <f t="array" ref="BI41">IF(INDEX('Match Day Reports'!$C:$C,$AW41+4+COLUMNS($AX$20:BI41))="","","{""name"":"""&amp;INDEX('Match Day Reports'!$C:$C,$AW41+4+COLUMNS($AX$20:BI41))&amp;""",""status"":"""&amp;INDEX('Match Day Reports'!$D:$D,$AW41+4+COLUMNS($AX$20:BI41))&amp;""",""pos"":"""&amp;INDEX('Match Day Reports'!$E:$E,$AW41+4+COLUMNS($AX$20:BI41))&amp;""",""pos2"":"""&amp;INDEX('Match Day Reports'!$F:$F,$AW41+4+COLUMNS($AX$20:BI41))&amp;""",""goals"":"&amp;N(INDEX('Match Day Reports'!$G:$G,$AW41+4+COLUMNS($AX$20:BI41)))&amp;",""assists"":"&amp;N(INDEX('Match Day Reports'!$H:$H,$AW41+4+COLUMNS($AX$20:BI41)))&amp;",""rating"":"&amp;N(INDEX('Match Day Reports'!$I:$I,$AW41+4+COLUMNS($AX$20:BI41)))&amp;"}")</f>
        <v/>
      </c>
      <c r="BJ41" t="str" cm="1">
        <f t="array" ref="BJ41">IF(INDEX('Match Day Reports'!$C:$C,$AW41+4+COLUMNS($AX$20:BJ41))="","","{""name"":"""&amp;INDEX('Match Day Reports'!$C:$C,$AW41+4+COLUMNS($AX$20:BJ41))&amp;""",""status"":"""&amp;INDEX('Match Day Reports'!$D:$D,$AW41+4+COLUMNS($AX$20:BJ41))&amp;""",""pos"":"""&amp;INDEX('Match Day Reports'!$E:$E,$AW41+4+COLUMNS($AX$20:BJ41))&amp;""",""pos2"":"""&amp;INDEX('Match Day Reports'!$F:$F,$AW41+4+COLUMNS($AX$20:BJ41))&amp;""",""goals"":"&amp;N(INDEX('Match Day Reports'!$G:$G,$AW41+4+COLUMNS($AX$20:BJ41)))&amp;",""assists"":"&amp;N(INDEX('Match Day Reports'!$H:$H,$AW41+4+COLUMNS($AX$20:BJ41)))&amp;",""rating"":"&amp;N(INDEX('Match Day Reports'!$I:$I,$AW41+4+COLUMNS($AX$20:BJ41)))&amp;"}")</f>
        <v/>
      </c>
      <c r="BK41" t="str" cm="1">
        <f t="array" ref="BK41">IF(INDEX('Match Day Reports'!$C:$C,$AW41+4+COLUMNS($AX$20:BK41))="","","{""name"":"""&amp;INDEX('Match Day Reports'!$C:$C,$AW41+4+COLUMNS($AX$20:BK41))&amp;""",""status"":"""&amp;INDEX('Match Day Reports'!$D:$D,$AW41+4+COLUMNS($AX$20:BK41))&amp;""",""pos"":"""&amp;INDEX('Match Day Reports'!$E:$E,$AW41+4+COLUMNS($AX$20:BK41))&amp;""",""pos2"":"""&amp;INDEX('Match Day Reports'!$F:$F,$AW41+4+COLUMNS($AX$20:BK41))&amp;""",""goals"":"&amp;N(INDEX('Match Day Reports'!$G:$G,$AW41+4+COLUMNS($AX$20:BK41)))&amp;",""assists"":"&amp;N(INDEX('Match Day Reports'!$H:$H,$AW41+4+COLUMNS($AX$20:BK41)))&amp;",""rating"":"&amp;N(INDEX('Match Day Reports'!$I:$I,$AW41+4+COLUMNS($AX$20:BK41)))&amp;"}")</f>
        <v/>
      </c>
      <c r="BL41" t="str" cm="1">
        <f t="array" ref="BL41">IF(INDEX('Match Day Reports'!$C:$C,$AW41+4+COLUMNS($AX$20:BL41))="","","{""name"":"""&amp;INDEX('Match Day Reports'!$C:$C,$AW41+4+COLUMNS($AX$20:BL41))&amp;""",""status"":"""&amp;INDEX('Match Day Reports'!$D:$D,$AW41+4+COLUMNS($AX$20:BL41))&amp;""",""pos"":"""&amp;INDEX('Match Day Reports'!$E:$E,$AW41+4+COLUMNS($AX$20:BL41))&amp;""",""pos2"":"""&amp;INDEX('Match Day Reports'!$F:$F,$AW41+4+COLUMNS($AX$20:BL41))&amp;""",""goals"":"&amp;N(INDEX('Match Day Reports'!$G:$G,$AW41+4+COLUMNS($AX$20:BL41)))&amp;",""assists"":"&amp;N(INDEX('Match Day Reports'!$H:$H,$AW41+4+COLUMNS($AX$20:BL41)))&amp;",""rating"":"&amp;N(INDEX('Match Day Reports'!$I:$I,$AW41+4+COLUMNS($AX$20:BL41)))&amp;"}")</f>
        <v/>
      </c>
      <c r="BM41" t="str" cm="1">
        <f t="array" ref="BM41">IF(INDEX('Match Day Reports'!$C:$C,$AW41+4+COLUMNS($AX$20:BM41))="","","{""name"":"""&amp;INDEX('Match Day Reports'!$C:$C,$AW41+4+COLUMNS($AX$20:BM41))&amp;""",""status"":"""&amp;INDEX('Match Day Reports'!$D:$D,$AW41+4+COLUMNS($AX$20:BM41))&amp;""",""pos"":"""&amp;INDEX('Match Day Reports'!$E:$E,$AW41+4+COLUMNS($AX$20:BM41))&amp;""",""pos2"":"""&amp;INDEX('Match Day Reports'!$F:$F,$AW41+4+COLUMNS($AX$20:BM41))&amp;""",""goals"":"&amp;N(INDEX('Match Day Reports'!$G:$G,$AW41+4+COLUMNS($AX$20:BM41)))&amp;",""assists"":"&amp;N(INDEX('Match Day Reports'!$H:$H,$AW41+4+COLUMNS($AX$20:BM41)))&amp;",""rating"":"&amp;N(INDEX('Match Day Reports'!$I:$I,$AW41+4+COLUMNS($AX$20:BM41)))&amp;"}")</f>
        <v/>
      </c>
      <c r="BN41" t="str" cm="1">
        <f t="array" ref="BN41">IF(INDEX('Match Day Reports'!$C:$C,$AW41+4+COLUMNS($AX$20:BN41))="","","{""name"":"""&amp;INDEX('Match Day Reports'!$C:$C,$AW41+4+COLUMNS($AX$20:BN41))&amp;""",""status"":"""&amp;INDEX('Match Day Reports'!$D:$D,$AW41+4+COLUMNS($AX$20:BN41))&amp;""",""pos"":"""&amp;INDEX('Match Day Reports'!$E:$E,$AW41+4+COLUMNS($AX$20:BN41))&amp;""",""pos2"":"""&amp;INDEX('Match Day Reports'!$F:$F,$AW41+4+COLUMNS($AX$20:BN41))&amp;""",""goals"":"&amp;N(INDEX('Match Day Reports'!$G:$G,$AW41+4+COLUMNS($AX$20:BN41)))&amp;",""assists"":"&amp;N(INDEX('Match Day Reports'!$H:$H,$AW41+4+COLUMNS($AX$20:BN41)))&amp;",""rating"":"&amp;N(INDEX('Match Day Reports'!$I:$I,$AW41+4+COLUMNS($AX$20:BN41)))&amp;"}")</f>
        <v/>
      </c>
      <c r="BO41" t="str" cm="1">
        <f t="array" ref="BO41">IF(INDEX('Match Day Reports'!$C:$C,$AW41+4+COLUMNS($AX$20:BO41))="","","{""name"":"""&amp;INDEX('Match Day Reports'!$C:$C,$AW41+4+COLUMNS($AX$20:BO41))&amp;""",""status"":"""&amp;INDEX('Match Day Reports'!$D:$D,$AW41+4+COLUMNS($AX$20:BO41))&amp;""",""pos"":"""&amp;INDEX('Match Day Reports'!$E:$E,$AW41+4+COLUMNS($AX$20:BO41))&amp;""",""pos2"":"""&amp;INDEX('Match Day Reports'!$F:$F,$AW41+4+COLUMNS($AX$20:BO41))&amp;""",""goals"":"&amp;N(INDEX('Match Day Reports'!$G:$G,$AW41+4+COLUMNS($AX$20:BO41)))&amp;",""assists"":"&amp;N(INDEX('Match Day Reports'!$H:$H,$AW41+4+COLUMNS($AX$20:BO41)))&amp;",""rating"":"&amp;N(INDEX('Match Day Reports'!$I:$I,$AW41+4+COLUMNS($AX$20:BO41)))&amp;"}")</f>
        <v/>
      </c>
      <c r="BY41" s="422" t="s">
        <v>624</v>
      </c>
      <c r="BZ41" s="287">
        <f>MAX($BZ$20:$BZ$39)</f>
        <v>3</v>
      </c>
    </row>
    <row r="42" spans="1:79" x14ac:dyDescent="0.45">
      <c r="A42" s="396">
        <f>IF($AT22="","",3)</f>
        <v>3</v>
      </c>
      <c r="B42" s="419" t="str" cm="1">
        <f t="array" ref="B42">IF($AT22="","",INDEX(Dashboard!$C$93:$C$112,$AT22))</f>
        <v>Shauna Kavanagh</v>
      </c>
      <c r="C42" s="396" cm="1">
        <f t="array" ref="C42">IF($AT22="","",INDEX(Dashboard!$G$93:$G$112,$AT22))</f>
        <v>1</v>
      </c>
      <c r="D42" s="396" cm="1">
        <f t="array" ref="D42">IF($AT22="","",INDEX(Dashboard!$H$93:$H$112,$AT22))</f>
        <v>0</v>
      </c>
      <c r="E42" s="396" cm="1">
        <f t="array" ref="E42">IF($AT22="","",INDEX(Dashboard!$F$93:$F$112,$AT22))</f>
        <v>1</v>
      </c>
      <c r="N42" t="str">
        <f t="array" ref="N42">IF(LEN(INDEX(Attendance!$E$3:$CN$3,1,(23-1)*2+1))=0,"","{""index"":23,""gw"":12,""date"":"""&amp;TEXT(INDEX(Attendance!$E$3:$CN$3,1,(23-1)*2+1),"yyyy-mm-dd")&amp;"""}")</f>
        <v/>
      </c>
      <c r="BY42" s="422" t="s">
        <v>625</v>
      </c>
      <c r="BZ42" s="287">
        <f>MAX($CA$20:$CA$39)</f>
        <v>1</v>
      </c>
    </row>
    <row r="43" spans="1:79" x14ac:dyDescent="0.45">
      <c r="A43" s="396">
        <f>IF($AT23="","",4)</f>
        <v>4</v>
      </c>
      <c r="B43" s="419" t="str" cm="1">
        <f t="array" ref="B43">IF($AT23="","",INDEX(Dashboard!$C$93:$C$112,$AT23))</f>
        <v>Semilore Adesanya</v>
      </c>
      <c r="C43" s="396" cm="1">
        <f t="array" ref="C43">IF($AT23="","",INDEX(Dashboard!$G$93:$G$112,$AT23))</f>
        <v>1</v>
      </c>
      <c r="D43" s="396" cm="1">
        <f t="array" ref="D43">IF($AT23="","",INDEX(Dashboard!$H$93:$H$112,$AT23))</f>
        <v>1</v>
      </c>
      <c r="E43" s="396" cm="1">
        <f t="array" ref="E43">IF($AT23="","",INDEX(Dashboard!$F$93:$F$112,$AT23))</f>
        <v>1</v>
      </c>
      <c r="N43" t="str">
        <f t="array" ref="N43">IF(LEN(INDEX(Attendance!$E$3:$CN$3,1,(24-1)*2+1))=0,"","{""index"":24,""gw"":12,""date"":"""&amp;TEXT(INDEX(Attendance!$E$3:$CN$3,1,(24-1)*2+1),"yyyy-mm-dd")&amp;"""}")</f>
        <v/>
      </c>
    </row>
    <row r="44" spans="1:79" x14ac:dyDescent="0.45">
      <c r="A44" s="396">
        <f>IF($AT24="","",5)</f>
        <v>5</v>
      </c>
      <c r="B44" s="419" t="str" cm="1">
        <f t="array" ref="B44">IF($AT24="","",INDEX(Dashboard!$C$93:$C$112,$AT24))</f>
        <v>Emma Kelly</v>
      </c>
      <c r="C44" s="396" cm="1">
        <f t="array" ref="C44">IF($AT24="","",INDEX(Dashboard!$G$93:$G$112,$AT24))</f>
        <v>1</v>
      </c>
      <c r="D44" s="396" cm="1">
        <f t="array" ref="D44">IF($AT24="","",INDEX(Dashboard!$H$93:$H$112,$AT24))</f>
        <v>0</v>
      </c>
      <c r="E44" s="396" cm="1">
        <f t="array" ref="E44">IF($AT24="","",INDEX(Dashboard!$F$93:$F$112,$AT24))</f>
        <v>1</v>
      </c>
      <c r="N44" t="str">
        <f t="array" ref="N44">IF(LEN(INDEX(Attendance!$E$3:$CN$3,1,(25-1)*2+1))=0,"","{""index"":25,""gw"":13,""date"":"""&amp;TEXT(INDEX(Attendance!$E$3:$CN$3,1,(25-1)*2+1),"yyyy-mm-dd")&amp;"""}")</f>
        <v/>
      </c>
    </row>
    <row r="45" spans="1:79" x14ac:dyDescent="0.45">
      <c r="A45" s="396">
        <f>IF($AT25="","",6)</f>
        <v>6</v>
      </c>
      <c r="B45" s="419" t="str" cm="1">
        <f t="array" ref="B45">IF($AT25="","",INDEX(Dashboard!$C$93:$C$112,$AT25))</f>
        <v>Elsie Morrison</v>
      </c>
      <c r="C45" s="396" cm="1">
        <f t="array" ref="C45">IF($AT25="","",INDEX(Dashboard!$G$93:$G$112,$AT25))</f>
        <v>1</v>
      </c>
      <c r="D45" s="396" cm="1">
        <f t="array" ref="D45">IF($AT25="","",INDEX(Dashboard!$H$93:$H$112,$AT25))</f>
        <v>0</v>
      </c>
      <c r="E45" s="396" cm="1">
        <f t="array" ref="E45">IF($AT25="","",INDEX(Dashboard!$F$93:$F$112,$AT25))</f>
        <v>1</v>
      </c>
      <c r="N45" t="str">
        <f t="array" ref="N45">IF(LEN(INDEX(Attendance!$E$3:$CN$3,1,(26-1)*2+1))=0,"","{""index"":26,""gw"":13,""date"":"""&amp;TEXT(INDEX(Attendance!$E$3:$CN$3,1,(26-1)*2+1),"yyyy-mm-dd")&amp;"""}")</f>
        <v/>
      </c>
    </row>
    <row r="46" spans="1:79" x14ac:dyDescent="0.45">
      <c r="A46" s="396">
        <f>IF($AT26="","",7)</f>
        <v>7</v>
      </c>
      <c r="B46" s="419" t="str" cm="1">
        <f t="array" ref="B46">IF($AT26="","",INDEX(Dashboard!$C$93:$C$112,$AT26))</f>
        <v>Zara Freeman</v>
      </c>
      <c r="C46" s="396" cm="1">
        <f t="array" ref="C46">IF($AT26="","",INDEX(Dashboard!$G$93:$G$112,$AT26))</f>
        <v>1</v>
      </c>
      <c r="D46" s="396" cm="1">
        <f t="array" ref="D46">IF($AT26="","",INDEX(Dashboard!$H$93:$H$112,$AT26))</f>
        <v>0</v>
      </c>
      <c r="E46" s="396" cm="1">
        <f t="array" ref="E46">IF($AT26="","",INDEX(Dashboard!$F$93:$F$112,$AT26))</f>
        <v>1</v>
      </c>
      <c r="N46" t="str">
        <f t="array" ref="N46">IF(LEN(INDEX(Attendance!$E$3:$CN$3,1,(27-1)*2+1))=0,"","{""index"":27,""gw"":14,""date"":"""&amp;TEXT(INDEX(Attendance!$E$3:$CN$3,1,(27-1)*2+1),"yyyy-mm-dd")&amp;"""}")</f>
        <v/>
      </c>
    </row>
    <row r="47" spans="1:79" x14ac:dyDescent="0.45">
      <c r="A47" s="396" t="str">
        <f>IF($AT27="","",8)</f>
        <v/>
      </c>
      <c r="B47" s="419" t="str" cm="1">
        <f t="array" ref="B47">IF($AT27="","",INDEX(Dashboard!$C$93:$C$112,$AT27))</f>
        <v/>
      </c>
      <c r="C47" s="396" t="str" cm="1">
        <f t="array" ref="C47">IF($AT27="","",INDEX(Dashboard!$G$93:$G$112,$AT27))</f>
        <v/>
      </c>
      <c r="D47" s="396" t="str" cm="1">
        <f t="array" ref="D47">IF($AT27="","",INDEX(Dashboard!$H$93:$H$112,$AT27))</f>
        <v/>
      </c>
      <c r="E47" s="396" t="str" cm="1">
        <f t="array" ref="E47">IF($AT27="","",INDEX(Dashboard!$F$93:$F$112,$AT27))</f>
        <v/>
      </c>
      <c r="N47" t="str">
        <f t="array" ref="N47">IF(LEN(INDEX(Attendance!$E$3:$CN$3,1,(28-1)*2+1))=0,"","{""index"":28,""gw"":14,""date"":"""&amp;TEXT(INDEX(Attendance!$E$3:$CN$3,1,(28-1)*2+1),"yyyy-mm-dd")&amp;"""}")</f>
        <v/>
      </c>
    </row>
    <row r="48" spans="1:79" x14ac:dyDescent="0.45">
      <c r="A48" s="396" t="str">
        <f>IF($AT28="","",9)</f>
        <v/>
      </c>
      <c r="B48" s="419" t="str" cm="1">
        <f t="array" ref="B48">IF($AT28="","",INDEX(Dashboard!$C$93:$C$112,$AT28))</f>
        <v/>
      </c>
      <c r="C48" s="396" t="str" cm="1">
        <f t="array" ref="C48">IF($AT28="","",INDEX(Dashboard!$G$93:$G$112,$AT28))</f>
        <v/>
      </c>
      <c r="D48" s="396" t="str" cm="1">
        <f t="array" ref="D48">IF($AT28="","",INDEX(Dashboard!$H$93:$H$112,$AT28))</f>
        <v/>
      </c>
      <c r="E48" s="396" t="str" cm="1">
        <f t="array" ref="E48">IF($AT28="","",INDEX(Dashboard!$F$93:$F$112,$AT28))</f>
        <v/>
      </c>
      <c r="N48" t="str">
        <f t="array" ref="N48">IF(LEN(INDEX(Attendance!$E$3:$CN$3,1,(29-1)*2+1))=0,"","{""index"":29,""gw"":15,""date"":"""&amp;TEXT(INDEX(Attendance!$E$3:$CN$3,1,(29-1)*2+1),"yyyy-mm-dd")&amp;"""}")</f>
        <v/>
      </c>
    </row>
    <row r="49" spans="1:14" x14ac:dyDescent="0.45">
      <c r="A49" s="396" t="str">
        <f>IF($AT29="","",10)</f>
        <v/>
      </c>
      <c r="B49" s="419" t="str" cm="1">
        <f t="array" ref="B49">IF($AT29="","",INDEX(Dashboard!$C$93:$C$112,$AT29))</f>
        <v/>
      </c>
      <c r="C49" s="396" t="str" cm="1">
        <f t="array" ref="C49">IF($AT29="","",INDEX(Dashboard!$G$93:$G$112,$AT29))</f>
        <v/>
      </c>
      <c r="D49" s="396" t="str" cm="1">
        <f t="array" ref="D49">IF($AT29="","",INDEX(Dashboard!$H$93:$H$112,$AT29))</f>
        <v/>
      </c>
      <c r="E49" s="396" t="str" cm="1">
        <f t="array" ref="E49">IF($AT29="","",INDEX(Dashboard!$F$93:$F$112,$AT29))</f>
        <v/>
      </c>
      <c r="N49" t="str">
        <f t="array" ref="N49">IF(LEN(INDEX(Attendance!$E$3:$CN$3,1,(30-1)*2+1))=0,"","{""index"":30,""gw"":15,""date"":"""&amp;TEXT(INDEX(Attendance!$E$3:$CN$3,1,(30-1)*2+1),"yyyy-mm-dd")&amp;"""}")</f>
        <v/>
      </c>
    </row>
    <row r="50" spans="1:14" x14ac:dyDescent="0.45">
      <c r="N50" t="str">
        <f t="array" ref="N50">IF(LEN(INDEX(Attendance!$E$3:$CN$3,1,(31-1)*2+1))=0,"","{""index"":31,""gw"":16,""date"":"""&amp;TEXT(INDEX(Attendance!$E$3:$CN$3,1,(31-1)*2+1),"yyyy-mm-dd")&amp;"""}")</f>
        <v/>
      </c>
    </row>
    <row r="51" spans="1:14" x14ac:dyDescent="0.45">
      <c r="A51" s="390" t="s">
        <v>582</v>
      </c>
      <c r="B51" s="390"/>
      <c r="C51" s="390"/>
      <c r="D51" s="390"/>
      <c r="E51" s="390"/>
      <c r="N51" t="str">
        <f t="array" ref="N51">IF(LEN(INDEX(Attendance!$E$3:$CN$3,1,(32-1)*2+1))=0,"","{""index"":32,""gw"":16,""date"":"""&amp;TEXT(INDEX(Attendance!$E$3:$CN$3,1,(32-1)*2+1),"yyyy-mm-dd")&amp;"""}")</f>
        <v/>
      </c>
    </row>
    <row r="52" spans="1:14" x14ac:dyDescent="0.45">
      <c r="A52" s="390" t="s">
        <v>25</v>
      </c>
      <c r="B52" s="390" t="s">
        <v>18</v>
      </c>
      <c r="C52" s="390" t="s">
        <v>525</v>
      </c>
      <c r="D52" s="390" t="s">
        <v>524</v>
      </c>
      <c r="E52" s="390" t="s">
        <v>563</v>
      </c>
      <c r="N52" t="str">
        <f t="array" ref="N52">IF(LEN(INDEX(Attendance!$E$3:$CN$3,1,(33-1)*2+1))=0,"","{""index"":33,""gw"":17,""date"":"""&amp;TEXT(INDEX(Attendance!$E$3:$CN$3,1,(33-1)*2+1),"yyyy-mm-dd")&amp;"""}")</f>
        <v/>
      </c>
    </row>
    <row r="53" spans="1:14" x14ac:dyDescent="0.45">
      <c r="A53" s="396">
        <f>IF($AV20="","",1)</f>
        <v>1</v>
      </c>
      <c r="B53" s="419" t="str" cm="1">
        <f t="array" ref="B53">IF($AV20="","",INDEX(Dashboard!$C$93:$C$112,$AV20))</f>
        <v>Amber Kilalee</v>
      </c>
      <c r="C53" s="396" cm="1">
        <f t="array" ref="C53">IF($AV20="","",INDEX(Dashboard!$H$93:$H$112,$AV20))</f>
        <v>2</v>
      </c>
      <c r="D53" s="396" cm="1">
        <f t="array" ref="D53">IF($AV20="","",INDEX(Dashboard!$G$93:$G$112,$AV20))</f>
        <v>0</v>
      </c>
      <c r="E53" s="396" cm="1">
        <f t="array" ref="E53">IF($AV20="","",INDEX(Dashboard!$F$93:$F$112,$AV20))</f>
        <v>1</v>
      </c>
      <c r="N53" t="str">
        <f t="array" ref="N53">IF(LEN(INDEX(Attendance!$E$3:$CN$3,1,(34-1)*2+1))=0,"","{""index"":34,""gw"":17,""date"":"""&amp;TEXT(INDEX(Attendance!$E$3:$CN$3,1,(34-1)*2+1),"yyyy-mm-dd")&amp;"""}")</f>
        <v/>
      </c>
    </row>
    <row r="54" spans="1:14" x14ac:dyDescent="0.45">
      <c r="A54" s="396">
        <f>IF($AV21="","",2)</f>
        <v>2</v>
      </c>
      <c r="B54" s="419" t="str" cm="1">
        <f t="array" ref="B54">IF($AV21="","",INDEX(Dashboard!$C$93:$C$112,$AV21))</f>
        <v>Rama Abuowda</v>
      </c>
      <c r="C54" s="396" cm="1">
        <f t="array" ref="C54">IF($AV21="","",INDEX(Dashboard!$H$93:$H$112,$AV21))</f>
        <v>2</v>
      </c>
      <c r="D54" s="396" cm="1">
        <f t="array" ref="D54">IF($AV21="","",INDEX(Dashboard!$G$93:$G$112,$AV21))</f>
        <v>0</v>
      </c>
      <c r="E54" s="396" cm="1">
        <f t="array" ref="E54">IF($AV21="","",INDEX(Dashboard!$F$93:$F$112,$AV21))</f>
        <v>1</v>
      </c>
      <c r="N54" t="str">
        <f t="array" ref="N54">IF(LEN(INDEX(Attendance!$E$3:$CN$3,1,(35-1)*2+1))=0,"","{""index"":35,""gw"":18,""date"":"""&amp;TEXT(INDEX(Attendance!$E$3:$CN$3,1,(35-1)*2+1),"yyyy-mm-dd")&amp;"""}")</f>
        <v/>
      </c>
    </row>
    <row r="55" spans="1:14" x14ac:dyDescent="0.45">
      <c r="A55" s="396">
        <f>IF($AV22="","",3)</f>
        <v>3</v>
      </c>
      <c r="B55" s="419" t="str" cm="1">
        <f t="array" ref="B55">IF($AV22="","",INDEX(Dashboard!$C$93:$C$112,$AV22))</f>
        <v>Semilore Adesanya</v>
      </c>
      <c r="C55" s="396" cm="1">
        <f t="array" ref="C55">IF($AV22="","",INDEX(Dashboard!$H$93:$H$112,$AV22))</f>
        <v>1</v>
      </c>
      <c r="D55" s="396" cm="1">
        <f t="array" ref="D55">IF($AV22="","",INDEX(Dashboard!$G$93:$G$112,$AV22))</f>
        <v>1</v>
      </c>
      <c r="E55" s="396" cm="1">
        <f t="array" ref="E55">IF($AV22="","",INDEX(Dashboard!$F$93:$F$112,$AV22))</f>
        <v>1</v>
      </c>
      <c r="N55" t="str">
        <f t="array" ref="N55">IF(LEN(INDEX(Attendance!$E$3:$CN$3,1,(36-1)*2+1))=0,"","{""index"":36,""gw"":18,""date"":"""&amp;TEXT(INDEX(Attendance!$E$3:$CN$3,1,(36-1)*2+1),"yyyy-mm-dd")&amp;"""}")</f>
        <v/>
      </c>
    </row>
    <row r="56" spans="1:14" x14ac:dyDescent="0.45">
      <c r="A56" s="396" t="str">
        <f>IF($AV23="","",4)</f>
        <v/>
      </c>
      <c r="B56" s="419" t="str" cm="1">
        <f t="array" ref="B56">IF($AV23="","",INDEX(Dashboard!$C$93:$C$112,$AV23))</f>
        <v/>
      </c>
      <c r="C56" s="396" t="str" cm="1">
        <f t="array" ref="C56">IF($AV23="","",INDEX(Dashboard!$H$93:$H$112,$AV23))</f>
        <v/>
      </c>
      <c r="D56" s="396" t="str" cm="1">
        <f t="array" ref="D56">IF($AV23="","",INDEX(Dashboard!$G$93:$G$112,$AV23))</f>
        <v/>
      </c>
      <c r="E56" s="396" t="str" cm="1">
        <f t="array" ref="E56">IF($AV23="","",INDEX(Dashboard!$F$93:$F$112,$AV23))</f>
        <v/>
      </c>
      <c r="N56" t="str">
        <f t="array" ref="N56">IF(LEN(INDEX(Attendance!$E$3:$CN$3,1,(37-1)*2+1))=0,"","{""index"":37,""gw"":19,""date"":"""&amp;TEXT(INDEX(Attendance!$E$3:$CN$3,1,(37-1)*2+1),"yyyy-mm-dd")&amp;"""}")</f>
        <v/>
      </c>
    </row>
    <row r="57" spans="1:14" x14ac:dyDescent="0.45">
      <c r="A57" s="396" t="str">
        <f>IF($AV24="","",5)</f>
        <v/>
      </c>
      <c r="B57" s="419" t="str" cm="1">
        <f t="array" ref="B57">IF($AV24="","",INDEX(Dashboard!$C$93:$C$112,$AV24))</f>
        <v/>
      </c>
      <c r="C57" s="396" t="str" cm="1">
        <f t="array" ref="C57">IF($AV24="","",INDEX(Dashboard!$H$93:$H$112,$AV24))</f>
        <v/>
      </c>
      <c r="D57" s="396" t="str" cm="1">
        <f t="array" ref="D57">IF($AV24="","",INDEX(Dashboard!$G$93:$G$112,$AV24))</f>
        <v/>
      </c>
      <c r="E57" s="396" t="str" cm="1">
        <f t="array" ref="E57">IF($AV24="","",INDEX(Dashboard!$F$93:$F$112,$AV24))</f>
        <v/>
      </c>
      <c r="N57" t="str">
        <f t="array" ref="N57">IF(LEN(INDEX(Attendance!$E$3:$CN$3,1,(38-1)*2+1))=0,"","{""index"":38,""gw"":19,""date"":"""&amp;TEXT(INDEX(Attendance!$E$3:$CN$3,1,(38-1)*2+1),"yyyy-mm-dd")&amp;"""}")</f>
        <v/>
      </c>
    </row>
    <row r="58" spans="1:14" x14ac:dyDescent="0.45">
      <c r="A58" s="396" t="str">
        <f>IF($AV25="","",6)</f>
        <v/>
      </c>
      <c r="B58" s="419" t="str" cm="1">
        <f t="array" ref="B58">IF($AV25="","",INDEX(Dashboard!$C$93:$C$112,$AV25))</f>
        <v/>
      </c>
      <c r="C58" s="396" t="str" cm="1">
        <f t="array" ref="C58">IF($AV25="","",INDEX(Dashboard!$H$93:$H$112,$AV25))</f>
        <v/>
      </c>
      <c r="D58" s="396" t="str" cm="1">
        <f t="array" ref="D58">IF($AV25="","",INDEX(Dashboard!$G$93:$G$112,$AV25))</f>
        <v/>
      </c>
      <c r="E58" s="396" t="str" cm="1">
        <f t="array" ref="E58">IF($AV25="","",INDEX(Dashboard!$F$93:$F$112,$AV25))</f>
        <v/>
      </c>
      <c r="N58" t="str">
        <f t="array" ref="N58">IF(LEN(INDEX(Attendance!$E$3:$CN$3,1,(39-1)*2+1))=0,"","{""index"":39,""gw"":20,""date"":"""&amp;TEXT(INDEX(Attendance!$E$3:$CN$3,1,(39-1)*2+1),"yyyy-mm-dd")&amp;"""}")</f>
        <v/>
      </c>
    </row>
    <row r="59" spans="1:14" x14ac:dyDescent="0.45">
      <c r="A59" s="396" t="str">
        <f>IF($AV26="","",7)</f>
        <v/>
      </c>
      <c r="B59" s="419" t="str" cm="1">
        <f t="array" ref="B59">IF($AV26="","",INDEX(Dashboard!$C$93:$C$112,$AV26))</f>
        <v/>
      </c>
      <c r="C59" s="396" t="str" cm="1">
        <f t="array" ref="C59">IF($AV26="","",INDEX(Dashboard!$H$93:$H$112,$AV26))</f>
        <v/>
      </c>
      <c r="D59" s="396" t="str" cm="1">
        <f t="array" ref="D59">IF($AV26="","",INDEX(Dashboard!$G$93:$G$112,$AV26))</f>
        <v/>
      </c>
      <c r="E59" s="396" t="str" cm="1">
        <f t="array" ref="E59">IF($AV26="","",INDEX(Dashboard!$F$93:$F$112,$AV26))</f>
        <v/>
      </c>
      <c r="N59" t="str">
        <f t="array" ref="N59">IF(LEN(INDEX(Attendance!$E$3:$CN$3,1,(40-1)*2+1))=0,"","{""index"":40,""gw"":20,""date"":"""&amp;TEXT(INDEX(Attendance!$E$3:$CN$3,1,(40-1)*2+1),"yyyy-mm-dd")&amp;"""}")</f>
        <v/>
      </c>
    </row>
    <row r="60" spans="1:14" x14ac:dyDescent="0.45">
      <c r="A60" s="396" t="str">
        <f>IF($AV27="","",8)</f>
        <v/>
      </c>
      <c r="B60" s="419" t="str" cm="1">
        <f t="array" ref="B60">IF($AV27="","",INDEX(Dashboard!$C$93:$C$112,$AV27))</f>
        <v/>
      </c>
      <c r="C60" s="396" t="str" cm="1">
        <f t="array" ref="C60">IF($AV27="","",INDEX(Dashboard!$H$93:$H$112,$AV27))</f>
        <v/>
      </c>
      <c r="D60" s="396" t="str" cm="1">
        <f t="array" ref="D60">IF($AV27="","",INDEX(Dashboard!$G$93:$G$112,$AV27))</f>
        <v/>
      </c>
      <c r="E60" s="396" t="str" cm="1">
        <f t="array" ref="E60">IF($AV27="","",INDEX(Dashboard!$F$93:$F$112,$AV27))</f>
        <v/>
      </c>
      <c r="N60" t="str">
        <f t="array" ref="N60">IF(LEN(INDEX(Attendance!$E$3:$CN$3,1,(41-1)*2+1))=0,"","{""index"":41,""gw"":21,""date"":"""&amp;TEXT(INDEX(Attendance!$E$3:$CN$3,1,(41-1)*2+1),"yyyy-mm-dd")&amp;"""}")</f>
        <v/>
      </c>
    </row>
    <row r="61" spans="1:14" x14ac:dyDescent="0.45">
      <c r="A61" s="396" t="str">
        <f>IF($AV28="","",9)</f>
        <v/>
      </c>
      <c r="B61" s="419" t="str" cm="1">
        <f t="array" ref="B61">IF($AV28="","",INDEX(Dashboard!$C$93:$C$112,$AV28))</f>
        <v/>
      </c>
      <c r="C61" s="396" t="str" cm="1">
        <f t="array" ref="C61">IF($AV28="","",INDEX(Dashboard!$H$93:$H$112,$AV28))</f>
        <v/>
      </c>
      <c r="D61" s="396" t="str" cm="1">
        <f t="array" ref="D61">IF($AV28="","",INDEX(Dashboard!$G$93:$G$112,$AV28))</f>
        <v/>
      </c>
      <c r="E61" s="396" t="str" cm="1">
        <f t="array" ref="E61">IF($AV28="","",INDEX(Dashboard!$F$93:$F$112,$AV28))</f>
        <v/>
      </c>
      <c r="N61" t="str">
        <f t="array" ref="N61">IF(LEN(INDEX(Attendance!$E$3:$CN$3,1,(42-1)*2+1))=0,"","{""index"":42,""gw"":21,""date"":"""&amp;TEXT(INDEX(Attendance!$E$3:$CN$3,1,(42-1)*2+1),"yyyy-mm-dd")&amp;"""}")</f>
        <v/>
      </c>
    </row>
    <row r="62" spans="1:14" x14ac:dyDescent="0.45">
      <c r="A62" s="396" t="str">
        <f>IF($AV29="","",10)</f>
        <v/>
      </c>
      <c r="B62" s="419" t="str" cm="1">
        <f t="array" ref="B62">IF($AV29="","",INDEX(Dashboard!$C$93:$C$112,$AV29))</f>
        <v/>
      </c>
      <c r="C62" s="396" t="str" cm="1">
        <f t="array" ref="C62">IF($AV29="","",INDEX(Dashboard!$H$93:$H$112,$AV29))</f>
        <v/>
      </c>
      <c r="D62" s="396" t="str" cm="1">
        <f t="array" ref="D62">IF($AV29="","",INDEX(Dashboard!$G$93:$G$112,$AV29))</f>
        <v/>
      </c>
      <c r="E62" s="396" t="str" cm="1">
        <f t="array" ref="E62">IF($AV29="","",INDEX(Dashboard!$F$93:$F$112,$AV29))</f>
        <v/>
      </c>
      <c r="N62" t="str">
        <f t="array" ref="N62">IF(LEN(INDEX(Attendance!$E$3:$CN$3,1,(43-1)*2+1))=0,"","{""index"":43,""gw"":22,""date"":"""&amp;TEXT(INDEX(Attendance!$E$3:$CN$3,1,(43-1)*2+1),"yyyy-mm-dd")&amp;"""}")</f>
        <v/>
      </c>
    </row>
    <row r="63" spans="1:14" x14ac:dyDescent="0.45">
      <c r="N63" t="str">
        <f t="array" ref="N63">IF(LEN(INDEX(Attendance!$E$3:$CN$3,1,(44-1)*2+1))=0,"","{""index"":44,""gw"":22,""date"":"""&amp;TEXT(INDEX(Attendance!$E$3:$CN$3,1,(44-1)*2+1),"yyyy-mm-dd")&amp;"""}")</f>
        <v/>
      </c>
    </row>
  </sheetData>
  <mergeCells count="1">
    <mergeCell ref="A37:E37"/>
  </mergeCells>
  <conditionalFormatting sqref="B35">
    <cfRule type="containsText" dxfId="4" priority="4" operator="containsText" text="STALE">
      <formula>NOT(ISERROR(SEARCH("STALE",B35)))</formula>
    </cfRule>
    <cfRule type="containsText" dxfId="3" priority="5" operator="containsText" text="IN SYNC">
      <formula>NOT(ISERROR(SEARCH("IN SYNC",B35)))</formula>
    </cfRule>
  </conditionalFormatting>
  <conditionalFormatting sqref="D25:D30">
    <cfRule type="containsText" dxfId="2" priority="1" operator="containsText" text="MISMATCH">
      <formula>NOT(ISERROR(SEARCH("MISMATCH",D25)))</formula>
    </cfRule>
    <cfRule type="containsText" dxfId="1" priority="2" operator="containsText" text="NOT FOUND">
      <formula>NOT(ISERROR(SEARCH("NOT FOUND",D25)))</formula>
    </cfRule>
    <cfRule type="containsText" dxfId="0" priority="3" operator="containsText" text="OK">
      <formula>NOT(ISERROR(SEARCH("OK",D25)))</formula>
    </cfRule>
  </conditionalFormatting>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3ECA3-39D1-42CC-8EB7-55FE20E64F8C}">
  <dimension ref="A2:E70"/>
  <sheetViews>
    <sheetView workbookViewId="0"/>
  </sheetViews>
  <sheetFormatPr defaultRowHeight="14.25" x14ac:dyDescent="0.45"/>
  <cols>
    <col min="1" max="1" width="5.33203125" style="325" customWidth="1"/>
    <col min="2" max="2" width="37.33203125" style="325" customWidth="1"/>
    <col min="3" max="3" width="74.6640625" style="325" customWidth="1"/>
    <col min="4" max="5" width="16" style="325" customWidth="1"/>
  </cols>
  <sheetData>
    <row r="2" spans="2:3" ht="21" x14ac:dyDescent="0.45">
      <c r="B2" s="326" t="s">
        <v>438</v>
      </c>
    </row>
    <row r="3" spans="2:3" x14ac:dyDescent="0.45">
      <c r="B3" s="327" t="s">
        <v>439</v>
      </c>
    </row>
    <row r="5" spans="2:3" ht="15.75" x14ac:dyDescent="0.45">
      <c r="B5" s="342" t="s">
        <v>440</v>
      </c>
      <c r="C5" s="343"/>
    </row>
    <row r="6" spans="2:3" ht="28.5" x14ac:dyDescent="0.45">
      <c r="B6" s="343" t="s">
        <v>441</v>
      </c>
      <c r="C6" s="347" t="s">
        <v>442</v>
      </c>
    </row>
    <row r="7" spans="2:3" ht="28.5" x14ac:dyDescent="0.45">
      <c r="B7" s="343" t="s">
        <v>443</v>
      </c>
      <c r="C7" s="347" t="s">
        <v>444</v>
      </c>
    </row>
    <row r="8" spans="2:3" ht="42.75" x14ac:dyDescent="0.45">
      <c r="B8" s="343" t="s">
        <v>445</v>
      </c>
      <c r="C8" s="347" t="s">
        <v>446</v>
      </c>
    </row>
    <row r="10" spans="2:3" ht="15.75" x14ac:dyDescent="0.45">
      <c r="B10" s="344" t="s">
        <v>447</v>
      </c>
      <c r="C10" s="345"/>
    </row>
    <row r="11" spans="2:3" ht="28.5" x14ac:dyDescent="0.45">
      <c r="B11" s="346" t="s">
        <v>448</v>
      </c>
      <c r="C11" s="348" t="s">
        <v>449</v>
      </c>
    </row>
    <row r="12" spans="2:3" ht="28.5" x14ac:dyDescent="0.45">
      <c r="B12" s="345" t="s">
        <v>450</v>
      </c>
      <c r="C12" s="348" t="s">
        <v>451</v>
      </c>
    </row>
    <row r="13" spans="2:3" ht="28.5" x14ac:dyDescent="0.45">
      <c r="B13" s="345" t="s">
        <v>452</v>
      </c>
      <c r="C13" s="348" t="s">
        <v>453</v>
      </c>
    </row>
    <row r="14" spans="2:3" ht="28.5" x14ac:dyDescent="0.45">
      <c r="B14" s="345" t="s">
        <v>454</v>
      </c>
      <c r="C14" s="348" t="s">
        <v>455</v>
      </c>
    </row>
    <row r="15" spans="2:3" ht="28.5" x14ac:dyDescent="0.45">
      <c r="B15" s="345" t="s">
        <v>456</v>
      </c>
      <c r="C15" s="348" t="s">
        <v>457</v>
      </c>
    </row>
    <row r="16" spans="2:3" ht="42.75" x14ac:dyDescent="0.45">
      <c r="B16" s="345" t="s">
        <v>458</v>
      </c>
      <c r="C16" s="348" t="s">
        <v>459</v>
      </c>
    </row>
    <row r="18" spans="2:4" ht="15.75" x14ac:dyDescent="0.45">
      <c r="B18" s="329" t="s">
        <v>460</v>
      </c>
    </row>
    <row r="19" spans="2:4" ht="28.5" x14ac:dyDescent="0.45">
      <c r="B19" s="325" t="s">
        <v>461</v>
      </c>
      <c r="C19" s="349" t="s">
        <v>462</v>
      </c>
    </row>
    <row r="20" spans="2:4" ht="28.5" x14ac:dyDescent="0.45">
      <c r="B20" s="325" t="s">
        <v>463</v>
      </c>
      <c r="C20" s="350" t="str">
        <f>"A player must have attended at least "&amp;'Pre season'!$AM$5&amp;" pre-season sessions. Below that the band is suppressed to ""Insufficient data"" — they still get a grade %, but no readiness band."</f>
        <v>A player must have attended at least 5 pre-season sessions. Below that the band is suppressed to "Insufficient data" — they still get a grade %, but no readiness band.</v>
      </c>
    </row>
    <row r="21" spans="2:4" ht="28.5" x14ac:dyDescent="0.45">
      <c r="B21" s="328" t="s">
        <v>464</v>
      </c>
      <c r="C21" s="350" t="str">
        <f>"Critical "&amp;TEXT(Workings!$T$6,"0.00")&amp;"-"&amp;TEXT(Workings!$U$6,"0.00")&amp;"  |  Not Ready "&amp;TEXT(Workings!$T$7,"0.00")&amp;"-"&amp;TEXT(Workings!$U$7,"0.00")&amp;"  |  Improving "&amp;TEXT(Workings!$T$8,"0.00")&amp;"-"&amp;TEXT(Workings!$U$8,"0.00")&amp;"  |  Nearly Ready "&amp;TEXT(Workings!$T$9,"0.00")&amp;"-"&amp;TEXT(Workings!$U$9,"0.00")&amp;"  |  Not Ready for 90 min "&amp;TEXT(Workings!$T$10,"0.00")&amp;"-"&amp;TEXT(Workings!$U$10,"0.00")&amp;"  |  Match Ready "&amp;TEXT(Workings!$T$11,"0.00")&amp;"-"&amp;TEXT(Workings!$U$11,"0.00")</f>
        <v>Critical 0.00-1.50  |  Not Ready 1.51-2.00  |  Improving 2.01-2.50  |  Nearly Ready 2.51-3.00  |  Not Ready for 90 min 3.01-3.49  |  Match Ready 3.50-5.00</v>
      </c>
    </row>
    <row r="23" spans="2:4" ht="15.75" x14ac:dyDescent="0.45">
      <c r="B23" s="329" t="s">
        <v>465</v>
      </c>
    </row>
    <row r="24" spans="2:4" x14ac:dyDescent="0.45">
      <c r="B24" s="327" t="s">
        <v>466</v>
      </c>
    </row>
    <row r="26" spans="2:4" x14ac:dyDescent="0.45">
      <c r="B26" s="331" t="s">
        <v>467</v>
      </c>
      <c r="C26" s="331" t="s">
        <v>468</v>
      </c>
      <c r="D26" s="332" t="s">
        <v>469</v>
      </c>
    </row>
    <row r="27" spans="2:4" x14ac:dyDescent="0.45">
      <c r="B27" s="333" t="str">
        <f>Workings!$S6</f>
        <v>Critical</v>
      </c>
      <c r="C27" s="333" t="str">
        <f>TEXT(Workings!$T6,"0.00")&amp;" - "&amp;TEXT(Workings!$U6,"0.00")</f>
        <v>0.00 - 1.50</v>
      </c>
      <c r="D27" s="334">
        <f>Workings!$V6</f>
        <v>0</v>
      </c>
    </row>
    <row r="28" spans="2:4" x14ac:dyDescent="0.45">
      <c r="B28" s="333" t="str">
        <f>Workings!$S7</f>
        <v>Not Ready</v>
      </c>
      <c r="C28" s="333" t="str">
        <f>TEXT(Workings!$T7,"0.00")&amp;" - "&amp;TEXT(Workings!$U7,"0.00")</f>
        <v>1.51 - 2.00</v>
      </c>
      <c r="D28" s="334">
        <f>Workings!$V7</f>
        <v>0</v>
      </c>
    </row>
    <row r="29" spans="2:4" x14ac:dyDescent="0.45">
      <c r="B29" s="333" t="str">
        <f>Workings!$S8</f>
        <v>Improving</v>
      </c>
      <c r="C29" s="333" t="str">
        <f>TEXT(Workings!$T8,"0.00")&amp;" - "&amp;TEXT(Workings!$U8,"0.00")</f>
        <v>2.01 - 2.50</v>
      </c>
      <c r="D29" s="334">
        <f>Workings!$V8</f>
        <v>0</v>
      </c>
    </row>
    <row r="30" spans="2:4" x14ac:dyDescent="0.45">
      <c r="B30" s="333" t="str">
        <f>Workings!$S9</f>
        <v>Nearly Ready</v>
      </c>
      <c r="C30" s="333" t="str">
        <f>TEXT(Workings!$T9,"0.00")&amp;" - "&amp;TEXT(Workings!$U9,"0.00")</f>
        <v>2.51 - 3.00</v>
      </c>
      <c r="D30" s="334">
        <f>Workings!$V9</f>
        <v>9</v>
      </c>
    </row>
    <row r="31" spans="2:4" x14ac:dyDescent="0.45">
      <c r="B31" s="333" t="str">
        <f>Workings!$S10</f>
        <v>Not Ready for 90 min</v>
      </c>
      <c r="C31" s="333" t="str">
        <f>TEXT(Workings!$T10,"0.00")&amp;" - "&amp;TEXT(Workings!$U10,"0.00")</f>
        <v>3.01 - 3.49</v>
      </c>
      <c r="D31" s="334">
        <f>Workings!$V10</f>
        <v>6</v>
      </c>
    </row>
    <row r="32" spans="2:4" x14ac:dyDescent="0.45">
      <c r="B32" s="333" t="str">
        <f>Workings!$S11</f>
        <v>Match Ready</v>
      </c>
      <c r="C32" s="333" t="str">
        <f>TEXT(Workings!$T11,"0.00")&amp;" - "&amp;TEXT(Workings!$U11,"0.00")</f>
        <v>3.50 - 5.00</v>
      </c>
      <c r="D32" s="334">
        <f>Workings!$V11</f>
        <v>1</v>
      </c>
    </row>
    <row r="33" spans="2:4" ht="14.65" thickBot="1" x14ac:dyDescent="0.5">
      <c r="B33" s="335" t="s">
        <v>405</v>
      </c>
      <c r="C33" s="336" t="str">
        <f>"no band - fewer than "&amp;'Pre season'!$AM$5&amp;" sessions attended"</f>
        <v>no band - fewer than 5 sessions attended</v>
      </c>
      <c r="D33" s="337">
        <f>COUNTIF(Workings!$I$6:$I$25,"Insufficient data")</f>
        <v>2</v>
      </c>
    </row>
    <row r="34" spans="2:4" ht="14.65" thickTop="1" x14ac:dyDescent="0.45">
      <c r="B34" s="338" t="s">
        <v>470</v>
      </c>
      <c r="C34" s="339" t="s">
        <v>471</v>
      </c>
      <c r="D34" s="340">
        <f>SUM($D$27:$D$33)</f>
        <v>18</v>
      </c>
    </row>
    <row r="36" spans="2:4" ht="42.75" x14ac:dyDescent="0.45">
      <c r="B36" s="341" t="s">
        <v>472</v>
      </c>
      <c r="C36" s="351" t="str">
        <f>Workings!$C$22&amp;" must appear in the """&amp;Workings!$I$22&amp;""" card, not Match Ready. Her work rate is "&amp;TEXT(Workings!$AW$22,"0.00")&amp;" from "&amp;Attendance!$GA$21&amp;" of "&amp;Attendance!$GB$21&amp;" sessions - below the "&amp;TEXT(Workings!$T$11,"0.00")&amp;" Match Ready floor even before the sessions rule is applied."</f>
        <v>Mariana Soares must appear in the "Nearly Ready" card, not Match Ready. Her work rate is 3.00 from 3 of 3 sessions - below the 3.50 Match Ready floor even before the sessions rule is applied.</v>
      </c>
    </row>
    <row r="38" spans="2:4" ht="15.75" x14ac:dyDescent="0.45">
      <c r="B38" s="329" t="s">
        <v>473</v>
      </c>
    </row>
    <row r="39" spans="2:4" x14ac:dyDescent="0.45">
      <c r="B39" s="325" t="s">
        <v>474</v>
      </c>
      <c r="C39" s="330" t="str">
        <f>"The JSON bands all "&amp;SUM($D$27:$D$33)&amp;_xlfn._LONGTEXT(" players; the site is currently showing only the available ones. Decide which is wanted and do it in ONE place. If unavailable players should be excluded from the cards, that filter belongs in the workbook so the counts in the JSON match the counts on scr","een.")</f>
        <v>The JSON bands all 18 players; the site is currently showing only the available ones. Decide which is wanted and do it in ONE place. If unavailable players should be excluded from the cards, that filter belongs in the workbook so the counts in the JSON match the counts on screen.</v>
      </c>
    </row>
    <row r="40" spans="2:4" x14ac:dyDescent="0.45">
      <c r="B40" s="325" t="s">
        <v>491</v>
      </c>
    </row>
    <row r="41" spans="2:4" ht="15.75" x14ac:dyDescent="0.45">
      <c r="B41" s="329" t="s">
        <v>492</v>
      </c>
      <c r="C41" s="325" t="s">
        <v>493</v>
      </c>
    </row>
    <row r="42" spans="2:4" ht="15.75" x14ac:dyDescent="0.45">
      <c r="B42" s="329" t="s">
        <v>494</v>
      </c>
      <c r="C42" s="325" t="s">
        <v>495</v>
      </c>
    </row>
    <row r="43" spans="2:4" ht="15.75" x14ac:dyDescent="0.45">
      <c r="B43" s="329" t="s">
        <v>496</v>
      </c>
      <c r="C43" s="325" t="s">
        <v>497</v>
      </c>
    </row>
    <row r="44" spans="2:4" x14ac:dyDescent="0.45">
      <c r="B44" s="328" t="s">
        <v>583</v>
      </c>
    </row>
    <row r="45" spans="2:4" ht="26.25" x14ac:dyDescent="0.45">
      <c r="B45" s="420" t="s">
        <v>584</v>
      </c>
      <c r="C45" s="420" t="s">
        <v>585</v>
      </c>
    </row>
    <row r="46" spans="2:4" x14ac:dyDescent="0.45">
      <c r="B46" s="420" t="s">
        <v>586</v>
      </c>
      <c r="C46" s="420" t="s">
        <v>587</v>
      </c>
    </row>
    <row r="47" spans="2:4" ht="26.25" x14ac:dyDescent="0.45">
      <c r="B47" s="420" t="s">
        <v>588</v>
      </c>
      <c r="C47" s="420" t="s">
        <v>589</v>
      </c>
    </row>
    <row r="48" spans="2:4" x14ac:dyDescent="0.45">
      <c r="B48" s="328" t="s">
        <v>590</v>
      </c>
    </row>
    <row r="49" spans="2:3" ht="26.25" x14ac:dyDescent="0.45">
      <c r="B49" s="420" t="s">
        <v>591</v>
      </c>
      <c r="C49" s="420" t="s">
        <v>592</v>
      </c>
    </row>
    <row r="50" spans="2:3" ht="26.25" x14ac:dyDescent="0.45">
      <c r="B50" s="420" t="s">
        <v>593</v>
      </c>
      <c r="C50" s="420" t="s">
        <v>594</v>
      </c>
    </row>
    <row r="52" spans="2:3" x14ac:dyDescent="0.45">
      <c r="B52" s="328" t="s">
        <v>609</v>
      </c>
    </row>
    <row r="53" spans="2:3" x14ac:dyDescent="0.45">
      <c r="B53" s="325" t="s">
        <v>610</v>
      </c>
      <c r="C53" s="325" t="s">
        <v>611</v>
      </c>
    </row>
    <row r="54" spans="2:3" x14ac:dyDescent="0.45">
      <c r="B54" s="325" t="s">
        <v>612</v>
      </c>
      <c r="C54" s="325" t="s">
        <v>613</v>
      </c>
    </row>
    <row r="55" spans="2:3" x14ac:dyDescent="0.45">
      <c r="B55" s="325" t="s">
        <v>614</v>
      </c>
      <c r="C55" s="325" t="s">
        <v>615</v>
      </c>
    </row>
    <row r="56" spans="2:3" x14ac:dyDescent="0.45">
      <c r="B56" s="325" t="s">
        <v>616</v>
      </c>
      <c r="C56" s="325" t="s">
        <v>617</v>
      </c>
    </row>
    <row r="57" spans="2:3" x14ac:dyDescent="0.45">
      <c r="B57" s="325" t="s">
        <v>618</v>
      </c>
      <c r="C57" s="325" t="s">
        <v>619</v>
      </c>
    </row>
    <row r="58" spans="2:3" x14ac:dyDescent="0.45">
      <c r="B58" s="325" t="s">
        <v>620</v>
      </c>
      <c r="C58" s="325" t="s">
        <v>621</v>
      </c>
    </row>
    <row r="60" spans="2:3" x14ac:dyDescent="0.45">
      <c r="B60" s="328" t="s">
        <v>633</v>
      </c>
    </row>
    <row r="61" spans="2:3" x14ac:dyDescent="0.45">
      <c r="B61" s="325" t="s">
        <v>634</v>
      </c>
      <c r="C61" s="325" t="s">
        <v>635</v>
      </c>
    </row>
    <row r="62" spans="2:3" x14ac:dyDescent="0.45">
      <c r="B62" s="325" t="s">
        <v>636</v>
      </c>
      <c r="C62" s="325" t="s">
        <v>637</v>
      </c>
    </row>
    <row r="63" spans="2:3" x14ac:dyDescent="0.45">
      <c r="B63" s="325" t="s">
        <v>638</v>
      </c>
      <c r="C63" s="325" t="s">
        <v>639</v>
      </c>
    </row>
    <row r="65" spans="2:3" x14ac:dyDescent="0.45">
      <c r="B65" s="328" t="s">
        <v>640</v>
      </c>
    </row>
    <row r="66" spans="2:3" x14ac:dyDescent="0.45">
      <c r="B66" s="325" t="s">
        <v>641</v>
      </c>
      <c r="C66" s="325" t="s">
        <v>642</v>
      </c>
    </row>
    <row r="67" spans="2:3" x14ac:dyDescent="0.45">
      <c r="B67" s="325" t="s">
        <v>643</v>
      </c>
      <c r="C67" s="325" t="s">
        <v>644</v>
      </c>
    </row>
    <row r="69" spans="2:3" x14ac:dyDescent="0.45">
      <c r="B69" s="328" t="s">
        <v>645</v>
      </c>
    </row>
    <row r="70" spans="2:3" x14ac:dyDescent="0.45">
      <c r="B70" s="325" t="s">
        <v>646</v>
      </c>
      <c r="C70" s="325"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Dashboard</vt:lpstr>
      <vt:lpstr>Pre season</vt:lpstr>
      <vt:lpstr>Attendance</vt:lpstr>
      <vt:lpstr>Player Grading</vt:lpstr>
      <vt:lpstr>Team Selection</vt:lpstr>
      <vt:lpstr>Match Day Reports</vt:lpstr>
      <vt:lpstr>Workings</vt:lpstr>
      <vt:lpstr>Web Output</vt:lpstr>
      <vt:lpstr>Web Spec</vt:lpstr>
      <vt:lpstr>ActiveSrc</vt:lpstr>
      <vt:lpstr>ATAtt</vt:lpstr>
      <vt:lpstr>ATDates</vt:lpstr>
      <vt:lpstr>ATWR</vt:lpstr>
      <vt:lpstr>Opponents</vt:lpstr>
      <vt:lpstr>PlayerList</vt:lpstr>
      <vt:lpstr>PSAtt</vt:lpstr>
      <vt:lpstr>PSDates</vt:lpstr>
      <vt:lpstr>PSWR</vt:lpstr>
      <vt:lpstr>WinDays</vt:lpstr>
      <vt:lpstr>WinEnd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Hennessy</dc:creator>
  <cp:lastModifiedBy>John Hennessy</cp:lastModifiedBy>
  <dcterms:created xsi:type="dcterms:W3CDTF">2026-08-21T12:26:40Z</dcterms:created>
  <dcterms:modified xsi:type="dcterms:W3CDTF">2026-08-31T12:34:28Z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2026-08-13T21:40:44Z</dcterms:created>
  <dc:creator>John Hennessy</dc:creator>
  <dc:description/>
  <dc:language>en-US</dc:language>
  <cp:lastModifiedBy>John Hennessy</cp:lastModifiedBy>
  <dcterms:modified xsi:type="dcterms:W3CDTF">2026-08-21T12:17:35Z</dcterms:modified>
  <cp:revision>0</cp:revision>
  <dc:subject/>
  <dc:title/>
</cp:coreProperties>
</file>